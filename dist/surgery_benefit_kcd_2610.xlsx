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1-5종II" sheetId="2" state="visible" r:id="rId4"/>
    <sheet name="1-5종 각주" sheetId="3" state="visible" r:id="rId5"/>
    <sheet name="1-7종" sheetId="4" state="visible" r:id="rId6"/>
    <sheet name="131대 대상질병" sheetId="5" state="visible" r:id="rId7"/>
    <sheet name="130·131대 KCD" sheetId="6" state="visible" r:id="rId8"/>
    <sheet name="상품별 탑재" sheetId="7" state="visible" r:id="rId9"/>
  </sheets>
  <definedNames>
    <definedName function="false" hidden="true" localSheetId="2" name="_xlnm._FilterDatabase" vbProcedure="false">'1-5종 각주'!$A$1:$B$12</definedName>
    <definedName function="false" hidden="true" localSheetId="1" name="_xlnm._FilterDatabase" vbProcedure="false">'1-5종II'!$A$2:$E$101</definedName>
    <definedName function="false" hidden="true" localSheetId="3" name="_xlnm._FilterDatabase" vbProcedure="false">'1-7종'!$A$2:$G$632</definedName>
    <definedName function="false" hidden="true" localSheetId="5" name="_xlnm._FilterDatabase" vbProcedure="false">'130·131대 KCD'!$A$2:$E$512</definedName>
    <definedName function="false" hidden="true" localSheetId="4" name="_xlnm._FilterDatabase" vbProcedure="false">'131대 대상질병'!$A$2:$D$358</definedName>
    <definedName function="false" hidden="true" localSheetId="6" name="_xlnm._FilterDatabase" vbProcedure="false">'상품별 탑재'!$A$1:$E$43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<sst xmlns="http://schemas.openxmlformats.org/spreadsheetml/2006/main" count="8028" uniqueCount="3225">
  <si>
    <r>
      <rPr>
        <b val="true"/>
        <sz val="13"/>
        <color rgb="FF0B7C6F"/>
        <rFont val="WenQuanYi Zen Hei"/>
        <family val="2"/>
      </rPr>
      <t xml:space="preserve">수술비 </t>
    </r>
    <r>
      <rPr>
        <b val="true"/>
        <sz val="13"/>
        <color rgb="FF0B7C6F"/>
        <rFont val="Arial"/>
        <family val="0"/>
        <charset val="1"/>
      </rPr>
      <t xml:space="preserve">3</t>
    </r>
    <r>
      <rPr>
        <b val="true"/>
        <sz val="13"/>
        <color rgb="FF0B7C6F"/>
        <rFont val="WenQuanYi Zen Hei"/>
        <family val="2"/>
      </rPr>
      <t xml:space="preserve">종 — 보장 수술 </t>
    </r>
    <r>
      <rPr>
        <b val="true"/>
        <sz val="13"/>
        <color rgb="FF0B7C6F"/>
        <rFont val="Arial"/>
        <family val="0"/>
        <charset val="1"/>
      </rPr>
      <t xml:space="preserve">· </t>
    </r>
    <r>
      <rPr>
        <b val="true"/>
        <sz val="13"/>
        <color rgb="FF0B7C6F"/>
        <rFont val="WenQuanYi Zen Hei"/>
        <family val="2"/>
      </rPr>
      <t xml:space="preserve">질병 </t>
    </r>
    <r>
      <rPr>
        <b val="true"/>
        <sz val="13"/>
        <color rgb="FF0B7C6F"/>
        <rFont val="Arial"/>
        <family val="0"/>
        <charset val="1"/>
      </rPr>
      <t xml:space="preserve">· KCD </t>
    </r>
    <r>
      <rPr>
        <b val="true"/>
        <sz val="13"/>
        <color rgb="FF0B7C6F"/>
        <rFont val="WenQuanYi Zen Hei"/>
        <family val="2"/>
      </rPr>
      <t xml:space="preserve">정리</t>
    </r>
  </si>
  <si>
    <t xml:space="preserve">기준일</t>
  </si>
  <si>
    <t xml:space="preserve">2026-10-20</t>
  </si>
  <si>
    <r>
      <rPr>
        <sz val="10"/>
        <rFont val="WenQuanYi Zen Hei"/>
        <family val="2"/>
      </rPr>
      <t xml:space="preserve">약관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케어프리 </t>
    </r>
    <r>
      <rPr>
        <sz val="10"/>
        <rFont val="Arial"/>
        <family val="0"/>
        <charset val="1"/>
      </rPr>
      <t xml:space="preserve">M-Basket 4.0 · </t>
    </r>
    <r>
      <rPr>
        <sz val="10"/>
        <rFont val="WenQuanYi Zen Hei"/>
        <family val="2"/>
      </rPr>
      <t xml:space="preserve">운전자 </t>
    </r>
    <r>
      <rPr>
        <sz val="10"/>
        <rFont val="Arial"/>
        <family val="0"/>
        <charset val="1"/>
      </rPr>
      <t xml:space="preserve">2608 3.0 · </t>
    </r>
    <r>
      <rPr>
        <sz val="10"/>
        <rFont val="WenQuanYi Zen Hei"/>
        <family val="2"/>
      </rPr>
      <t xml:space="preserve">통합간편 </t>
    </r>
    <r>
      <rPr>
        <sz val="10"/>
        <rFont val="Arial"/>
        <family val="0"/>
        <charset val="1"/>
      </rPr>
      <t xml:space="preserve">2607 (</t>
    </r>
    <r>
      <rPr>
        <sz val="10"/>
        <rFont val="WenQuanYi Zen Hei"/>
        <family val="2"/>
      </rPr>
      <t xml:space="preserve">영업지원도구 탑재 약관</t>
    </r>
    <r>
      <rPr>
        <sz val="10"/>
        <rFont val="Arial"/>
        <family val="0"/>
        <charset val="1"/>
      </rPr>
      <t xml:space="preserve">)</t>
    </r>
  </si>
  <si>
    <t xml:space="preserve">시트</t>
  </si>
  <si>
    <t xml:space="preserve">건수</t>
  </si>
  <si>
    <t xml:space="preserve">내용</t>
  </si>
  <si>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II</t>
    </r>
  </si>
  <si>
    <r>
      <rPr>
        <sz val="10"/>
        <rFont val="WenQuanYi Zen Hei"/>
        <family val="2"/>
      </rPr>
      <t xml:space="preserve">수술 술식 기준 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개 항목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악성신생물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방사선 조사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종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약관 조건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</si>
  <si>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 각주</t>
    </r>
  </si>
  <si>
    <r>
      <rPr>
        <sz val="10"/>
        <rFont val="WenQuanYi Zen Hei"/>
        <family val="2"/>
      </rPr>
      <t xml:space="preserve">약관 각주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지급 제외 수술</t>
    </r>
  </si>
  <si>
    <r>
      <rPr>
        <sz val="10"/>
        <rFont val="Arial"/>
        <family val="0"/>
        <charset val="1"/>
      </rPr>
      <t xml:space="preserve">1-7</t>
    </r>
    <r>
      <rPr>
        <sz val="10"/>
        <rFont val="WenQuanYi Zen Hei"/>
        <family val="2"/>
      </rPr>
      <t xml:space="preserve">종</t>
    </r>
  </si>
  <si>
    <r>
      <rPr>
        <sz val="10"/>
        <rFont val="WenQuanYi Zen Hei"/>
        <family val="2"/>
      </rPr>
      <t xml:space="preserve">급여 수술 </t>
    </r>
    <r>
      <rPr>
        <sz val="10"/>
        <rFont val="Arial"/>
        <family val="0"/>
        <charset val="1"/>
      </rPr>
      <t xml:space="preserve">ADRG </t>
    </r>
    <r>
      <rPr>
        <sz val="10"/>
        <rFont val="WenQuanYi Zen Hei"/>
        <family val="2"/>
      </rPr>
      <t xml:space="preserve">수술코드 — 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개 수술구분</t>
    </r>
  </si>
  <si>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 대상질병</t>
    </r>
  </si>
  <si>
    <r>
      <rPr>
        <sz val="10"/>
        <rFont val="WenQuanYi Zen Hei"/>
        <family val="2"/>
      </rPr>
      <t xml:space="preserve">약관 분류표의 대상질병 줄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개 보장군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</si>
  <si>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130·131</t>
    </r>
    <r>
      <rPr>
        <sz val="10"/>
        <rFont val="WenQuanYi Zen Hei"/>
        <family val="2"/>
      </rPr>
      <t xml:space="preserve">대 </t>
    </r>
    <r>
      <rPr>
        <sz val="10"/>
        <rFont val="Arial"/>
        <family val="0"/>
        <charset val="1"/>
      </rPr>
      <t xml:space="preserve">KCD</t>
    </r>
  </si>
  <si>
    <r>
      <rPr>
        <sz val="10"/>
        <rFont val="WenQuanYi Zen Hei"/>
        <family val="2"/>
      </rPr>
      <t xml:space="preserve">세부보장별 </t>
    </r>
    <r>
      <rPr>
        <sz val="10"/>
        <rFont val="Arial"/>
        <family val="0"/>
        <charset val="1"/>
      </rPr>
      <t xml:space="preserve">KCD </t>
    </r>
    <r>
      <rPr>
        <sz val="10"/>
        <rFont val="WenQuanYi Zen Hei"/>
        <family val="2"/>
      </rPr>
      <t xml:space="preserve">전개 </t>
    </r>
    <r>
      <rPr>
        <sz val="10"/>
        <rFont val="Arial"/>
        <family val="0"/>
        <charset val="1"/>
      </rPr>
      <t xml:space="preserve">· 130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/131</t>
    </r>
    <r>
      <rPr>
        <sz val="10"/>
        <rFont val="WenQuanYi Zen Hei"/>
        <family val="2"/>
      </rPr>
      <t xml:space="preserve">대 보장 여부</t>
    </r>
  </si>
  <si>
    <t xml:space="preserve">상품별 탑재</t>
  </si>
  <si>
    <t xml:space="preserve">어느 상품에 어떤 수술비 특약이 있는지</t>
  </si>
  <si>
    <r>
      <rPr>
        <b val="true"/>
        <sz val="11"/>
        <color rgb="FF0B7C6F"/>
        <rFont val="Arial"/>
        <family val="0"/>
        <charset val="1"/>
      </rPr>
      <t xml:space="preserve">1-7</t>
    </r>
    <r>
      <rPr>
        <b val="true"/>
        <sz val="11"/>
        <color rgb="FF0B7C6F"/>
        <rFont val="WenQuanYi Zen Hei"/>
        <family val="2"/>
      </rPr>
      <t xml:space="preserve">종 종별 수술코드 수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</si>
  <si>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</si>
  <si>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</si>
  <si>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</si>
  <si>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</si>
  <si>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</si>
  <si>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</si>
  <si>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종</t>
    </r>
  </si>
  <si>
    <r>
      <rPr>
        <b val="true"/>
        <sz val="11"/>
        <color rgb="FF0B7C6F"/>
        <rFont val="WenQuanYi Zen Hei"/>
        <family val="2"/>
      </rPr>
      <t xml:space="preserve">확인 결과</t>
    </r>
    <r>
      <rPr>
        <b val="true"/>
        <sz val="11"/>
        <color rgb="FF0B7C6F"/>
        <rFont val="Arial"/>
        <family val="0"/>
        <charset val="1"/>
      </rPr>
      <t xml:space="preserve">(2026-10-20)</t>
    </r>
  </si>
  <si>
    <t xml:space="preserve">일치</t>
  </si>
  <si>
    <r>
      <rPr>
        <sz val="10"/>
        <rFont val="WenQuanYi Zen Hei"/>
        <family val="2"/>
      </rPr>
      <t xml:space="preserve">수술코드 </t>
    </r>
    <r>
      <rPr>
        <sz val="10"/>
        <rFont val="Arial"/>
        <family val="0"/>
        <charset val="1"/>
      </rPr>
      <t xml:space="preserve">630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종 — 약관 </t>
    </r>
    <r>
      <rPr>
        <sz val="10"/>
        <rFont val="Arial"/>
        <family val="0"/>
        <charset val="1"/>
      </rPr>
      <t xml:space="preserve">PDF 4</t>
    </r>
    <r>
      <rPr>
        <sz val="10"/>
        <rFont val="WenQuanYi Zen Hei"/>
        <family val="2"/>
      </rPr>
      <t xml:space="preserve">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케어프리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운전자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통합간편 일반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통합간편심사형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직접 읽은 값과 모두 같음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화면 이름 중 조건이 빠진 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줄을 약관 이름으로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「치료적」 자궁소파술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「재원기간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일 이상」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</si>
  <si>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종Ⅱ</t>
    </r>
  </si>
  <si>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줄 종 모두 약관과 같음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상품별 분류표 글도 같음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줄바꿈 차이뿐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빠져 있던 약관 각주를 덧붙임</t>
    </r>
  </si>
  <si>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 </t>
    </r>
    <r>
      <rPr>
        <sz val="10"/>
        <rFont val="Arial"/>
        <family val="0"/>
        <charset val="1"/>
      </rPr>
      <t xml:space="preserve">· 130</t>
    </r>
    <r>
      <rPr>
        <sz val="10"/>
        <rFont val="WenQuanYi Zen Hei"/>
        <family val="2"/>
      </rPr>
      <t xml:space="preserve">대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</si>
  <si>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 바로잡음</t>
    </r>
  </si>
  <si>
    <r>
      <rPr>
        <sz val="10"/>
        <rFont val="WenQuanYi Zen Hei"/>
        <family val="2"/>
      </rPr>
      <t xml:space="preserve">황반변성</t>
    </r>
    <r>
      <rPr>
        <sz val="10"/>
        <rFont val="Arial"/>
        <family val="0"/>
        <charset val="1"/>
      </rPr>
      <t xml:space="preserve">(H35.3) : </t>
    </r>
    <r>
      <rPr>
        <sz val="10"/>
        <rFont val="WenQuanYi Zen Hei"/>
        <family val="2"/>
      </rPr>
      <t xml:space="preserve">약관 다빈도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·62</t>
    </r>
    <r>
      <rPr>
        <sz val="10"/>
        <rFont val="WenQuanYi Zen Hei"/>
        <family val="2"/>
      </rPr>
      <t xml:space="preserve">대 분류표에 「시각질환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황반변성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황반 및 후극부의 변성 </t>
    </r>
    <r>
      <rPr>
        <sz val="10"/>
        <rFont val="Arial"/>
        <family val="0"/>
        <charset val="1"/>
      </rPr>
      <t xml:space="preserve">H35.3</t>
    </r>
    <r>
      <rPr>
        <sz val="10"/>
        <rFont val="WenQuanYi Zen Hei"/>
        <family val="2"/>
      </rPr>
      <t xml:space="preserve">」 독립 줄이 있어 보장</t>
    </r>
    <r>
      <rPr>
        <sz val="10"/>
        <rFont val="Arial"/>
        <family val="0"/>
        <charset val="1"/>
      </rPr>
      <t xml:space="preserve">. 10-20 </t>
    </r>
    <r>
      <rPr>
        <sz val="10"/>
        <rFont val="WenQuanYi Zen Hei"/>
        <family val="2"/>
      </rPr>
      <t xml:space="preserve">오전</t>
    </r>
    <r>
      <rPr>
        <sz val="10"/>
        <rFont val="Arial"/>
        <family val="0"/>
        <charset val="1"/>
      </rPr>
      <t xml:space="preserve">(v8.78)</t>
    </r>
    <r>
      <rPr>
        <sz val="10"/>
        <rFont val="WenQuanYi Zen Hei"/>
        <family val="2"/>
      </rPr>
      <t xml:space="preserve">에 「</t>
    </r>
    <r>
      <rPr>
        <sz val="10"/>
        <rFont val="Arial"/>
        <family val="0"/>
        <charset val="1"/>
      </rPr>
      <t xml:space="preserve">H30-H36 </t>
    </r>
    <r>
      <rPr>
        <sz val="10"/>
        <rFont val="WenQuanYi Zen Hei"/>
        <family val="2"/>
      </rPr>
      <t xml:space="preserve">단</t>
    </r>
    <r>
      <rPr>
        <sz val="10"/>
        <rFont val="Arial"/>
        <family val="0"/>
        <charset val="1"/>
      </rPr>
      <t xml:space="preserve">, H35.3 </t>
    </r>
    <r>
      <rPr>
        <sz val="10"/>
        <rFont val="WenQuanYi Zen Hei"/>
        <family val="2"/>
      </rPr>
      <t xml:space="preserve">제외」 문구만 보고 제외로 바꾼 것을 되돌림 — 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대 </t>
    </r>
    <r>
      <rPr>
        <sz val="10"/>
        <rFont val="Arial"/>
        <family val="0"/>
        <charset val="1"/>
      </rPr>
      <t xml:space="preserve">· 131</t>
    </r>
    <r>
      <rPr>
        <sz val="10"/>
        <rFont val="WenQuanYi Zen Hei"/>
        <family val="2"/>
      </rPr>
      <t xml:space="preserve">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개 상품</t>
    </r>
  </si>
  <si>
    <r>
      <rPr>
        <sz val="10"/>
        <rFont val="WenQuanYi Zen Hei"/>
        <family val="2"/>
      </rPr>
      <t xml:space="preserve">세부보장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개 코드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화면 표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약관</t>
    </r>
    <r>
      <rPr>
        <sz val="10"/>
        <rFont val="Arial"/>
        <family val="0"/>
        <charset val="1"/>
      </rPr>
      <t xml:space="preserve">. 130</t>
    </r>
    <r>
      <rPr>
        <sz val="10"/>
        <rFont val="WenQuanYi Zen Hei"/>
        <family val="2"/>
      </rPr>
      <t xml:space="preserve">대와 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 차이는 추간판장애</t>
    </r>
    <r>
      <rPr>
        <sz val="10"/>
        <rFont val="Arial"/>
        <family val="0"/>
        <charset val="1"/>
      </rPr>
      <t xml:space="preserve">(M50 · M51)</t>
    </r>
    <r>
      <rPr>
        <sz val="10"/>
        <rFont val="WenQuanYi Zen Hei"/>
        <family val="2"/>
      </rPr>
      <t xml:space="preserve">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제외 코드 </t>
    </r>
    <r>
      <rPr>
        <sz val="10"/>
        <rFont val="Arial"/>
        <family val="0"/>
        <charset val="1"/>
      </rPr>
      <t xml:space="preserve">K23.0 · M74 · M78 · N39.3 · N39.4 </t>
    </r>
    <r>
      <rPr>
        <sz val="10"/>
        <rFont val="WenQuanYi Zen Hei"/>
        <family val="2"/>
      </rPr>
      <t xml:space="preserve">는 어느 세부보장에도 없음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약관대로 미보장</t>
    </r>
    <r>
      <rPr>
        <sz val="10"/>
        <rFont val="Arial"/>
        <family val="0"/>
        <charset val="1"/>
      </rPr>
      <t xml:space="preserve">)</t>
    </r>
  </si>
  <si>
    <t xml:space="preserve">주의</t>
  </si>
  <si>
    <r>
      <rPr>
        <sz val="10"/>
        <rFont val="Arial"/>
        <family val="0"/>
        <charset val="1"/>
      </rPr>
      <t xml:space="preserve">H35.0(</t>
    </r>
    <r>
      <rPr>
        <sz val="10"/>
        <rFont val="WenQuanYi Zen Hei"/>
        <family val="2"/>
      </rPr>
      <t xml:space="preserve">배경망막병증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코드 하나에 고혈압성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특정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그 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다빈도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섞여 있어 코드만으로 나눌 수 없다 — 지급 판단 시 상병명 확인</t>
    </r>
  </si>
  <si>
    <t xml:space="preserve">출처</t>
  </si>
  <si>
    <r>
      <rPr>
        <sz val="10"/>
        <rFont val="WenQuanYi Zen Hei"/>
        <family val="2"/>
      </rPr>
      <t xml:space="preserve">영업지원도구</t>
    </r>
    <r>
      <rPr>
        <sz val="10"/>
        <rFont val="Arial"/>
        <family val="0"/>
        <charset val="1"/>
      </rPr>
      <t xml:space="preserve">(tool.html) </t>
    </r>
    <r>
      <rPr>
        <sz val="10"/>
        <rFont val="WenQuanYi Zen Hei"/>
        <family val="2"/>
      </rPr>
      <t xml:space="preserve">특약 마스터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수술비 비교 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약관 별표 원문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생성 </t>
    </r>
    <r>
      <rPr>
        <sz val="10"/>
        <rFont val="Arial"/>
        <family val="0"/>
        <charset val="1"/>
      </rPr>
      <t xml:space="preserve">: scripts/build_surgery_xlsx.py</t>
    </r>
  </si>
  <si>
    <r>
      <rPr>
        <i val="true"/>
        <sz val="10"/>
        <color rgb="FF46536B"/>
        <rFont val="Arial"/>
        <family val="0"/>
        <charset val="1"/>
      </rPr>
      <t xml:space="preserve">1-5</t>
    </r>
    <r>
      <rPr>
        <i val="true"/>
        <sz val="10"/>
        <color rgb="FF46536B"/>
        <rFont val="WenQuanYi Zen Hei"/>
        <family val="2"/>
      </rPr>
      <t xml:space="preserve">종 수술분류표Ⅱ</t>
    </r>
    <r>
      <rPr>
        <i val="true"/>
        <sz val="10"/>
        <color rgb="FF46536B"/>
        <rFont val="Arial"/>
        <family val="0"/>
        <charset val="1"/>
      </rPr>
      <t xml:space="preserve">(</t>
    </r>
    <r>
      <rPr>
        <i val="true"/>
        <sz val="10"/>
        <color rgb="FF46536B"/>
        <rFont val="WenQuanYi Zen Hei"/>
        <family val="2"/>
      </rPr>
      <t xml:space="preserve">별표</t>
    </r>
    <r>
      <rPr>
        <i val="true"/>
        <sz val="10"/>
        <color rgb="FF46536B"/>
        <rFont val="Arial"/>
        <family val="0"/>
        <charset val="1"/>
      </rPr>
      <t xml:space="preserve">76) — </t>
    </r>
    <r>
      <rPr>
        <i val="true"/>
        <sz val="10"/>
        <color rgb="FF46536B"/>
        <rFont val="WenQuanYi Zen Hei"/>
        <family val="2"/>
      </rPr>
      <t xml:space="preserve">수술 술식 기준 </t>
    </r>
    <r>
      <rPr>
        <i val="true"/>
        <sz val="10"/>
        <color rgb="FF46536B"/>
        <rFont val="Arial"/>
        <family val="0"/>
        <charset val="1"/>
      </rPr>
      <t xml:space="preserve">· </t>
    </r>
    <r>
      <rPr>
        <i val="true"/>
        <sz val="10"/>
        <color rgb="FF46536B"/>
        <rFont val="WenQuanYi Zen Hei"/>
        <family val="2"/>
      </rPr>
      <t xml:space="preserve">급여</t>
    </r>
    <r>
      <rPr>
        <i val="true"/>
        <sz val="10"/>
        <color rgb="FF46536B"/>
        <rFont val="Arial"/>
        <family val="0"/>
        <charset val="1"/>
      </rPr>
      <t xml:space="preserve">/</t>
    </r>
    <r>
      <rPr>
        <i val="true"/>
        <sz val="10"/>
        <color rgb="FF46536B"/>
        <rFont val="WenQuanYi Zen Hei"/>
        <family val="2"/>
      </rPr>
      <t xml:space="preserve">비급여 무관 </t>
    </r>
    <r>
      <rPr>
        <i val="true"/>
        <sz val="10"/>
        <color rgb="FF46536B"/>
        <rFont val="Arial"/>
        <family val="0"/>
        <charset val="1"/>
      </rPr>
      <t xml:space="preserve">· </t>
    </r>
    <r>
      <rPr>
        <i val="true"/>
        <sz val="10"/>
        <color rgb="FF46536B"/>
        <rFont val="WenQuanYi Zen Hei"/>
        <family val="2"/>
      </rPr>
      <t xml:space="preserve">질병</t>
    </r>
    <r>
      <rPr>
        <i val="true"/>
        <sz val="10"/>
        <color rgb="FF46536B"/>
        <rFont val="Arial"/>
        <family val="0"/>
        <charset val="1"/>
      </rPr>
      <t xml:space="preserve">·</t>
    </r>
    <r>
      <rPr>
        <i val="true"/>
        <sz val="10"/>
        <color rgb="FF46536B"/>
        <rFont val="WenQuanYi Zen Hei"/>
        <family val="2"/>
      </rPr>
      <t xml:space="preserve">상해 공통</t>
    </r>
    <r>
      <rPr>
        <i val="true"/>
        <sz val="10"/>
        <color rgb="FF46536B"/>
        <rFont val="Arial"/>
        <family val="0"/>
        <charset val="1"/>
      </rPr>
      <t xml:space="preserve">. </t>
    </r>
    <r>
      <rPr>
        <i val="true"/>
        <sz val="10"/>
        <color rgb="FF46536B"/>
        <rFont val="WenQuanYi Zen Hei"/>
        <family val="2"/>
      </rPr>
      <t xml:space="preserve">종이 높을수록 지급액이 큼</t>
    </r>
    <r>
      <rPr>
        <i val="true"/>
        <sz val="10"/>
        <color rgb="FF46536B"/>
        <rFont val="Arial"/>
        <family val="0"/>
        <charset val="1"/>
      </rPr>
      <t xml:space="preserve">. </t>
    </r>
    <r>
      <rPr>
        <i val="true"/>
        <sz val="10"/>
        <color rgb="FF46536B"/>
        <rFont val="WenQuanYi Zen Hei"/>
        <family val="2"/>
      </rPr>
      <t xml:space="preserve">아래 각주는 「</t>
    </r>
    <r>
      <rPr>
        <i val="true"/>
        <sz val="10"/>
        <color rgb="FF46536B"/>
        <rFont val="Arial"/>
        <family val="0"/>
        <charset val="1"/>
      </rPr>
      <t xml:space="preserve">1-5</t>
    </r>
    <r>
      <rPr>
        <i val="true"/>
        <sz val="10"/>
        <color rgb="FF46536B"/>
        <rFont val="WenQuanYi Zen Hei"/>
        <family val="2"/>
      </rPr>
      <t xml:space="preserve">종 각주」 시트</t>
    </r>
  </si>
  <si>
    <t xml:space="preserve">계통</t>
  </si>
  <si>
    <t xml:space="preserve">번호</t>
  </si>
  <si>
    <t xml:space="preserve">수술명</t>
  </si>
  <si>
    <t xml:space="preserve">종</t>
  </si>
  <si>
    <r>
      <rPr>
        <b val="true"/>
        <sz val="11"/>
        <color rgb="FFFFFFFF"/>
        <rFont val="WenQuanYi Zen Hei"/>
        <family val="2"/>
      </rPr>
      <t xml:space="preserve">비고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약관 조건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</si>
  <si>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피부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유방</t>
    </r>
  </si>
  <si>
    <t xml:space="preserve">1</t>
  </si>
  <si>
    <r>
      <rPr>
        <sz val="10"/>
        <rFont val="WenQuanYi Zen Hei"/>
        <family val="2"/>
      </rPr>
      <t xml:space="preserve">피부이식수술</t>
    </r>
    <r>
      <rPr>
        <sz val="10"/>
        <rFont val="Arial"/>
        <family val="0"/>
        <charset val="1"/>
      </rPr>
      <t xml:space="preserve">(25</t>
    </r>
    <r>
      <rPr>
        <sz val="10"/>
        <rFont val="WenQuanYi Zen Hei"/>
        <family val="2"/>
      </rPr>
      <t xml:space="preserve">㎠ 이상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피판수술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</si>
  <si>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피판분리</t>
    </r>
    <r>
      <rPr>
        <sz val="10"/>
        <rFont val="Arial"/>
        <family val="0"/>
        <charset val="1"/>
      </rPr>
      <t xml:space="preserve">·Z flap·W flap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]</t>
    </r>
  </si>
  <si>
    <t xml:space="preserve">2</t>
  </si>
  <si>
    <r>
      <rPr>
        <sz val="10"/>
        <rFont val="WenQuanYi Zen Hei"/>
        <family val="2"/>
      </rPr>
      <t xml:space="preserve">피부이식수술</t>
    </r>
    <r>
      <rPr>
        <sz val="10"/>
        <rFont val="Arial"/>
        <family val="0"/>
        <charset val="1"/>
      </rPr>
      <t xml:space="preserve">(25</t>
    </r>
    <r>
      <rPr>
        <sz val="10"/>
        <rFont val="WenQuanYi Zen Hei"/>
        <family val="2"/>
      </rPr>
      <t xml:space="preserve">㎠ 미만</t>
    </r>
    <r>
      <rPr>
        <sz val="10"/>
        <rFont val="Arial"/>
        <family val="0"/>
        <charset val="1"/>
      </rPr>
      <t xml:space="preserve">)</t>
    </r>
  </si>
  <si>
    <t xml:space="preserve">3</t>
  </si>
  <si>
    <r>
      <rPr>
        <sz val="10"/>
        <rFont val="WenQuanYi Zen Hei"/>
        <family val="2"/>
      </rPr>
      <t xml:space="preserve">유방절단수술</t>
    </r>
    <r>
      <rPr>
        <sz val="10"/>
        <rFont val="Arial"/>
        <family val="0"/>
        <charset val="1"/>
      </rPr>
      <t xml:space="preserve">(Mastectomy)</t>
    </r>
  </si>
  <si>
    <r>
      <rPr>
        <sz val="10"/>
        <rFont val="WenQuanYi Zen Hei"/>
        <family val="2"/>
      </rPr>
      <t xml:space="preserve">유방비대</t>
    </r>
    <r>
      <rPr>
        <sz val="10"/>
        <rFont val="Arial"/>
        <family val="0"/>
        <charset val="1"/>
      </rPr>
      <t xml:space="preserve">(N62)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종</t>
    </r>
  </si>
  <si>
    <t xml:space="preserve">4</t>
  </si>
  <si>
    <t xml:space="preserve">기타 유방수술</t>
  </si>
  <si>
    <r>
      <rPr>
        <sz val="10"/>
        <rFont val="WenQuanYi Zen Hei"/>
        <family val="2"/>
      </rPr>
      <t xml:space="preserve">맘모톰 등 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일내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회로 간주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농양 절개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배액 제외</t>
    </r>
  </si>
  <si>
    <t xml:space="preserve">근골</t>
  </si>
  <si>
    <t xml:space="preserve">5</t>
  </si>
  <si>
    <r>
      <rPr>
        <sz val="10"/>
        <rFont val="WenQuanYi Zen Hei"/>
        <family val="2"/>
      </rPr>
      <t xml:space="preserve">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이식수술</t>
    </r>
  </si>
  <si>
    <t xml:space="preserve">6</t>
  </si>
  <si>
    <t xml:space="preserve">두개골 관혈수술</t>
  </si>
  <si>
    <r>
      <rPr>
        <sz val="10"/>
        <rFont val="WenQuanYi Zen Hei"/>
        <family val="2"/>
      </rPr>
      <t xml:space="preserve">비골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비중격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상악골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하악골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악관절 제외</t>
    </r>
  </si>
  <si>
    <t xml:space="preserve">7</t>
  </si>
  <si>
    <t xml:space="preserve">비골 수술</t>
  </si>
  <si>
    <r>
      <rPr>
        <sz val="10"/>
        <rFont val="WenQuanYi Zen Hei"/>
        <family val="2"/>
      </rPr>
      <t xml:space="preserve">비중격만곡증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수면중무호흡 제외</t>
    </r>
  </si>
  <si>
    <t xml:space="preserve">8</t>
  </si>
  <si>
    <r>
      <rPr>
        <sz val="10"/>
        <rFont val="WenQuanYi Zen Hei"/>
        <family val="2"/>
      </rPr>
      <t xml:space="preserve">상악골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하악골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악관절 관혈수술</t>
    </r>
  </si>
  <si>
    <t xml:space="preserve">9</t>
  </si>
  <si>
    <r>
      <rPr>
        <sz val="10"/>
        <rFont val="WenQuanYi Zen Hei"/>
        <family val="2"/>
      </rPr>
      <t xml:space="preserve">척추골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골반골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추간판 관혈수술</t>
    </r>
  </si>
  <si>
    <t xml:space="preserve">10</t>
  </si>
  <si>
    <r>
      <rPr>
        <sz val="10"/>
        <rFont val="WenQuanYi Zen Hei"/>
        <family val="2"/>
      </rPr>
      <t xml:space="preserve">쇄골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견갑골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늑골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흉골 관혈수술</t>
    </r>
  </si>
  <si>
    <t xml:space="preserve">11-1</t>
  </si>
  <si>
    <r>
      <rPr>
        <sz val="10"/>
        <rFont val="WenQuanYi Zen Hei"/>
        <family val="2"/>
      </rPr>
      <t xml:space="preserve">손가락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발가락 절단수술</t>
    </r>
  </si>
  <si>
    <r>
      <rPr>
        <sz val="10"/>
        <rFont val="WenQuanYi Zen Hei"/>
        <family val="2"/>
      </rPr>
      <t xml:space="preserve">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관절 이단 수반</t>
    </r>
  </si>
  <si>
    <t xml:space="preserve">11-2</t>
  </si>
  <si>
    <t xml:space="preserve">기타 사지 절단수술</t>
  </si>
  <si>
    <t xml:space="preserve">12</t>
  </si>
  <si>
    <t xml:space="preserve">절단된 사지 재접합수술</t>
  </si>
  <si>
    <t xml:space="preserve">13-1</t>
  </si>
  <si>
    <r>
      <rPr>
        <sz val="10"/>
        <rFont val="WenQuanYi Zen Hei"/>
        <family val="2"/>
      </rPr>
      <t xml:space="preserve">손가락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발가락의 골 및 관절 관혈수술</t>
    </r>
  </si>
  <si>
    <t xml:space="preserve">13-2</t>
  </si>
  <si>
    <r>
      <rPr>
        <sz val="10"/>
        <rFont val="WenQuanYi Zen Hei"/>
        <family val="2"/>
      </rPr>
      <t xml:space="preserve">기타 사지골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사지관절 관혈수술</t>
    </r>
  </si>
  <si>
    <t xml:space="preserve">14</t>
  </si>
  <si>
    <r>
      <rPr>
        <sz val="10"/>
        <rFont val="WenQuanYi Zen Hei"/>
        <family val="2"/>
      </rPr>
      <t xml:space="preserve">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연골 관혈수술</t>
    </r>
  </si>
  <si>
    <r>
      <rPr>
        <sz val="10"/>
        <rFont val="WenQuanYi Zen Hei"/>
        <family val="2"/>
      </rPr>
      <t xml:space="preserve">호흡기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흉부</t>
    </r>
  </si>
  <si>
    <t xml:space="preserve">15</t>
  </si>
  <si>
    <t xml:space="preserve">만성부비강염 근본수술</t>
  </si>
  <si>
    <t xml:space="preserve">16</t>
  </si>
  <si>
    <t xml:space="preserve">후두 관혈적 절제수술</t>
  </si>
  <si>
    <t xml:space="preserve">17</t>
  </si>
  <si>
    <r>
      <rPr>
        <sz val="10"/>
        <rFont val="WenQuanYi Zen Hei"/>
        <family val="2"/>
      </rPr>
      <t xml:space="preserve">편도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아데노이드 절제수술</t>
    </r>
  </si>
  <si>
    <t xml:space="preserve">18</t>
  </si>
  <si>
    <r>
      <rPr>
        <sz val="10"/>
        <rFont val="WenQuanYi Zen Hei"/>
        <family val="2"/>
      </rPr>
      <t xml:space="preserve">기관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흉막 관혈수술</t>
    </r>
  </si>
  <si>
    <t xml:space="preserve">개흉술 수반</t>
  </si>
  <si>
    <t xml:space="preserve">19</t>
  </si>
  <si>
    <t xml:space="preserve">폐장 이식수술</t>
  </si>
  <si>
    <t xml:space="preserve">수용자에 한함</t>
  </si>
  <si>
    <t xml:space="preserve">20</t>
  </si>
  <si>
    <t xml:space="preserve">흉곽 형성수술</t>
  </si>
  <si>
    <t xml:space="preserve">21</t>
  </si>
  <si>
    <r>
      <rPr>
        <sz val="10"/>
        <rFont val="WenQuanYi Zen Hei"/>
        <family val="2"/>
      </rPr>
      <t xml:space="preserve">종격종양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흉선 절제수술</t>
    </r>
  </si>
  <si>
    <r>
      <rPr>
        <sz val="10"/>
        <rFont val="WenQuanYi Zen Hei"/>
        <family val="2"/>
      </rPr>
      <t xml:space="preserve">순환기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비장</t>
    </r>
  </si>
  <si>
    <t xml:space="preserve">22</t>
  </si>
  <si>
    <t xml:space="preserve">혈관 관혈수술</t>
  </si>
  <si>
    <r>
      <rPr>
        <sz val="10"/>
        <rFont val="WenQuanYi Zen Hei"/>
        <family val="2"/>
      </rPr>
      <t xml:space="preserve">하지정맥류 및 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발가락 제외</t>
    </r>
  </si>
  <si>
    <t xml:space="preserve">23</t>
  </si>
  <si>
    <r>
      <rPr>
        <sz val="10"/>
        <rFont val="WenQuanYi Zen Hei"/>
        <family val="2"/>
      </rPr>
      <t xml:space="preserve">하지정맥류 근본수술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손발가락 혈관수술</t>
    </r>
  </si>
  <si>
    <t xml:space="preserve">24</t>
  </si>
  <si>
    <r>
      <rPr>
        <sz val="10"/>
        <rFont val="WenQuanYi Zen Hei"/>
        <family val="2"/>
      </rPr>
      <t xml:space="preserve">대동맥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대정맥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폐동맥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관동맥 관혈수술</t>
    </r>
  </si>
  <si>
    <r>
      <rPr>
        <sz val="10"/>
        <rFont val="WenQuanYi Zen Hei"/>
        <family val="2"/>
      </rPr>
      <t xml:space="preserve">개흉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개복 수반</t>
    </r>
  </si>
  <si>
    <t xml:space="preserve">25</t>
  </si>
  <si>
    <t xml:space="preserve">심막 관혈수술</t>
  </si>
  <si>
    <t xml:space="preserve">26</t>
  </si>
  <si>
    <t xml:space="preserve">심장내 관혈수술</t>
  </si>
  <si>
    <t xml:space="preserve">27</t>
  </si>
  <si>
    <t xml:space="preserve">심장 이식수술</t>
  </si>
  <si>
    <t xml:space="preserve">28</t>
  </si>
  <si>
    <t xml:space="preserve">체내용 인공심박조율기 매입술</t>
  </si>
  <si>
    <t xml:space="preserve">29</t>
  </si>
  <si>
    <t xml:space="preserve">비장 절제수술</t>
  </si>
  <si>
    <t xml:space="preserve">소화기</t>
  </si>
  <si>
    <t xml:space="preserve">30</t>
  </si>
  <si>
    <t xml:space="preserve">이하선 절제수술</t>
  </si>
  <si>
    <t xml:space="preserve">31-1</t>
  </si>
  <si>
    <r>
      <rPr>
        <sz val="10"/>
        <rFont val="WenQuanYi Zen Hei"/>
        <family val="2"/>
      </rPr>
      <t xml:space="preserve">악하선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설하선 절제수술</t>
    </r>
  </si>
  <si>
    <t xml:space="preserve">31-2</t>
  </si>
  <si>
    <t xml:space="preserve">기타 타액선 절제수술</t>
  </si>
  <si>
    <t xml:space="preserve">타석제거 제외</t>
  </si>
  <si>
    <t xml:space="preserve">32</t>
  </si>
  <si>
    <t xml:space="preserve">식도 이단술</t>
  </si>
  <si>
    <t xml:space="preserve">33</t>
  </si>
  <si>
    <t xml:space="preserve">위 절제수술</t>
  </si>
  <si>
    <t xml:space="preserve">개복술 수반</t>
  </si>
  <si>
    <t xml:space="preserve">34</t>
  </si>
  <si>
    <r>
      <rPr>
        <sz val="10"/>
        <rFont val="WenQuanYi Zen Hei"/>
        <family val="2"/>
      </rPr>
      <t xml:space="preserve">기타의 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식도 관혈수술</t>
    </r>
  </si>
  <si>
    <t xml:space="preserve">35</t>
  </si>
  <si>
    <r>
      <rPr>
        <sz val="10"/>
        <rFont val="WenQuanYi Zen Hei"/>
        <family val="2"/>
      </rPr>
      <t xml:space="preserve">간장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췌장 관혈수술</t>
    </r>
  </si>
  <si>
    <t xml:space="preserve">36</t>
  </si>
  <si>
    <r>
      <rPr>
        <sz val="10"/>
        <rFont val="WenQuanYi Zen Hei"/>
        <family val="2"/>
      </rPr>
      <t xml:space="preserve">담낭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담도 관혈수술</t>
    </r>
  </si>
  <si>
    <r>
      <rPr>
        <sz val="10"/>
        <rFont val="WenQuanYi Zen Hei"/>
        <family val="2"/>
      </rPr>
      <t xml:space="preserve">담석증</t>
    </r>
    <r>
      <rPr>
        <sz val="10"/>
        <rFont val="Arial"/>
        <family val="0"/>
        <charset val="1"/>
      </rPr>
      <t xml:space="preserve">(K80)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종</t>
    </r>
  </si>
  <si>
    <t xml:space="preserve">37</t>
  </si>
  <si>
    <t xml:space="preserve">간장 이식수술</t>
  </si>
  <si>
    <r>
      <rPr>
        <sz val="10"/>
        <rFont val="WenQuanYi Zen Hei"/>
        <family val="2"/>
      </rPr>
      <t xml:space="preserve">수용자에 한함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개복 수반</t>
    </r>
  </si>
  <si>
    <t xml:space="preserve">38</t>
  </si>
  <si>
    <t xml:space="preserve">췌장 이식수술</t>
  </si>
  <si>
    <r>
      <rPr>
        <sz val="10"/>
        <rFont val="WenQuanYi Zen Hei"/>
        <family val="2"/>
      </rPr>
      <t xml:space="preserve">개복 수반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수용자에 한함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랑게르한스 소도세포 이식 제외</t>
    </r>
  </si>
  <si>
    <t xml:space="preserve">39</t>
  </si>
  <si>
    <t xml:space="preserve">탈장 근본수술</t>
  </si>
  <si>
    <t xml:space="preserve">40</t>
  </si>
  <si>
    <t xml:space="preserve">전신성 복막염 수술</t>
  </si>
  <si>
    <t xml:space="preserve">41</t>
  </si>
  <si>
    <r>
      <rPr>
        <sz val="10"/>
        <rFont val="WenQuanYi Zen Hei"/>
        <family val="2"/>
      </rPr>
      <t xml:space="preserve">충수절제술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맹장봉축술</t>
    </r>
  </si>
  <si>
    <r>
      <rPr>
        <sz val="10"/>
        <rFont val="WenQuanYi Zen Hei"/>
        <family val="2"/>
      </rPr>
      <t xml:space="preserve">충수주위 농양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국한성 복막염 포함</t>
    </r>
  </si>
  <si>
    <t xml:space="preserve">42</t>
  </si>
  <si>
    <t xml:space="preserve">직장탈 근본수술</t>
  </si>
  <si>
    <t xml:space="preserve">43</t>
  </si>
  <si>
    <r>
      <rPr>
        <sz val="10"/>
        <rFont val="WenQuanYi Zen Hei"/>
        <family val="2"/>
      </rPr>
      <t xml:space="preserve">소장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장간막 관혈수술</t>
    </r>
  </si>
  <si>
    <r>
      <rPr>
        <sz val="10"/>
        <rFont val="WenQuanYi Zen Hei"/>
        <family val="2"/>
      </rPr>
      <t xml:space="preserve">개복 수반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직장탈근본수술 제외</t>
    </r>
  </si>
  <si>
    <t xml:space="preserve">44</t>
  </si>
  <si>
    <r>
      <rPr>
        <sz val="10"/>
        <rFont val="WenQuanYi Zen Hei"/>
        <family val="2"/>
      </rPr>
      <t xml:space="preserve">치루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탈항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치핵 근본수술</t>
    </r>
  </si>
  <si>
    <t xml:space="preserve">근치목적 아닌 수술 제외</t>
  </si>
  <si>
    <r>
      <rPr>
        <sz val="10"/>
        <rFont val="WenQuanYi Zen Hei"/>
        <family val="2"/>
      </rPr>
      <t xml:space="preserve">비뇨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생식기</t>
    </r>
  </si>
  <si>
    <t xml:space="preserve">45</t>
  </si>
  <si>
    <r>
      <rPr>
        <sz val="10"/>
        <rFont val="WenQuanYi Zen Hei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요관 관혈수술</t>
    </r>
  </si>
  <si>
    <r>
      <rPr>
        <sz val="10"/>
        <rFont val="WenQuanYi Zen Hei"/>
        <family val="2"/>
      </rPr>
      <t xml:space="preserve">개복 수반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경요도적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방광류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요실금 제외</t>
    </r>
  </si>
  <si>
    <t xml:space="preserve">46</t>
  </si>
  <si>
    <t xml:space="preserve">요도 관혈수술</t>
  </si>
  <si>
    <t xml:space="preserve">경요도적 조작 제외</t>
  </si>
  <si>
    <t xml:space="preserve">47</t>
  </si>
  <si>
    <r>
      <rPr>
        <sz val="10"/>
        <rFont val="WenQuanYi Zen Hei"/>
        <family val="2"/>
      </rPr>
      <t xml:space="preserve">방광류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요실금 교정수술</t>
    </r>
  </si>
  <si>
    <t xml:space="preserve">48</t>
  </si>
  <si>
    <t xml:space="preserve">신장 이식수술</t>
  </si>
  <si>
    <t xml:space="preserve">49</t>
  </si>
  <si>
    <t xml:space="preserve">음경 절단수술</t>
  </si>
  <si>
    <r>
      <rPr>
        <sz val="10"/>
        <rFont val="WenQuanYi Zen Hei"/>
        <family val="2"/>
      </rPr>
      <t xml:space="preserve">포경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음경이물제거 제외</t>
    </r>
  </si>
  <si>
    <t xml:space="preserve">50</t>
  </si>
  <si>
    <r>
      <rPr>
        <sz val="10"/>
        <rFont val="WenQuanYi Zen Hei"/>
        <family val="2"/>
      </rPr>
      <t xml:space="preserve">고환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부고환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전립선 관혈수술</t>
    </r>
  </si>
  <si>
    <t xml:space="preserve">51</t>
  </si>
  <si>
    <t xml:space="preserve">음낭 관혈수술</t>
  </si>
  <si>
    <t xml:space="preserve">52</t>
  </si>
  <si>
    <r>
      <rPr>
        <sz val="10"/>
        <rFont val="WenQuanYi Zen Hei"/>
        <family val="2"/>
      </rPr>
      <t xml:space="preserve">자궁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난관 관혈수술</t>
    </r>
  </si>
  <si>
    <r>
      <rPr>
        <sz val="10"/>
        <rFont val="WenQuanYi Zen Hei"/>
        <family val="2"/>
      </rPr>
      <t xml:space="preserve">제왕절개만출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경질적 제외</t>
    </r>
  </si>
  <si>
    <t xml:space="preserve">53</t>
  </si>
  <si>
    <r>
      <rPr>
        <sz val="10"/>
        <rFont val="WenQuanYi Zen Hei"/>
        <family val="2"/>
      </rPr>
      <t xml:space="preserve">경질적 자궁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난관 수술</t>
    </r>
  </si>
  <si>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일내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회로 간주</t>
    </r>
  </si>
  <si>
    <t xml:space="preserve">54</t>
  </si>
  <si>
    <t xml:space="preserve">제왕절개만출술</t>
  </si>
  <si>
    <t xml:space="preserve">55</t>
  </si>
  <si>
    <t xml:space="preserve">질탈 근본수술</t>
  </si>
  <si>
    <t xml:space="preserve">내분비</t>
  </si>
  <si>
    <t xml:space="preserve">56</t>
  </si>
  <si>
    <t xml:space="preserve">뇌하수체종양 절제수술</t>
  </si>
  <si>
    <t xml:space="preserve">57</t>
  </si>
  <si>
    <r>
      <rPr>
        <sz val="10"/>
        <rFont val="WenQuanYi Zen Hei"/>
        <family val="2"/>
      </rPr>
      <t xml:space="preserve">갑상선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부갑상선 관혈수술</t>
    </r>
  </si>
  <si>
    <t xml:space="preserve">58</t>
  </si>
  <si>
    <t xml:space="preserve">부신 절제수술</t>
  </si>
  <si>
    <t xml:space="preserve">신경계</t>
  </si>
  <si>
    <t xml:space="preserve">59</t>
  </si>
  <si>
    <t xml:space="preserve">두개내 관혈수술</t>
  </si>
  <si>
    <t xml:space="preserve">개두술 수반</t>
  </si>
  <si>
    <t xml:space="preserve">60</t>
  </si>
  <si>
    <t xml:space="preserve">신경 관혈수술</t>
  </si>
  <si>
    <t xml:space="preserve">61</t>
  </si>
  <si>
    <t xml:space="preserve">관혈적 척수종양 절제수술</t>
  </si>
  <si>
    <t xml:space="preserve">62</t>
  </si>
  <si>
    <t xml:space="preserve">척수경막내외 관혈수술</t>
  </si>
  <si>
    <t xml:space="preserve">시각기</t>
  </si>
  <si>
    <t xml:space="preserve">63</t>
  </si>
  <si>
    <t xml:space="preserve">안검하수증 수술</t>
  </si>
  <si>
    <t xml:space="preserve">안검내반증 제외</t>
  </si>
  <si>
    <t xml:space="preserve">64</t>
  </si>
  <si>
    <t xml:space="preserve">누소관 형성수술</t>
  </si>
  <si>
    <t xml:space="preserve">누관튜브삽입술 포함</t>
  </si>
  <si>
    <t xml:space="preserve">65</t>
  </si>
  <si>
    <t xml:space="preserve">누낭비강 관혈수술</t>
  </si>
  <si>
    <t xml:space="preserve">66</t>
  </si>
  <si>
    <t xml:space="preserve">결막낭 형성수술</t>
  </si>
  <si>
    <t xml:space="preserve">67</t>
  </si>
  <si>
    <r>
      <rPr>
        <sz val="10"/>
        <rFont val="WenQuanYi Zen Hei"/>
        <family val="2"/>
      </rPr>
      <t xml:space="preserve">각막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공막 봉합수술</t>
    </r>
  </si>
  <si>
    <t xml:space="preserve">68</t>
  </si>
  <si>
    <r>
      <rPr>
        <sz val="10"/>
        <rFont val="WenQuanYi Zen Hei"/>
        <family val="2"/>
      </rPr>
      <t xml:space="preserve">각막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공막 이식수술</t>
    </r>
  </si>
  <si>
    <t xml:space="preserve">69</t>
  </si>
  <si>
    <r>
      <rPr>
        <sz val="10"/>
        <rFont val="WenQuanYi Zen Hei"/>
        <family val="2"/>
      </rPr>
      <t xml:space="preserve">전방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홍채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유리체 관혈수술</t>
    </r>
  </si>
  <si>
    <t xml:space="preserve">70</t>
  </si>
  <si>
    <t xml:space="preserve">녹내장 관혈수술</t>
  </si>
  <si>
    <t xml:space="preserve">71</t>
  </si>
  <si>
    <r>
      <rPr>
        <sz val="10"/>
        <rFont val="WenQuanYi Zen Hei"/>
        <family val="2"/>
      </rPr>
      <t xml:space="preserve">백내장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수정체 관혈수술</t>
    </r>
  </si>
  <si>
    <t xml:space="preserve">72</t>
  </si>
  <si>
    <t xml:space="preserve">망막박리 수술</t>
  </si>
  <si>
    <t xml:space="preserve">73</t>
  </si>
  <si>
    <t xml:space="preserve">레이저에 의한 안구 수술</t>
  </si>
  <si>
    <r>
      <rPr>
        <sz val="10"/>
        <rFont val="WenQuanYi Zen Hei"/>
        <family val="2"/>
      </rPr>
      <t xml:space="preserve">시력회복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개선 목적 제외 </t>
    </r>
    <r>
      <rPr>
        <sz val="10"/>
        <rFont val="Arial"/>
        <family val="0"/>
        <charset val="1"/>
      </rPr>
      <t xml:space="preserve">/ 60</t>
    </r>
    <r>
      <rPr>
        <sz val="10"/>
        <rFont val="WenQuanYi Zen Hei"/>
        <family val="2"/>
      </rPr>
      <t xml:space="preserve">일내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</si>
  <si>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t xml:space="preserve">74</t>
  </si>
  <si>
    <t xml:space="preserve">냉동응고에 의한 안구 수술</t>
  </si>
  <si>
    <t xml:space="preserve">75</t>
  </si>
  <si>
    <r>
      <rPr>
        <sz val="10"/>
        <rFont val="WenQuanYi Zen Hei"/>
        <family val="2"/>
      </rPr>
      <t xml:space="preserve">안구적출술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조직충전술</t>
    </r>
  </si>
  <si>
    <t xml:space="preserve">76</t>
  </si>
  <si>
    <t xml:space="preserve">안와내양절제수술</t>
  </si>
  <si>
    <t xml:space="preserve">77</t>
  </si>
  <si>
    <t xml:space="preserve">관혈적 안와내 이물제거수술</t>
  </si>
  <si>
    <t xml:space="preserve">78</t>
  </si>
  <si>
    <t xml:space="preserve">안근 관혈수술</t>
  </si>
  <si>
    <t xml:space="preserve">청각기</t>
  </si>
  <si>
    <t xml:space="preserve">79</t>
  </si>
  <si>
    <t xml:space="preserve">관혈적 고막 성형술</t>
  </si>
  <si>
    <t xml:space="preserve">고막 패치술 제외</t>
  </si>
  <si>
    <t xml:space="preserve">80</t>
  </si>
  <si>
    <t xml:space="preserve">유양동 절제술</t>
  </si>
  <si>
    <t xml:space="preserve">81</t>
  </si>
  <si>
    <t xml:space="preserve">중이 관혈수술</t>
  </si>
  <si>
    <t xml:space="preserve">중이내 튜브유치술 제외</t>
  </si>
  <si>
    <t xml:space="preserve">82</t>
  </si>
  <si>
    <t xml:space="preserve">중이내 튜브유치술</t>
  </si>
  <si>
    <r>
      <rPr>
        <sz val="10"/>
        <rFont val="WenQuanYi Zen Hei"/>
        <family val="2"/>
      </rPr>
      <t xml:space="preserve">고막 패치술 제외 </t>
    </r>
    <r>
      <rPr>
        <sz val="10"/>
        <rFont val="Arial"/>
        <family val="0"/>
        <charset val="1"/>
      </rPr>
      <t xml:space="preserve">/ 60</t>
    </r>
    <r>
      <rPr>
        <sz val="10"/>
        <rFont val="WenQuanYi Zen Hei"/>
        <family val="2"/>
      </rPr>
      <t xml:space="preserve">일내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</si>
  <si>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t xml:space="preserve">83</t>
  </si>
  <si>
    <t xml:space="preserve">내이 관혈수술</t>
  </si>
  <si>
    <t xml:space="preserve">상기 이외</t>
  </si>
  <si>
    <t xml:space="preserve">84</t>
  </si>
  <si>
    <t xml:space="preserve">상기 이외의 개두술</t>
  </si>
  <si>
    <t xml:space="preserve">85</t>
  </si>
  <si>
    <t xml:space="preserve">상기 이외의 개흉술</t>
  </si>
  <si>
    <t xml:space="preserve">86</t>
  </si>
  <si>
    <t xml:space="preserve">상기 이외의 개복술</t>
  </si>
  <si>
    <t xml:space="preserve">87</t>
  </si>
  <si>
    <r>
      <rPr>
        <sz val="10"/>
        <rFont val="WenQuanYi Zen Hei"/>
        <family val="2"/>
      </rPr>
      <t xml:space="preserve">체외충격파쇄석술</t>
    </r>
    <r>
      <rPr>
        <sz val="10"/>
        <rFont val="Arial"/>
        <family val="0"/>
        <charset val="1"/>
      </rPr>
      <t xml:space="preserve">(ESWL)</t>
    </r>
  </si>
  <si>
    <r>
      <rPr>
        <sz val="10"/>
        <rFont val="WenQuanYi Zen Hei"/>
        <family val="2"/>
      </rPr>
      <t xml:space="preserve">체외충격파치료술 </t>
    </r>
    <r>
      <rPr>
        <sz val="10"/>
        <rFont val="Arial"/>
        <family val="0"/>
        <charset val="1"/>
      </rPr>
      <t xml:space="preserve">ESWT </t>
    </r>
    <r>
      <rPr>
        <sz val="10"/>
        <rFont val="WenQuanYi Zen Hei"/>
        <family val="2"/>
      </rPr>
      <t xml:space="preserve">제외 </t>
    </r>
    <r>
      <rPr>
        <sz val="10"/>
        <rFont val="Arial"/>
        <family val="0"/>
        <charset val="1"/>
      </rPr>
      <t xml:space="preserve">/ 60</t>
    </r>
    <r>
      <rPr>
        <sz val="10"/>
        <rFont val="WenQuanYi Zen Hei"/>
        <family val="2"/>
      </rPr>
      <t xml:space="preserve">일내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</si>
  <si>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t xml:space="preserve">88-1</t>
  </si>
  <si>
    <r>
      <rPr>
        <sz val="10"/>
        <rFont val="WenQuanYi Zen Hei"/>
        <family val="2"/>
      </rPr>
      <t xml:space="preserve">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카테터 경피적 수술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심장</t>
    </r>
  </si>
  <si>
    <t xml:space="preserve">88-2</t>
  </si>
  <si>
    <r>
      <rPr>
        <sz val="10"/>
        <rFont val="WenQuanYi Zen Hei"/>
        <family val="2"/>
      </rPr>
      <t xml:space="preserve">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카테터 경피적 수술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후두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비뇨생식제외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척추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사지관절</t>
    </r>
  </si>
  <si>
    <r>
      <rPr>
        <sz val="10"/>
        <rFont val="WenQuanYi Zen Hei"/>
        <family val="2"/>
      </rPr>
      <t xml:space="preserve">대장 용종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양성신생물 내시경절제는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종</t>
    </r>
  </si>
  <si>
    <t xml:space="preserve">88-3</t>
  </si>
  <si>
    <r>
      <rPr>
        <sz val="10"/>
        <rFont val="WenQuanYi Zen Hei"/>
        <family val="2"/>
      </rPr>
      <t xml:space="preserve">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카테터 경피적 수술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비뇨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생식기 및 손발가락</t>
    </r>
  </si>
  <si>
    <t xml:space="preserve">악성신생물</t>
  </si>
  <si>
    <t xml:space="preserve">II-1</t>
  </si>
  <si>
    <t xml:space="preserve">관혈적 악성신생물 근치수술</t>
  </si>
  <si>
    <r>
      <rPr>
        <sz val="10"/>
        <rFont val="WenQuanYi Zen Hei"/>
        <family val="2"/>
      </rPr>
      <t xml:space="preserve">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경피적 제외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기타피부암 </t>
    </r>
    <r>
      <rPr>
        <sz val="10"/>
        <rFont val="Arial"/>
        <family val="0"/>
        <charset val="1"/>
      </rPr>
      <t xml:space="preserve">C44 </t>
    </r>
    <r>
      <rPr>
        <sz val="10"/>
        <rFont val="WenQuanYi Zen Hei"/>
        <family val="2"/>
      </rPr>
      <t xml:space="preserve">제외</t>
    </r>
  </si>
  <si>
    <t xml:space="preserve">II-1-1</t>
  </si>
  <si>
    <r>
      <rPr>
        <sz val="10"/>
        <rFont val="WenQuanYi Zen Hei"/>
        <family val="2"/>
      </rPr>
      <t xml:space="preserve">기타피부암</t>
    </r>
    <r>
      <rPr>
        <sz val="10"/>
        <rFont val="Arial"/>
        <family val="0"/>
        <charset val="1"/>
      </rPr>
      <t xml:space="preserve">(C44) </t>
    </r>
    <r>
      <rPr>
        <sz val="10"/>
        <rFont val="WenQuanYi Zen Hei"/>
        <family val="2"/>
      </rPr>
      <t xml:space="preserve">근치수술</t>
    </r>
  </si>
  <si>
    <t xml:space="preserve">II-2</t>
  </si>
  <si>
    <r>
      <rPr>
        <sz val="10"/>
        <rFont val="WenQuanYi Zen Hei"/>
        <family val="2"/>
      </rPr>
      <t xml:space="preserve">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카테터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고주파 악성신생물 수술</t>
    </r>
  </si>
  <si>
    <t xml:space="preserve">II-3</t>
  </si>
  <si>
    <t xml:space="preserve">상기 이외의 기타 악성신생물 수술</t>
  </si>
  <si>
    <t xml:space="preserve">방사선조사</t>
  </si>
  <si>
    <t xml:space="preserve">III-1</t>
  </si>
  <si>
    <t xml:space="preserve">악성신생물 근치 방사선 조사</t>
  </si>
  <si>
    <r>
      <rPr>
        <sz val="10"/>
        <rFont val="Arial"/>
        <family val="0"/>
        <charset val="1"/>
      </rPr>
      <t xml:space="preserve">5,000Rad </t>
    </r>
    <r>
      <rPr>
        <sz val="10"/>
        <rFont val="WenQuanYi Zen Hei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사이버나이프 포함 </t>
    </r>
    <r>
      <rPr>
        <sz val="10"/>
        <rFont val="Arial"/>
        <family val="0"/>
        <charset val="1"/>
      </rPr>
      <t xml:space="preserve">/ 60</t>
    </r>
    <r>
      <rPr>
        <sz val="10"/>
        <rFont val="WenQuanYi Zen Hei"/>
        <family val="2"/>
      </rPr>
      <t xml:space="preserve">일내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</si>
  <si>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t xml:space="preserve">III-2</t>
  </si>
  <si>
    <t xml:space="preserve">두개내 신생물 근치 감마나이프 정위방사선치료</t>
  </si>
  <si>
    <t xml:space="preserve">구분</t>
  </si>
  <si>
    <t xml:space="preserve">약관 내용</t>
  </si>
  <si>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</si>
  <si>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근골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筋骨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수술에서 발정술 등 내고정물 제거술은 제외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치은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치근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치조골 처치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임플란트 등 치과 처치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수술도 제외</t>
    </r>
  </si>
  <si>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</si>
  <si>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1~87</t>
    </r>
    <r>
      <rPr>
        <sz val="10"/>
        <rFont val="WenQuanYi Zen Hei"/>
        <family val="2"/>
      </rPr>
      <t xml:space="preserve">항 수술 중 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카테터 등 경피적 수술은 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항 적용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 복강경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흉강경 수술은 해당 부위</t>
    </r>
    <r>
      <rPr>
        <sz val="10"/>
        <rFont val="Arial"/>
        <family val="0"/>
        <charset val="1"/>
      </rPr>
      <t xml:space="preserve">(1~87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수술로 적용</t>
    </r>
  </si>
  <si>
    <t xml:space="preserve">약물주입술은 제외</t>
  </si>
  <si>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항</t>
    </r>
  </si>
  <si>
    <r>
      <rPr>
        <sz val="10"/>
        <rFont val="WenQuanYi Zen Hei"/>
        <family val="2"/>
      </rPr>
      <t xml:space="preserve">검사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처치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약물주입요법은 포함하지 않음 </t>
    </r>
    <r>
      <rPr>
        <sz val="10"/>
        <rFont val="Arial"/>
        <family val="0"/>
        <charset val="1"/>
      </rPr>
      <t xml:space="preserve">· 60</t>
    </r>
    <r>
      <rPr>
        <sz val="10"/>
        <rFont val="WenQuanYi Zen Hei"/>
        <family val="2"/>
      </rPr>
      <t xml:space="preserve">일 이내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회로 간주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이후 반복 지급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</si>
  <si>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Ⅱ 주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</si>
  <si>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제자리암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경계성종양 수술은 「Ⅰ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일반 질병 및 상해 치료목적의 수술」 적용</t>
    </r>
  </si>
  <si>
    <r>
      <rPr>
        <sz val="10"/>
        <rFont val="WenQuanYi Zen Hei"/>
        <family val="2"/>
      </rPr>
      <t xml:space="preserve">Ⅱ 주</t>
    </r>
    <r>
      <rPr>
        <sz val="10"/>
        <rFont val="Arial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</si>
  <si>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카테터를 이용한 흡인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천자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약물주입요법은 포함하지 않음</t>
    </r>
  </si>
  <si>
    <r>
      <rPr>
        <sz val="10"/>
        <rFont val="WenQuanYi Zen Hei"/>
        <family val="2"/>
      </rPr>
      <t xml:space="preserve">Ⅱ 주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</si>
  <si>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비고형암의 비관혈적 근치술은 관혈적 악성신생물 근치수술</t>
    </r>
    <r>
      <rPr>
        <sz val="10"/>
        <rFont val="Arial"/>
        <family val="0"/>
        <charset val="1"/>
      </rPr>
      <t xml:space="preserve">(5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준해 인정 — 조혈모세포이식은 일련의 과정을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약물 투여용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중심정맥삽관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만 하면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종 아님</t>
    </r>
  </si>
  <si>
    <r>
      <rPr>
        <sz val="10"/>
        <rFont val="WenQuanYi Zen Hei"/>
        <family val="2"/>
      </rPr>
      <t xml:space="preserve">Ⅱ 주</t>
    </r>
    <r>
      <rPr>
        <sz val="10"/>
        <rFont val="Arial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</si>
  <si>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Ⅱ 항목에서 복강경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흉강경 수술은 </t>
    </r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으로 적용</t>
    </r>
  </si>
  <si>
    <t xml:space="preserve">Ⅲ 주</t>
  </si>
  <si>
    <r>
      <rPr>
        <sz val="10"/>
        <rFont val="WenQuanYi Zen Hei"/>
        <family val="2"/>
      </rPr>
      <t xml:space="preserve">방사선 조사 </t>
    </r>
    <r>
      <rPr>
        <sz val="10"/>
        <rFont val="Arial"/>
        <family val="0"/>
        <charset val="1"/>
      </rPr>
      <t xml:space="preserve">: 60</t>
    </r>
    <r>
      <rPr>
        <sz val="10"/>
        <rFont val="WenQuanYi Zen Hei"/>
        <family val="2"/>
      </rPr>
      <t xml:space="preserve">일 이내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이상은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회로 간주</t>
    </r>
  </si>
  <si>
    <r>
      <rPr>
        <sz val="10"/>
        <rFont val="WenQuanYi Zen Hei"/>
        <family val="2"/>
      </rPr>
      <t xml:space="preserve">사용지침 </t>
    </r>
    <r>
      <rPr>
        <sz val="10"/>
        <rFont val="Arial"/>
        <family val="0"/>
        <charset val="1"/>
      </rPr>
      <t xml:space="preserve">8</t>
    </r>
  </si>
  <si>
    <r>
      <rPr>
        <sz val="10"/>
        <rFont val="WenQuanYi Zen Hei"/>
        <family val="2"/>
      </rPr>
      <t xml:space="preserve">지급 제외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흡인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천자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신경차단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미용성형 목적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피임 목적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불임술 후 가임 목적 포함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검사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진단 목적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생검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복강경검사 등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분류표에 없는 시술</t>
    </r>
  </si>
  <si>
    <r>
      <rPr>
        <sz val="10"/>
        <rFont val="WenQuanYi Zen Hei"/>
        <family val="2"/>
      </rPr>
      <t xml:space="preserve">사용지침 </t>
    </r>
    <r>
      <rPr>
        <sz val="10"/>
        <rFont val="Arial"/>
        <family val="0"/>
        <charset val="1"/>
      </rPr>
      <t xml:space="preserve">5</t>
    </r>
  </si>
  <si>
    <r>
      <rPr>
        <sz val="10"/>
        <rFont val="WenQuanYi Zen Hei"/>
        <family val="2"/>
      </rPr>
      <t xml:space="preserve">분류표에 없는 첨단 수술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신의료기술평가위원회 인정 최신 수술기법은 동일 부위 수술로 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내시경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경피적이면 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항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악성은 Ⅱ</t>
    </r>
    <r>
      <rPr>
        <sz val="10"/>
        <rFont val="Arial"/>
        <family val="0"/>
        <charset val="1"/>
      </rPr>
      <t xml:space="preserve">-2 </t>
    </r>
    <r>
      <rPr>
        <sz val="10"/>
        <rFont val="WenQuanYi Zen Hei"/>
        <family val="2"/>
      </rPr>
      <t xml:space="preserve">우선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</si>
  <si>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46536B"/>
        <rFont val="Arial"/>
        <family val="0"/>
        <charset val="1"/>
      </rPr>
      <t xml:space="preserve">1-7</t>
    </r>
    <r>
      <rPr>
        <i val="true"/>
        <sz val="10"/>
        <color rgb="FF46536B"/>
        <rFont val="WenQuanYi Zen Hei"/>
        <family val="2"/>
      </rPr>
      <t xml:space="preserve">종 수술분류표</t>
    </r>
    <r>
      <rPr>
        <i val="true"/>
        <sz val="10"/>
        <color rgb="FF46536B"/>
        <rFont val="Arial"/>
        <family val="0"/>
        <charset val="1"/>
      </rPr>
      <t xml:space="preserve">(</t>
    </r>
    <r>
      <rPr>
        <i val="true"/>
        <sz val="10"/>
        <color rgb="FF46536B"/>
        <rFont val="WenQuanYi Zen Hei"/>
        <family val="2"/>
      </rPr>
      <t xml:space="preserve">별표</t>
    </r>
    <r>
      <rPr>
        <i val="true"/>
        <sz val="10"/>
        <color rgb="FF46536B"/>
        <rFont val="Arial"/>
        <family val="0"/>
        <charset val="1"/>
      </rPr>
      <t xml:space="preserve">3) — </t>
    </r>
    <r>
      <rPr>
        <i val="true"/>
        <sz val="10"/>
        <color rgb="FF46536B"/>
        <rFont val="WenQuanYi Zen Hei"/>
        <family val="2"/>
      </rPr>
      <t xml:space="preserve">건강보험 급여 수술</t>
    </r>
    <r>
      <rPr>
        <i val="true"/>
        <sz val="10"/>
        <color rgb="FF46536B"/>
        <rFont val="Arial"/>
        <family val="0"/>
        <charset val="1"/>
      </rPr>
      <t xml:space="preserve">(DRG/ADRG </t>
    </r>
    <r>
      <rPr>
        <i val="true"/>
        <sz val="10"/>
        <color rgb="FF46536B"/>
        <rFont val="WenQuanYi Zen Hei"/>
        <family val="2"/>
      </rPr>
      <t xml:space="preserve">코드</t>
    </r>
    <r>
      <rPr>
        <i val="true"/>
        <sz val="10"/>
        <color rgb="FF46536B"/>
        <rFont val="Arial"/>
        <family val="0"/>
        <charset val="1"/>
      </rPr>
      <t xml:space="preserve">) </t>
    </r>
    <r>
      <rPr>
        <i val="true"/>
        <sz val="10"/>
        <color rgb="FF46536B"/>
        <rFont val="WenQuanYi Zen Hei"/>
        <family val="2"/>
      </rPr>
      <t xml:space="preserve">기준 </t>
    </r>
    <r>
      <rPr>
        <i val="true"/>
        <sz val="10"/>
        <color rgb="FF46536B"/>
        <rFont val="Arial"/>
        <family val="0"/>
        <charset val="1"/>
      </rPr>
      <t xml:space="preserve">· </t>
    </r>
    <r>
      <rPr>
        <i val="true"/>
        <sz val="10"/>
        <color rgb="FF46536B"/>
        <rFont val="WenQuanYi Zen Hei"/>
        <family val="2"/>
      </rPr>
      <t xml:space="preserve">비급여 제외 </t>
    </r>
    <r>
      <rPr>
        <i val="true"/>
        <sz val="10"/>
        <color rgb="FF46536B"/>
        <rFont val="Arial"/>
        <family val="0"/>
        <charset val="1"/>
      </rPr>
      <t xml:space="preserve">· 2·3</t>
    </r>
    <r>
      <rPr>
        <i val="true"/>
        <sz val="10"/>
        <color rgb="FF46536B"/>
        <rFont val="WenQuanYi Zen Hei"/>
        <family val="2"/>
      </rPr>
      <t xml:space="preserve">번째 자리 </t>
    </r>
    <r>
      <rPr>
        <i val="true"/>
        <sz val="10"/>
        <color rgb="FF46536B"/>
        <rFont val="Arial"/>
        <family val="0"/>
        <charset val="1"/>
      </rPr>
      <t xml:space="preserve">60~99, Error DRG(961·962·963·990·999)·960 DRG </t>
    </r>
    <r>
      <rPr>
        <i val="true"/>
        <sz val="10"/>
        <color rgb="FF46536B"/>
        <rFont val="WenQuanYi Zen Hei"/>
        <family val="2"/>
      </rPr>
      <t xml:space="preserve">제외</t>
    </r>
    <r>
      <rPr>
        <i val="true"/>
        <sz val="10"/>
        <color rgb="FF46536B"/>
        <rFont val="Arial"/>
        <family val="0"/>
        <charset val="1"/>
      </rPr>
      <t xml:space="preserve">. </t>
    </r>
    <r>
      <rPr>
        <i val="true"/>
        <sz val="10"/>
        <color rgb="FF46536B"/>
        <rFont val="WenQuanYi Zen Hei"/>
        <family val="2"/>
      </rPr>
      <t xml:space="preserve">상해</t>
    </r>
    <r>
      <rPr>
        <i val="true"/>
        <sz val="10"/>
        <color rgb="FF46536B"/>
        <rFont val="Arial"/>
        <family val="0"/>
        <charset val="1"/>
      </rPr>
      <t xml:space="preserve">·</t>
    </r>
    <r>
      <rPr>
        <i val="true"/>
        <sz val="10"/>
        <color rgb="FF46536B"/>
        <rFont val="WenQuanYi Zen Hei"/>
        <family val="2"/>
      </rPr>
      <t xml:space="preserve">질병 담보 별도</t>
    </r>
  </si>
  <si>
    <t xml:space="preserve">구분번호</t>
  </si>
  <si>
    <t xml:space="preserve">수술구분</t>
  </si>
  <si>
    <r>
      <rPr>
        <b val="true"/>
        <sz val="11"/>
        <color rgb="FFFFFFFF"/>
        <rFont val="WenQuanYi Zen Hei"/>
        <family val="2"/>
      </rPr>
      <t xml:space="preserve">수술코드</t>
    </r>
    <r>
      <rPr>
        <b val="true"/>
        <sz val="11"/>
        <color rgb="FFFFFFFF"/>
        <rFont val="Arial"/>
        <family val="0"/>
        <charset val="1"/>
      </rPr>
      <t xml:space="preserve">(ADRG)</t>
    </r>
  </si>
  <si>
    <r>
      <rPr>
        <b val="true"/>
        <sz val="11"/>
        <color rgb="FFFFFFFF"/>
        <rFont val="WenQuanYi Zen Hei"/>
        <family val="2"/>
      </rPr>
      <t xml:space="preserve">해설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참고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</si>
  <si>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간 이식</t>
  </si>
  <si>
    <t xml:space="preserve">A010</t>
  </si>
  <si>
    <r>
      <rPr>
        <sz val="10"/>
        <rFont val="WenQuanYi Zen Hei"/>
        <family val="2"/>
      </rPr>
      <t xml:space="preserve">장기이식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기타</t>
    </r>
  </si>
  <si>
    <t xml:space="preserve">말기 간질환 환자에게 공여자의 간을 이식하는 수술</t>
  </si>
  <si>
    <t xml:space="preserve">폐 이식</t>
  </si>
  <si>
    <t xml:space="preserve">A020</t>
  </si>
  <si>
    <t xml:space="preserve">말기 폐질환 환자에게 공여자의 폐를 이식하는 수술</t>
  </si>
  <si>
    <t xml:space="preserve">심장 이식</t>
  </si>
  <si>
    <t xml:space="preserve">A030</t>
  </si>
  <si>
    <t xml:space="preserve">심부전 등에서 공여자의 심장을 이식하는 수술</t>
  </si>
  <si>
    <t xml:space="preserve">췌장 이식</t>
  </si>
  <si>
    <t xml:space="preserve">A040</t>
  </si>
  <si>
    <t xml:space="preserve">당뇨 등에서 공여자의 췌장을 이식하는 수술</t>
  </si>
  <si>
    <t xml:space="preserve">소장 이식</t>
  </si>
  <si>
    <t xml:space="preserve">A050</t>
  </si>
  <si>
    <t xml:space="preserve">장부전 환자에게 공여자의 소장을 이식하는 수술</t>
  </si>
  <si>
    <t xml:space="preserve">조혈모세포이식</t>
  </si>
  <si>
    <t xml:space="preserve">A061</t>
  </si>
  <si>
    <r>
      <rPr>
        <sz val="10"/>
        <rFont val="WenQuanYi Zen Hei"/>
        <family val="2"/>
      </rPr>
      <t xml:space="preserve">조혈모세포 이식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동종이식</t>
    </r>
  </si>
  <si>
    <t xml:space="preserve">A062</t>
  </si>
  <si>
    <r>
      <rPr>
        <sz val="10"/>
        <rFont val="WenQuanYi Zen Hei"/>
        <family val="2"/>
      </rPr>
      <t xml:space="preserve">조혈모세포 이식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자가이식</t>
    </r>
  </si>
  <si>
    <t xml:space="preserve">신장 이식</t>
  </si>
  <si>
    <t xml:space="preserve">A070</t>
  </si>
  <si>
    <t xml:space="preserve">말기 신부전 환자에게 공여자의 신장을 이식하는 수술</t>
  </si>
  <si>
    <r>
      <rPr>
        <sz val="10"/>
        <rFont val="WenQuanYi Zen Hei"/>
        <family val="2"/>
      </rPr>
      <t xml:space="preserve">체외순환막형산화요법</t>
    </r>
    <r>
      <rPr>
        <sz val="10"/>
        <rFont val="Arial"/>
        <family val="0"/>
        <charset val="1"/>
      </rPr>
      <t xml:space="preserve">(ECMO), </t>
    </r>
    <r>
      <rPr>
        <sz val="10"/>
        <rFont val="WenQuanYi Zen Hei"/>
        <family val="2"/>
      </rPr>
      <t xml:space="preserve">개심술 미동반</t>
    </r>
  </si>
  <si>
    <t xml:space="preserve">A080</t>
  </si>
  <si>
    <r>
      <rPr>
        <sz val="10"/>
        <rFont val="WenQuanYi Zen Hei"/>
        <family val="2"/>
      </rPr>
      <t xml:space="preserve">심폐기능 부전 시 체외에서 산소를 공급하는 장치 삽입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개심술 미동반</t>
    </r>
    <r>
      <rPr>
        <sz val="10"/>
        <rFont val="Arial"/>
        <family val="0"/>
        <charset val="1"/>
      </rPr>
      <t xml:space="preserve">)</t>
    </r>
  </si>
  <si>
    <t xml:space="preserve">기관절개술</t>
  </si>
  <si>
    <t xml:space="preserve">A091</t>
  </si>
  <si>
    <r>
      <rPr>
        <sz val="10"/>
        <rFont val="WenQuanYi Zen Hei"/>
        <family val="2"/>
      </rPr>
      <t xml:space="preserve">기관절개술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경부 장애의 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인공호흡기 장기사용</t>
    </r>
  </si>
  <si>
    <t xml:space="preserve">A092</t>
  </si>
  <si>
    <r>
      <rPr>
        <sz val="10"/>
        <rFont val="WenQuanYi Zen Hei"/>
        <family val="2"/>
      </rPr>
      <t xml:space="preserve">기관절개술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경부 장애의 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인공호흡기 단기사용</t>
    </r>
  </si>
  <si>
    <t xml:space="preserve">A093</t>
  </si>
  <si>
    <r>
      <rPr>
        <sz val="10"/>
        <rFont val="WenQuanYi Zen Hei"/>
        <family val="2"/>
      </rPr>
      <t xml:space="preserve">기관절개술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경부 장애의 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인공호흡기 미사용</t>
    </r>
  </si>
  <si>
    <t xml:space="preserve">A094</t>
  </si>
  <si>
    <r>
      <rPr>
        <sz val="10"/>
        <rFont val="WenQuanYi Zen Hei"/>
        <family val="2"/>
      </rPr>
      <t xml:space="preserve">기관절개술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경부 장애 제외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인공호흡기 장기사용</t>
    </r>
  </si>
  <si>
    <t xml:space="preserve">A095</t>
  </si>
  <si>
    <r>
      <rPr>
        <sz val="10"/>
        <rFont val="WenQuanYi Zen Hei"/>
        <family val="2"/>
      </rPr>
      <t xml:space="preserve">기관절개술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경부 장애 제외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인공호흡기 단기사용</t>
    </r>
  </si>
  <si>
    <t xml:space="preserve">A096</t>
  </si>
  <si>
    <r>
      <rPr>
        <sz val="10"/>
        <rFont val="WenQuanYi Zen Hei"/>
        <family val="2"/>
      </rPr>
      <t xml:space="preserve">기관절개술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경부 장애 제외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인공호흡기 미사용</t>
    </r>
  </si>
  <si>
    <t xml:space="preserve">사지 이식</t>
  </si>
  <si>
    <t xml:space="preserve">A100</t>
  </si>
  <si>
    <r>
      <rPr>
        <sz val="10"/>
        <rFont val="WenQuanYi Zen Hei"/>
        <family val="2"/>
      </rPr>
      <t xml:space="preserve">절단된 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다리를 이식하는 수술</t>
    </r>
  </si>
  <si>
    <t xml:space="preserve">뇌동맥류수술</t>
  </si>
  <si>
    <t xml:space="preserve">B011</t>
  </si>
  <si>
    <r>
      <rPr>
        <sz val="10"/>
        <rFont val="WenQuanYi Zen Hei"/>
        <family val="2"/>
      </rPr>
      <t xml:space="preserve">복잡 뇌동맥류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</si>
  <si>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신경계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척추</t>
    </r>
    <r>
      <rPr>
        <sz val="10"/>
        <rFont val="Arial"/>
        <family val="0"/>
        <charset val="1"/>
      </rPr>
      <t xml:space="preserve">)</t>
    </r>
  </si>
  <si>
    <t xml:space="preserve">B012</t>
  </si>
  <si>
    <r>
      <rPr>
        <sz val="10"/>
        <rFont val="WenQuanYi Zen Hei"/>
        <family val="2"/>
      </rPr>
      <t xml:space="preserve">단순 뇌동맥류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</si>
  <si>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t xml:space="preserve">B013</t>
  </si>
  <si>
    <r>
      <rPr>
        <sz val="10"/>
        <rFont val="WenQuanYi Zen Hei"/>
        <family val="2"/>
      </rPr>
      <t xml:space="preserve">복잡 뇌동맥류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</si>
  <si>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B014</t>
  </si>
  <si>
    <r>
      <rPr>
        <sz val="10"/>
        <rFont val="WenQuanYi Zen Hei"/>
        <family val="2"/>
      </rPr>
      <t xml:space="preserve">단순 뇌동맥류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</si>
  <si>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B015</t>
  </si>
  <si>
    <r>
      <rPr>
        <sz val="10"/>
        <rFont val="WenQuanYi Zen Hei"/>
        <family val="2"/>
      </rPr>
      <t xml:space="preserve">뇌동맥류 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</si>
  <si>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t xml:space="preserve">B016</t>
  </si>
  <si>
    <r>
      <rPr>
        <sz val="10"/>
        <rFont val="WenQuanYi Zen Hei"/>
        <family val="2"/>
      </rPr>
      <t xml:space="preserve">뇌동맥류 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</si>
  <si>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B017</t>
  </si>
  <si>
    <r>
      <rPr>
        <sz val="10"/>
        <rFont val="WenQuanYi Zen Hei"/>
        <family val="2"/>
      </rPr>
      <t xml:space="preserve">뇌동맥류 복합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</si>
  <si>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t xml:space="preserve">B018</t>
  </si>
  <si>
    <r>
      <rPr>
        <sz val="10"/>
        <rFont val="WenQuanYi Zen Hei"/>
        <family val="2"/>
      </rPr>
      <t xml:space="preserve">뇌동맥류 복합 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</si>
  <si>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뇌혈관수술</t>
  </si>
  <si>
    <t xml:space="preserve">B021</t>
  </si>
  <si>
    <r>
      <rPr>
        <sz val="10"/>
        <rFont val="WenQuanYi Zen Hei"/>
        <family val="2"/>
      </rPr>
      <t xml:space="preserve">두개내 혈관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</si>
  <si>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t xml:space="preserve">B022</t>
  </si>
  <si>
    <r>
      <rPr>
        <sz val="10"/>
        <rFont val="WenQuanYi Zen Hei"/>
        <family val="2"/>
      </rPr>
      <t xml:space="preserve">두개내 혈관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</si>
  <si>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B023</t>
  </si>
  <si>
    <r>
      <rPr>
        <sz val="10"/>
        <rFont val="WenQuanYi Zen Hei"/>
        <family val="2"/>
      </rPr>
      <t xml:space="preserve">뇌신경계 혈관기형 및동정맥루 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</si>
  <si>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t xml:space="preserve">B024</t>
  </si>
  <si>
    <r>
      <rPr>
        <sz val="10"/>
        <rFont val="WenQuanYi Zen Hei"/>
        <family val="2"/>
      </rPr>
      <t xml:space="preserve">뇌신경계 혈관기형 및동정맥루 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</si>
  <si>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B025</t>
  </si>
  <si>
    <r>
      <rPr>
        <sz val="10"/>
        <rFont val="WenQuanYi Zen Hei"/>
        <family val="2"/>
      </rPr>
      <t xml:space="preserve">경피적 뇌혈관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협착∙폐쇄 및 혈전제거동시의 경우</t>
    </r>
    <r>
      <rPr>
        <sz val="10"/>
        <rFont val="Arial"/>
        <family val="0"/>
        <charset val="1"/>
      </rPr>
      <t xml:space="preserve">)</t>
    </r>
  </si>
  <si>
    <t xml:space="preserve">B026</t>
  </si>
  <si>
    <r>
      <rPr>
        <sz val="10"/>
        <rFont val="WenQuanYi Zen Hei"/>
        <family val="2"/>
      </rPr>
      <t xml:space="preserve">경피적 뇌혈관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협착 및 폐쇄의 경우</t>
    </r>
    <r>
      <rPr>
        <sz val="10"/>
        <rFont val="Arial"/>
        <family val="0"/>
        <charset val="1"/>
      </rPr>
      <t xml:space="preserve">)</t>
    </r>
  </si>
  <si>
    <t xml:space="preserve">B027</t>
  </si>
  <si>
    <r>
      <rPr>
        <sz val="10"/>
        <rFont val="WenQuanYi Zen Hei"/>
        <family val="2"/>
      </rPr>
      <t xml:space="preserve">경피적 뇌혈관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혈전제거의 경우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</si>
  <si>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혈종제거술및 기타개두술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외상제외</t>
    </r>
    <r>
      <rPr>
        <sz val="10"/>
        <rFont val="Arial"/>
        <family val="0"/>
        <charset val="1"/>
      </rPr>
      <t xml:space="preserve">)</t>
    </r>
  </si>
  <si>
    <t xml:space="preserve">B031</t>
  </si>
  <si>
    <r>
      <rPr>
        <sz val="10"/>
        <rFont val="WenQuanYi Zen Hei"/>
        <family val="2"/>
      </rPr>
      <t xml:space="preserve">혈종제거술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제외</t>
    </r>
    <r>
      <rPr>
        <sz val="10"/>
        <rFont val="Arial"/>
        <family val="0"/>
        <charset val="1"/>
      </rPr>
      <t xml:space="preserve">)</t>
    </r>
  </si>
  <si>
    <t xml:space="preserve">B032</t>
  </si>
  <si>
    <r>
      <rPr>
        <sz val="10"/>
        <rFont val="WenQuanYi Zen Hei"/>
        <family val="2"/>
      </rPr>
      <t xml:space="preserve">두개내 감압술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제외</t>
    </r>
    <r>
      <rPr>
        <sz val="10"/>
        <rFont val="Arial"/>
        <family val="0"/>
        <charset val="1"/>
      </rPr>
      <t xml:space="preserve">)</t>
    </r>
  </si>
  <si>
    <t xml:space="preserve">B033</t>
  </si>
  <si>
    <r>
      <rPr>
        <sz val="10"/>
        <rFont val="WenQuanYi Zen Hei"/>
        <family val="2"/>
      </rPr>
      <t xml:space="preserve">두개골 성형술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제외</t>
    </r>
    <r>
      <rPr>
        <sz val="10"/>
        <rFont val="Arial"/>
        <family val="0"/>
        <charset val="1"/>
      </rPr>
      <t xml:space="preserve">)</t>
    </r>
  </si>
  <si>
    <t xml:space="preserve">두개외혈관수술</t>
  </si>
  <si>
    <t xml:space="preserve">B041</t>
  </si>
  <si>
    <r>
      <rPr>
        <sz val="10"/>
        <rFont val="WenQuanYi Zen Hei"/>
        <family val="2"/>
      </rPr>
      <t xml:space="preserve">두개외 혈관수술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동반</t>
    </r>
    <r>
      <rPr>
        <sz val="10"/>
        <rFont val="Arial"/>
        <family val="0"/>
        <charset val="1"/>
      </rPr>
      <t xml:space="preserve">)</t>
    </r>
  </si>
  <si>
    <t xml:space="preserve">B042</t>
  </si>
  <si>
    <r>
      <rPr>
        <sz val="10"/>
        <rFont val="WenQuanYi Zen Hei"/>
        <family val="2"/>
      </rPr>
      <t xml:space="preserve">두개외 혈관수술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뇌졸중 미동반</t>
    </r>
    <r>
      <rPr>
        <sz val="10"/>
        <rFont val="Arial"/>
        <family val="0"/>
        <charset val="1"/>
      </rPr>
      <t xml:space="preserve">)</t>
    </r>
  </si>
  <si>
    <t xml:space="preserve">B043</t>
  </si>
  <si>
    <t xml:space="preserve">경피적 두개외 혈관수술</t>
  </si>
  <si>
    <t xml:space="preserve">뇌기저부수술</t>
  </si>
  <si>
    <t xml:space="preserve">B050</t>
  </si>
  <si>
    <t xml:space="preserve">뇌기저부 수술</t>
  </si>
  <si>
    <t xml:space="preserve">두개골 바닥부위 병변에 대한 개두수술</t>
  </si>
  <si>
    <t xml:space="preserve">뇌종양절제술</t>
  </si>
  <si>
    <t xml:space="preserve">B061</t>
  </si>
  <si>
    <t xml:space="preserve">복잡 천막상부 종양절제술</t>
  </si>
  <si>
    <t xml:space="preserve">B062</t>
  </si>
  <si>
    <t xml:space="preserve">단순 천막상부 종양절제술</t>
  </si>
  <si>
    <t xml:space="preserve">B063</t>
  </si>
  <si>
    <t xml:space="preserve">복잡 천막하부 종양절제술</t>
  </si>
  <si>
    <t xml:space="preserve">B064</t>
  </si>
  <si>
    <t xml:space="preserve">단순 천막하부 종양절제술</t>
  </si>
  <si>
    <t xml:space="preserve">B065</t>
  </si>
  <si>
    <t xml:space="preserve">경피적 뇌신경계 종양 수술</t>
  </si>
  <si>
    <r>
      <rPr>
        <sz val="10"/>
        <rFont val="WenQuanYi Zen Hei"/>
        <family val="2"/>
      </rPr>
      <t xml:space="preserve">카테터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경피적으로 뇌종양을 치료하는 수술</t>
    </r>
  </si>
  <si>
    <t xml:space="preserve">B066</t>
  </si>
  <si>
    <t xml:space="preserve">경비적 뇌하수체종양절제술</t>
  </si>
  <si>
    <t xml:space="preserve">신경계신경자극기설치술</t>
  </si>
  <si>
    <t xml:space="preserve">B070</t>
  </si>
  <si>
    <t xml:space="preserve">신경계 신경자극기 설치술</t>
  </si>
  <si>
    <r>
      <rPr>
        <sz val="10"/>
        <rFont val="WenQuanYi Zen Hei"/>
        <family val="2"/>
      </rPr>
      <t xml:space="preserve">신경자극기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설치하는 수술</t>
    </r>
  </si>
  <si>
    <t xml:space="preserve">뇌전증수술</t>
  </si>
  <si>
    <t xml:space="preserve">B081</t>
  </si>
  <si>
    <r>
      <rPr>
        <sz val="10"/>
        <rFont val="WenQuanYi Zen Hei"/>
        <family val="2"/>
      </rPr>
      <t xml:space="preserve">뇌전증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전극삽입술 시행</t>
    </r>
    <r>
      <rPr>
        <sz val="10"/>
        <rFont val="Arial"/>
        <family val="0"/>
        <charset val="1"/>
      </rPr>
      <t xml:space="preserve">)</t>
    </r>
  </si>
  <si>
    <t xml:space="preserve">B082</t>
  </si>
  <si>
    <r>
      <rPr>
        <sz val="10"/>
        <rFont val="WenQuanYi Zen Hei"/>
        <family val="2"/>
      </rPr>
      <t xml:space="preserve">뇌전증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전극삽입술 미시행</t>
    </r>
    <r>
      <rPr>
        <sz val="10"/>
        <rFont val="Arial"/>
        <family val="0"/>
        <charset val="1"/>
      </rPr>
      <t xml:space="preserve">)</t>
    </r>
  </si>
  <si>
    <t xml:space="preserve">정위수술</t>
  </si>
  <si>
    <t xml:space="preserve">B091</t>
  </si>
  <si>
    <r>
      <rPr>
        <sz val="10"/>
        <rFont val="WenQuanYi Zen Hei"/>
        <family val="2"/>
      </rPr>
      <t xml:space="preserve">중추신경계 정위수술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뇌종양 및 기타병소발생술</t>
    </r>
    <r>
      <rPr>
        <sz val="10"/>
        <rFont val="Arial"/>
        <family val="0"/>
        <charset val="1"/>
      </rPr>
      <t xml:space="preserve">)</t>
    </r>
  </si>
  <si>
    <t xml:space="preserve">B092</t>
  </si>
  <si>
    <r>
      <rPr>
        <sz val="10"/>
        <rFont val="WenQuanYi Zen Hei"/>
        <family val="2"/>
      </rPr>
      <t xml:space="preserve">중추신경계 정위수술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두개내 출혈</t>
    </r>
    <r>
      <rPr>
        <sz val="10"/>
        <rFont val="Arial"/>
        <family val="0"/>
        <charset val="1"/>
      </rPr>
      <t xml:space="preserve">)</t>
    </r>
  </si>
  <si>
    <t xml:space="preserve">B093</t>
  </si>
  <si>
    <r>
      <rPr>
        <sz val="10"/>
        <rFont val="WenQuanYi Zen Hei"/>
        <family val="2"/>
      </rPr>
      <t xml:space="preserve">뇌정위 방사선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두개내 출혈 및뇌혈관기형</t>
    </r>
    <r>
      <rPr>
        <sz val="10"/>
        <rFont val="Arial"/>
        <family val="0"/>
        <charset val="1"/>
      </rPr>
      <t xml:space="preserve">)</t>
    </r>
  </si>
  <si>
    <t xml:space="preserve">B094</t>
  </si>
  <si>
    <r>
      <rPr>
        <sz val="10"/>
        <rFont val="WenQuanYi Zen Hei"/>
        <family val="2"/>
      </rPr>
      <t xml:space="preserve">뇌정위 방사선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양성 뇌종양</t>
    </r>
    <r>
      <rPr>
        <sz val="10"/>
        <rFont val="Arial"/>
        <family val="0"/>
        <charset val="1"/>
      </rPr>
      <t xml:space="preserve">)</t>
    </r>
  </si>
  <si>
    <t xml:space="preserve">B095</t>
  </si>
  <si>
    <r>
      <rPr>
        <sz val="10"/>
        <rFont val="WenQuanYi Zen Hei"/>
        <family val="2"/>
      </rPr>
      <t xml:space="preserve">뇌정위 방사선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</si>
  <si>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B096</t>
  </si>
  <si>
    <t xml:space="preserve">중추신경계 체부 정위방사선 수술</t>
  </si>
  <si>
    <t xml:space="preserve">뇌신경수술</t>
  </si>
  <si>
    <t xml:space="preserve">B100</t>
  </si>
  <si>
    <t xml:space="preserve">뇌신경 수술</t>
  </si>
  <si>
    <r>
      <rPr>
        <sz val="10"/>
        <rFont val="WenQuanYi Zen Hei"/>
        <family val="2"/>
      </rPr>
      <t xml:space="preserve">뇌신경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삼차신경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대한 수술</t>
    </r>
  </si>
  <si>
    <t xml:space="preserve">뇌척수액우회로조성술</t>
  </si>
  <si>
    <t xml:space="preserve">B110</t>
  </si>
  <si>
    <t xml:space="preserve">뇌척수액 우회로조성술</t>
  </si>
  <si>
    <t xml:space="preserve">수두증 등에서 뇌척수액을 우회시키는 단락술</t>
  </si>
  <si>
    <t xml:space="preserve">외상개두술</t>
  </si>
  <si>
    <t xml:space="preserve">B121</t>
  </si>
  <si>
    <r>
      <rPr>
        <sz val="10"/>
        <rFont val="WenQuanYi Zen Hei"/>
        <family val="2"/>
      </rPr>
      <t xml:space="preserve">혈종제거술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관련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경막외 출혈</t>
    </r>
  </si>
  <si>
    <t xml:space="preserve">B122</t>
  </si>
  <si>
    <r>
      <rPr>
        <sz val="10"/>
        <rFont val="WenQuanYi Zen Hei"/>
        <family val="2"/>
      </rPr>
      <t xml:space="preserve">혈종제거술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관련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경막하 출혈</t>
    </r>
  </si>
  <si>
    <t xml:space="preserve">B123</t>
  </si>
  <si>
    <r>
      <rPr>
        <sz val="10"/>
        <rFont val="WenQuanYi Zen Hei"/>
        <family val="2"/>
      </rPr>
      <t xml:space="preserve">혈종제거술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관련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기타 뇌내 출혈</t>
    </r>
  </si>
  <si>
    <t xml:space="preserve">B124</t>
  </si>
  <si>
    <r>
      <rPr>
        <sz val="10"/>
        <rFont val="WenQuanYi Zen Hei"/>
        <family val="2"/>
      </rPr>
      <t xml:space="preserve">두개내 감압술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관련</t>
    </r>
    <r>
      <rPr>
        <sz val="10"/>
        <rFont val="Arial"/>
        <family val="0"/>
        <charset val="1"/>
      </rPr>
      <t xml:space="preserve">)</t>
    </r>
  </si>
  <si>
    <t xml:space="preserve">B125</t>
  </si>
  <si>
    <r>
      <rPr>
        <sz val="10"/>
        <rFont val="WenQuanYi Zen Hei"/>
        <family val="2"/>
      </rPr>
      <t xml:space="preserve">두개골 성형술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 관련</t>
    </r>
    <r>
      <rPr>
        <sz val="10"/>
        <rFont val="Arial"/>
        <family val="0"/>
        <charset val="1"/>
      </rPr>
      <t xml:space="preserve">)</t>
    </r>
  </si>
  <si>
    <t xml:space="preserve">기타개두술</t>
  </si>
  <si>
    <t xml:space="preserve">B130</t>
  </si>
  <si>
    <t xml:space="preserve">기타 개두술</t>
  </si>
  <si>
    <t xml:space="preserve">기타 개두수술</t>
  </si>
  <si>
    <t xml:space="preserve">천두술</t>
  </si>
  <si>
    <t xml:space="preserve">B141</t>
  </si>
  <si>
    <r>
      <rPr>
        <sz val="10"/>
        <rFont val="WenQuanYi Zen Hei"/>
        <family val="2"/>
      </rPr>
      <t xml:space="preserve">천두술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경막하 또는 경막외</t>
    </r>
    <r>
      <rPr>
        <sz val="10"/>
        <rFont val="Arial"/>
        <family val="0"/>
        <charset val="1"/>
      </rPr>
      <t xml:space="preserve">)</t>
    </r>
  </si>
  <si>
    <t xml:space="preserve">B142</t>
  </si>
  <si>
    <r>
      <rPr>
        <sz val="10"/>
        <rFont val="WenQuanYi Zen Hei"/>
        <family val="2"/>
      </rPr>
      <t xml:space="preserve">천두술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뇌내</t>
    </r>
    <r>
      <rPr>
        <sz val="10"/>
        <rFont val="Arial"/>
        <family val="0"/>
        <charset val="1"/>
      </rPr>
      <t xml:space="preserve">)</t>
    </r>
  </si>
  <si>
    <t xml:space="preserve">B143</t>
  </si>
  <si>
    <r>
      <rPr>
        <sz val="10"/>
        <rFont val="WenQuanYi Zen Hei"/>
        <family val="2"/>
      </rPr>
      <t xml:space="preserve">천두술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</si>
  <si>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척추강내병소절제술</t>
  </si>
  <si>
    <t xml:space="preserve">B151</t>
  </si>
  <si>
    <t xml:space="preserve">척수내 종양절제술</t>
  </si>
  <si>
    <t xml:space="preserve">B152</t>
  </si>
  <si>
    <r>
      <rPr>
        <sz val="10"/>
        <rFont val="WenQuanYi Zen Hei"/>
        <family val="2"/>
      </rPr>
      <t xml:space="preserve">척추강내 병소절제술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동반</t>
    </r>
    <r>
      <rPr>
        <sz val="10"/>
        <rFont val="Arial"/>
        <family val="0"/>
        <charset val="1"/>
      </rPr>
      <t xml:space="preserve">)</t>
    </r>
  </si>
  <si>
    <t xml:space="preserve">B153</t>
  </si>
  <si>
    <r>
      <rPr>
        <sz val="10"/>
        <rFont val="WenQuanYi Zen Hei"/>
        <family val="2"/>
      </rPr>
      <t xml:space="preserve">척추강내 병소절제술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미동반</t>
    </r>
    <r>
      <rPr>
        <sz val="10"/>
        <rFont val="Arial"/>
        <family val="0"/>
        <charset val="1"/>
      </rPr>
      <t xml:space="preserve">)</t>
    </r>
  </si>
  <si>
    <t xml:space="preserve">B154</t>
  </si>
  <si>
    <r>
      <rPr>
        <sz val="10"/>
        <rFont val="WenQuanYi Zen Hei"/>
        <family val="2"/>
      </rPr>
      <t xml:space="preserve">척추강내 병소절제술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척추고정술 동반</t>
    </r>
    <r>
      <rPr>
        <sz val="10"/>
        <rFont val="Arial"/>
        <family val="0"/>
        <charset val="1"/>
      </rPr>
      <t xml:space="preserve">)</t>
    </r>
  </si>
  <si>
    <t xml:space="preserve">척추변형척추고정술</t>
  </si>
  <si>
    <t xml:space="preserve">B161</t>
  </si>
  <si>
    <t xml:space="preserve">청소년기 척추변형척추고정술</t>
  </si>
  <si>
    <t xml:space="preserve">B162</t>
  </si>
  <si>
    <r>
      <rPr>
        <sz val="10"/>
        <rFont val="WenQuanYi Zen Hei"/>
        <family val="2"/>
      </rPr>
      <t xml:space="preserve">성인기 척추변형척추고정술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감압술 동반</t>
    </r>
    <r>
      <rPr>
        <sz val="10"/>
        <rFont val="Arial"/>
        <family val="0"/>
        <charset val="1"/>
      </rPr>
      <t xml:space="preserve">)</t>
    </r>
  </si>
  <si>
    <t xml:space="preserve">B163</t>
  </si>
  <si>
    <r>
      <rPr>
        <sz val="10"/>
        <rFont val="WenQuanYi Zen Hei"/>
        <family val="2"/>
      </rPr>
      <t xml:space="preserve">성인기 척추변형척추고정술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감압술 미동반</t>
    </r>
    <r>
      <rPr>
        <sz val="10"/>
        <rFont val="Arial"/>
        <family val="0"/>
        <charset val="1"/>
      </rPr>
      <t xml:space="preserve">)</t>
    </r>
  </si>
  <si>
    <t xml:space="preserve">기타 척추수술</t>
  </si>
  <si>
    <t xml:space="preserve">B171</t>
  </si>
  <si>
    <r>
      <rPr>
        <sz val="10"/>
        <rFont val="WenQuanYi Zen Hei"/>
        <family val="2"/>
      </rPr>
      <t xml:space="preserve">척추고정술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동반</t>
    </r>
    <r>
      <rPr>
        <sz val="10"/>
        <rFont val="Arial"/>
        <family val="0"/>
        <charset val="1"/>
      </rPr>
      <t xml:space="preserve">)</t>
    </r>
  </si>
  <si>
    <t xml:space="preserve">B172</t>
  </si>
  <si>
    <r>
      <rPr>
        <sz val="10"/>
        <rFont val="WenQuanYi Zen Hei"/>
        <family val="2"/>
      </rPr>
      <t xml:space="preserve">척추고정술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미동반</t>
    </r>
    <r>
      <rPr>
        <sz val="10"/>
        <rFont val="Arial"/>
        <family val="0"/>
        <charset val="1"/>
      </rPr>
      <t xml:space="preserve">)</t>
    </r>
  </si>
  <si>
    <t xml:space="preserve">B173</t>
  </si>
  <si>
    <r>
      <rPr>
        <sz val="10"/>
        <rFont val="WenQuanYi Zen Hei"/>
        <family val="2"/>
      </rPr>
      <t xml:space="preserve">척추후궁절제술 및추간판제거술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동반</t>
    </r>
    <r>
      <rPr>
        <sz val="10"/>
        <rFont val="Arial"/>
        <family val="0"/>
        <charset val="1"/>
      </rPr>
      <t xml:space="preserve">)</t>
    </r>
  </si>
  <si>
    <t xml:space="preserve">B174</t>
  </si>
  <si>
    <r>
      <rPr>
        <sz val="10"/>
        <rFont val="WenQuanYi Zen Hei"/>
        <family val="2"/>
      </rPr>
      <t xml:space="preserve">척추후궁절제술 및추간판제거술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미동반</t>
    </r>
    <r>
      <rPr>
        <sz val="10"/>
        <rFont val="Arial"/>
        <family val="0"/>
        <charset val="1"/>
      </rPr>
      <t xml:space="preserve">)</t>
    </r>
  </si>
  <si>
    <t xml:space="preserve">B175</t>
  </si>
  <si>
    <r>
      <rPr>
        <sz val="10"/>
        <rFont val="WenQuanYi Zen Hei"/>
        <family val="2"/>
      </rPr>
      <t xml:space="preserve">기타 척추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동반</t>
    </r>
    <r>
      <rPr>
        <sz val="10"/>
        <rFont val="Arial"/>
        <family val="0"/>
        <charset val="1"/>
      </rPr>
      <t xml:space="preserve">)</t>
    </r>
  </si>
  <si>
    <t xml:space="preserve">B176</t>
  </si>
  <si>
    <r>
      <rPr>
        <sz val="10"/>
        <rFont val="WenQuanYi Zen Hei"/>
        <family val="2"/>
      </rPr>
      <t xml:space="preserve">기타 척추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척수병증 미동반</t>
    </r>
    <r>
      <rPr>
        <sz val="10"/>
        <rFont val="Arial"/>
        <family val="0"/>
        <charset val="1"/>
      </rPr>
      <t xml:space="preserve">)</t>
    </r>
  </si>
  <si>
    <t xml:space="preserve">척추중재시술</t>
  </si>
  <si>
    <t xml:space="preserve">B181</t>
  </si>
  <si>
    <r>
      <rPr>
        <sz val="10"/>
        <rFont val="WenQuanYi Zen Hei"/>
        <family val="2"/>
      </rPr>
      <t xml:space="preserve">척추 중재시술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뼈에 시행한 경우</t>
    </r>
    <r>
      <rPr>
        <sz val="10"/>
        <rFont val="Arial"/>
        <family val="0"/>
        <charset val="1"/>
      </rPr>
      <t xml:space="preserve">)</t>
    </r>
  </si>
  <si>
    <t xml:space="preserve">B182</t>
  </si>
  <si>
    <r>
      <rPr>
        <sz val="10"/>
        <rFont val="WenQuanYi Zen Hei"/>
        <family val="2"/>
      </rPr>
      <t xml:space="preserve">척추 중재시술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신경에 시행한 경우</t>
    </r>
    <r>
      <rPr>
        <sz val="10"/>
        <rFont val="Arial"/>
        <family val="0"/>
        <charset val="1"/>
      </rPr>
      <t xml:space="preserve">)</t>
    </r>
  </si>
  <si>
    <t xml:space="preserve">신경조절술및 척추강내약물주입펌프이식술</t>
  </si>
  <si>
    <t xml:space="preserve">B191</t>
  </si>
  <si>
    <t xml:space="preserve">척수신경자극기 및 약물주입 펌프의 설치술 또는 교환술</t>
  </si>
  <si>
    <r>
      <rPr>
        <sz val="10"/>
        <rFont val="WenQuanYi Zen Hei"/>
        <family val="2"/>
      </rPr>
      <t xml:space="preserve">통증치료용 척수자극기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약물펌프의 설치 또는 교환</t>
    </r>
  </si>
  <si>
    <t xml:space="preserve">B192</t>
  </si>
  <si>
    <t xml:space="preserve">척수신경자극기 및 약물주입 펌프의 시험적 거치술 또는 제거술</t>
  </si>
  <si>
    <t xml:space="preserve">시험적 거치 또는 제거술</t>
  </si>
  <si>
    <t xml:space="preserve">기타신경계수술</t>
  </si>
  <si>
    <t xml:space="preserve">B201</t>
  </si>
  <si>
    <t xml:space="preserve">주요 말초 및 뇌 신경수술</t>
  </si>
  <si>
    <t xml:space="preserve">B202</t>
  </si>
  <si>
    <t xml:space="preserve">기타 말초 및 뇌 신경수술</t>
  </si>
  <si>
    <t xml:space="preserve">B203</t>
  </si>
  <si>
    <t xml:space="preserve">수근관 이완술</t>
  </si>
  <si>
    <t xml:space="preserve">B204</t>
  </si>
  <si>
    <r>
      <rPr>
        <sz val="10"/>
        <rFont val="WenQuanYi Zen Hei"/>
        <family val="2"/>
      </rPr>
      <t xml:space="preserve">기타 근육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 및 인대이완술</t>
    </r>
  </si>
  <si>
    <t xml:space="preserve">B205</t>
  </si>
  <si>
    <t xml:space="preserve">기타 신경계 수술</t>
  </si>
  <si>
    <t xml:space="preserve">복잡척추수술</t>
  </si>
  <si>
    <t xml:space="preserve">B211</t>
  </si>
  <si>
    <t xml:space="preserve">복잡 척추고정술</t>
  </si>
  <si>
    <t xml:space="preserve">B212</t>
  </si>
  <si>
    <t xml:space="preserve">복잡 척추후궁절제술</t>
  </si>
  <si>
    <t xml:space="preserve">안부관통상 수술</t>
  </si>
  <si>
    <t xml:space="preserve">C011</t>
  </si>
  <si>
    <t xml:space="preserve">복잡 안부 관통상 수술</t>
  </si>
  <si>
    <r>
      <rPr>
        <sz val="10"/>
        <rFont val="WenQuanYi Zen Hei"/>
        <family val="2"/>
      </rPr>
      <t xml:space="preserve">시각기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안과</t>
    </r>
    <r>
      <rPr>
        <sz val="10"/>
        <rFont val="Arial"/>
        <family val="0"/>
        <charset val="1"/>
      </rPr>
      <t xml:space="preserve">)</t>
    </r>
  </si>
  <si>
    <t xml:space="preserve">C012</t>
  </si>
  <si>
    <r>
      <rPr>
        <sz val="10"/>
        <rFont val="WenQuanYi Zen Hei"/>
        <family val="2"/>
      </rPr>
      <t xml:space="preserve">전안부 관통상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수정체 수술 동반</t>
    </r>
    <r>
      <rPr>
        <sz val="10"/>
        <rFont val="Arial"/>
        <family val="0"/>
        <charset val="1"/>
      </rPr>
      <t xml:space="preserve">)</t>
    </r>
  </si>
  <si>
    <t xml:space="preserve">C013</t>
  </si>
  <si>
    <r>
      <rPr>
        <sz val="10"/>
        <rFont val="WenQuanYi Zen Hei"/>
        <family val="2"/>
      </rPr>
      <t xml:space="preserve">전안부 관통상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수정체 수술 미동반</t>
    </r>
    <r>
      <rPr>
        <sz val="10"/>
        <rFont val="Arial"/>
        <family val="0"/>
        <charset val="1"/>
      </rPr>
      <t xml:space="preserve">)</t>
    </r>
  </si>
  <si>
    <t xml:space="preserve">C014</t>
  </si>
  <si>
    <t xml:space="preserve">후안부 관통상 수술</t>
  </si>
  <si>
    <t xml:space="preserve">안와 수술</t>
  </si>
  <si>
    <t xml:space="preserve">C021</t>
  </si>
  <si>
    <r>
      <rPr>
        <sz val="10"/>
        <rFont val="WenQuanYi Zen Hei"/>
        <family val="2"/>
      </rPr>
      <t xml:space="preserve">복잡 안와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</si>
  <si>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C022</t>
  </si>
  <si>
    <r>
      <rPr>
        <sz val="10"/>
        <rFont val="WenQuanYi Zen Hei"/>
        <family val="2"/>
      </rPr>
      <t xml:space="preserve">복잡 안와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</si>
  <si>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t xml:space="preserve">C023</t>
  </si>
  <si>
    <t xml:space="preserve">단순 안와 수술</t>
  </si>
  <si>
    <r>
      <rPr>
        <sz val="10"/>
        <rFont val="WenQuanYi Zen Hei"/>
        <family val="2"/>
      </rPr>
      <t xml:space="preserve">안구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종양 수술포함</t>
    </r>
    <r>
      <rPr>
        <sz val="10"/>
        <rFont val="Arial"/>
        <family val="0"/>
        <charset val="1"/>
      </rPr>
      <t xml:space="preserve">)</t>
    </r>
  </si>
  <si>
    <t xml:space="preserve">C030</t>
  </si>
  <si>
    <r>
      <rPr>
        <sz val="10"/>
        <rFont val="WenQuanYi Zen Hei"/>
        <family val="2"/>
      </rPr>
      <t xml:space="preserve">안구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종양 수술 포함</t>
    </r>
    <r>
      <rPr>
        <sz val="10"/>
        <rFont val="Arial"/>
        <family val="0"/>
        <charset val="1"/>
      </rPr>
      <t xml:space="preserve">)</t>
    </r>
  </si>
  <si>
    <t xml:space="preserve">안구 및 안구 종양에 대한 수술</t>
  </si>
  <si>
    <t xml:space="preserve">망막 및유리체 수술</t>
  </si>
  <si>
    <t xml:space="preserve">C043</t>
  </si>
  <si>
    <r>
      <rPr>
        <sz val="10"/>
        <rFont val="WenQuanYi Zen Hei"/>
        <family val="2"/>
      </rPr>
      <t xml:space="preserve">망막 및 유리체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망막주위막 제거술동반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수정체 수술 동반</t>
    </r>
    <r>
      <rPr>
        <sz val="10"/>
        <rFont val="Arial"/>
        <family val="0"/>
        <charset val="1"/>
      </rPr>
      <t xml:space="preserve">)</t>
    </r>
  </si>
  <si>
    <t xml:space="preserve">C044</t>
  </si>
  <si>
    <r>
      <rPr>
        <sz val="10"/>
        <rFont val="WenQuanYi Zen Hei"/>
        <family val="2"/>
      </rPr>
      <t xml:space="preserve">망막 및 유리체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망막주위막 제거술동반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수정체 수술미동반</t>
    </r>
    <r>
      <rPr>
        <sz val="10"/>
        <rFont val="Arial"/>
        <family val="0"/>
        <charset val="1"/>
      </rPr>
      <t xml:space="preserve">)</t>
    </r>
  </si>
  <si>
    <t xml:space="preserve">C045</t>
  </si>
  <si>
    <r>
      <rPr>
        <sz val="10"/>
        <rFont val="WenQuanYi Zen Hei"/>
        <family val="2"/>
      </rPr>
      <t xml:space="preserve">망막 및 유리체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망막주위막 제거술미동반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수정체 수술동반</t>
    </r>
    <r>
      <rPr>
        <sz val="10"/>
        <rFont val="Arial"/>
        <family val="0"/>
        <charset val="1"/>
      </rPr>
      <t xml:space="preserve">)</t>
    </r>
  </si>
  <si>
    <t xml:space="preserve">C046</t>
  </si>
  <si>
    <r>
      <rPr>
        <sz val="10"/>
        <rFont val="WenQuanYi Zen Hei"/>
        <family val="2"/>
      </rPr>
      <t xml:space="preserve">망막 및 유리체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망막주위막 제거술미동반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수정체 수술미동반</t>
    </r>
    <r>
      <rPr>
        <sz val="10"/>
        <rFont val="Arial"/>
        <family val="0"/>
        <charset val="1"/>
      </rPr>
      <t xml:space="preserve">)</t>
    </r>
  </si>
  <si>
    <t xml:space="preserve">안구표면재건술</t>
  </si>
  <si>
    <t xml:space="preserve">C051</t>
  </si>
  <si>
    <t xml:space="preserve">주요 각막이식수술</t>
  </si>
  <si>
    <t xml:space="preserve">C052</t>
  </si>
  <si>
    <t xml:space="preserve">기타 각막이식수술</t>
  </si>
  <si>
    <t xml:space="preserve">C053</t>
  </si>
  <si>
    <t xml:space="preserve">공막 및 각막윤부이식수술</t>
  </si>
  <si>
    <r>
      <rPr>
        <sz val="10"/>
        <rFont val="WenQuanYi Zen Hei"/>
        <family val="2"/>
      </rPr>
      <t xml:space="preserve">수정체소절개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유리체절제술 유무와무관</t>
    </r>
    <r>
      <rPr>
        <sz val="10"/>
        <rFont val="Arial"/>
        <family val="0"/>
        <charset val="1"/>
      </rPr>
      <t xml:space="preserve">)</t>
    </r>
  </si>
  <si>
    <t xml:space="preserve">C061</t>
  </si>
  <si>
    <r>
      <rPr>
        <sz val="10"/>
        <rFont val="WenQuanYi Zen Hei"/>
        <family val="2"/>
      </rPr>
      <t xml:space="preserve">주요 수정체 소절개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</si>
  <si>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C062</t>
  </si>
  <si>
    <r>
      <rPr>
        <sz val="10"/>
        <rFont val="WenQuanYi Zen Hei"/>
        <family val="2"/>
      </rPr>
      <t xml:space="preserve">기타 수정체 소절개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</si>
  <si>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C063</t>
  </si>
  <si>
    <r>
      <rPr>
        <sz val="10"/>
        <rFont val="WenQuanYi Zen Hei"/>
        <family val="2"/>
      </rPr>
      <t xml:space="preserve">주요 수정체 소절개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양쪽</t>
    </r>
  </si>
  <si>
    <t xml:space="preserve">C064</t>
  </si>
  <si>
    <r>
      <rPr>
        <sz val="10"/>
        <rFont val="WenQuanYi Zen Hei"/>
        <family val="2"/>
      </rPr>
      <t xml:space="preserve">기타 수정체 소절개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양쪽</t>
    </r>
  </si>
  <si>
    <r>
      <rPr>
        <sz val="10"/>
        <rFont val="WenQuanYi Zen Hei"/>
        <family val="2"/>
      </rPr>
      <t xml:space="preserve">수정체대절개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유리체절제술 유무와무관</t>
    </r>
    <r>
      <rPr>
        <sz val="10"/>
        <rFont val="Arial"/>
        <family val="0"/>
        <charset val="1"/>
      </rPr>
      <t xml:space="preserve">)</t>
    </r>
  </si>
  <si>
    <t xml:space="preserve">C071</t>
  </si>
  <si>
    <r>
      <rPr>
        <sz val="10"/>
        <rFont val="WenQuanYi Zen Hei"/>
        <family val="2"/>
      </rPr>
      <t xml:space="preserve">주요 수정체 대절개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</si>
  <si>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C072</t>
  </si>
  <si>
    <r>
      <rPr>
        <sz val="10"/>
        <rFont val="WenQuanYi Zen Hei"/>
        <family val="2"/>
      </rPr>
      <t xml:space="preserve">기타 수정체 대절개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</si>
  <si>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C073</t>
  </si>
  <si>
    <r>
      <rPr>
        <sz val="10"/>
        <rFont val="WenQuanYi Zen Hei"/>
        <family val="2"/>
      </rPr>
      <t xml:space="preserve">수정체 대절개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유리체 절제술 유무와무관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양쪽</t>
    </r>
  </si>
  <si>
    <t xml:space="preserve">후발성백내장 수술</t>
  </si>
  <si>
    <t xml:space="preserve">C080</t>
  </si>
  <si>
    <t xml:space="preserve">후발성 백내장 수술</t>
  </si>
  <si>
    <t xml:space="preserve">인공수정체 삽입 후 생긴 후발백내장 제거</t>
  </si>
  <si>
    <t xml:space="preserve">녹내장수술</t>
  </si>
  <si>
    <t xml:space="preserve">C091</t>
  </si>
  <si>
    <r>
      <rPr>
        <sz val="10"/>
        <rFont val="WenQuanYi Zen Hei"/>
        <family val="2"/>
      </rPr>
      <t xml:space="preserve">복잡 녹내장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수정체 수술 동반</t>
    </r>
    <r>
      <rPr>
        <sz val="10"/>
        <rFont val="Arial"/>
        <family val="0"/>
        <charset val="1"/>
      </rPr>
      <t xml:space="preserve">)</t>
    </r>
  </si>
  <si>
    <t xml:space="preserve">C092</t>
  </si>
  <si>
    <r>
      <rPr>
        <sz val="10"/>
        <rFont val="WenQuanYi Zen Hei"/>
        <family val="2"/>
      </rPr>
      <t xml:space="preserve">복잡 녹내장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수정체 수술 미동반</t>
    </r>
    <r>
      <rPr>
        <sz val="10"/>
        <rFont val="Arial"/>
        <family val="0"/>
        <charset val="1"/>
      </rPr>
      <t xml:space="preserve">)</t>
    </r>
  </si>
  <si>
    <t xml:space="preserve">C093</t>
  </si>
  <si>
    <r>
      <rPr>
        <sz val="10"/>
        <rFont val="WenQuanYi Zen Hei"/>
        <family val="2"/>
      </rPr>
      <t xml:space="preserve">단순 녹내장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수정체 수술 동반</t>
    </r>
    <r>
      <rPr>
        <sz val="10"/>
        <rFont val="Arial"/>
        <family val="0"/>
        <charset val="1"/>
      </rPr>
      <t xml:space="preserve">)</t>
    </r>
  </si>
  <si>
    <t xml:space="preserve">C094</t>
  </si>
  <si>
    <r>
      <rPr>
        <sz val="10"/>
        <rFont val="WenQuanYi Zen Hei"/>
        <family val="2"/>
      </rPr>
      <t xml:space="preserve">단순 녹내장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수정체 수술 미동반</t>
    </r>
    <r>
      <rPr>
        <sz val="10"/>
        <rFont val="Arial"/>
        <family val="0"/>
        <charset val="1"/>
      </rPr>
      <t xml:space="preserve">)</t>
    </r>
  </si>
  <si>
    <t xml:space="preserve">기타안구내 수술</t>
  </si>
  <si>
    <t xml:space="preserve">C101</t>
  </si>
  <si>
    <t xml:space="preserve">기타 주요 안구내 수술</t>
  </si>
  <si>
    <t xml:space="preserve">C102</t>
  </si>
  <si>
    <t xml:space="preserve">기타 단순 안구내 수술</t>
  </si>
  <si>
    <t xml:space="preserve">사시 수술</t>
  </si>
  <si>
    <t xml:space="preserve">C111</t>
  </si>
  <si>
    <t xml:space="preserve">복잡 사시 수술</t>
  </si>
  <si>
    <t xml:space="preserve">C112</t>
  </si>
  <si>
    <t xml:space="preserve">단순 사시 수술</t>
  </si>
  <si>
    <t xml:space="preserve">안검 수술</t>
  </si>
  <si>
    <t xml:space="preserve">C121</t>
  </si>
  <si>
    <r>
      <rPr>
        <sz val="10"/>
        <rFont val="WenQuanYi Zen Hei"/>
        <family val="2"/>
      </rPr>
      <t xml:space="preserve">복잡 안검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형</t>
    </r>
  </si>
  <si>
    <t xml:space="preserve">C122</t>
  </si>
  <si>
    <r>
      <rPr>
        <sz val="10"/>
        <rFont val="WenQuanYi Zen Hei"/>
        <family val="2"/>
      </rPr>
      <t xml:space="preserve">복잡 안검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형</t>
    </r>
  </si>
  <si>
    <t xml:space="preserve">C123</t>
  </si>
  <si>
    <r>
      <rPr>
        <sz val="10"/>
        <rFont val="WenQuanYi Zen Hei"/>
        <family val="2"/>
      </rPr>
      <t xml:space="preserve">복잡 안검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형</t>
    </r>
  </si>
  <si>
    <t xml:space="preserve">C124</t>
  </si>
  <si>
    <r>
      <rPr>
        <sz val="10"/>
        <rFont val="WenQuanYi Zen Hei"/>
        <family val="2"/>
      </rPr>
      <t xml:space="preserve">주요 안검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형</t>
    </r>
  </si>
  <si>
    <t xml:space="preserve">C125</t>
  </si>
  <si>
    <r>
      <rPr>
        <sz val="10"/>
        <rFont val="WenQuanYi Zen Hei"/>
        <family val="2"/>
      </rPr>
      <t xml:space="preserve">주요 안검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형</t>
    </r>
  </si>
  <si>
    <t xml:space="preserve">C126</t>
  </si>
  <si>
    <r>
      <rPr>
        <sz val="10"/>
        <rFont val="WenQuanYi Zen Hei"/>
        <family val="2"/>
      </rPr>
      <t xml:space="preserve">주요 안검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형</t>
    </r>
  </si>
  <si>
    <t xml:space="preserve">C127</t>
  </si>
  <si>
    <t xml:space="preserve">기타 안검 수술</t>
  </si>
  <si>
    <t xml:space="preserve">눈물길수술</t>
  </si>
  <si>
    <t xml:space="preserve">C131</t>
  </si>
  <si>
    <t xml:space="preserve">복잡 눈물길 수술</t>
  </si>
  <si>
    <t xml:space="preserve">C132</t>
  </si>
  <si>
    <r>
      <rPr>
        <sz val="10"/>
        <rFont val="WenQuanYi Zen Hei"/>
        <family val="2"/>
      </rPr>
      <t xml:space="preserve">주요 눈물길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</si>
  <si>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C133</t>
  </si>
  <si>
    <r>
      <rPr>
        <sz val="10"/>
        <rFont val="WenQuanYi Zen Hei"/>
        <family val="2"/>
      </rPr>
      <t xml:space="preserve">주요 눈물길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</si>
  <si>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t xml:space="preserve">C135</t>
  </si>
  <si>
    <r>
      <rPr>
        <sz val="10"/>
        <rFont val="WenQuanYi Zen Hei"/>
        <family val="2"/>
      </rPr>
      <t xml:space="preserve">기타 눈물길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경비내시경 포함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단안</t>
    </r>
  </si>
  <si>
    <t xml:space="preserve">C136</t>
  </si>
  <si>
    <r>
      <rPr>
        <sz val="10"/>
        <rFont val="WenQuanYi Zen Hei"/>
        <family val="2"/>
      </rPr>
      <t xml:space="preserve">기타 눈물길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경비내시경 포함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양안</t>
    </r>
  </si>
  <si>
    <t xml:space="preserve">결막 수술</t>
  </si>
  <si>
    <t xml:space="preserve">C141</t>
  </si>
  <si>
    <t xml:space="preserve">결막낭 재건술</t>
  </si>
  <si>
    <t xml:space="preserve">C142</t>
  </si>
  <si>
    <t xml:space="preserve">복잡 결막 수술</t>
  </si>
  <si>
    <t xml:space="preserve">C143</t>
  </si>
  <si>
    <t xml:space="preserve">단순 결막 수술</t>
  </si>
  <si>
    <t xml:space="preserve">기타안구외수술</t>
  </si>
  <si>
    <t xml:space="preserve">C150</t>
  </si>
  <si>
    <t xml:space="preserve">기타 안구외 수술</t>
  </si>
  <si>
    <t xml:space="preserve">기타 안구 바깥 수술</t>
  </si>
  <si>
    <t xml:space="preserve">내이 수술</t>
  </si>
  <si>
    <t xml:space="preserve">D011</t>
  </si>
  <si>
    <t xml:space="preserve">귀 이식술</t>
  </si>
  <si>
    <r>
      <rPr>
        <sz val="10"/>
        <rFont val="WenQuanYi Zen Hei"/>
        <family val="2"/>
      </rPr>
      <t xml:space="preserve">이비인후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두경부</t>
    </r>
  </si>
  <si>
    <t xml:space="preserve">인공와우 등 내이 이식 수술</t>
  </si>
  <si>
    <t xml:space="preserve">D012</t>
  </si>
  <si>
    <t xml:space="preserve">주요 내이 수술</t>
  </si>
  <si>
    <r>
      <rPr>
        <sz val="10"/>
        <rFont val="WenQuanYi Zen Hei"/>
        <family val="2"/>
      </rPr>
      <t xml:space="preserve">내이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달팽이관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대한 주요 수술</t>
    </r>
  </si>
  <si>
    <t xml:space="preserve">D013</t>
  </si>
  <si>
    <t xml:space="preserve">단순 내이 수술</t>
  </si>
  <si>
    <t xml:space="preserve">중이 및유양돌기 수술</t>
  </si>
  <si>
    <t xml:space="preserve">D021</t>
  </si>
  <si>
    <t xml:space="preserve">고실유양돌기 수술</t>
  </si>
  <si>
    <t xml:space="preserve">D022</t>
  </si>
  <si>
    <t xml:space="preserve">유양돌기 수술</t>
  </si>
  <si>
    <t xml:space="preserve">D023</t>
  </si>
  <si>
    <t xml:space="preserve">고실 수술</t>
  </si>
  <si>
    <t xml:space="preserve">D024</t>
  </si>
  <si>
    <t xml:space="preserve">이소골 재건술</t>
  </si>
  <si>
    <t xml:space="preserve">D025</t>
  </si>
  <si>
    <t xml:space="preserve">등골 수술</t>
  </si>
  <si>
    <t xml:space="preserve">D026</t>
  </si>
  <si>
    <t xml:space="preserve">환기관삽입 고막절개술</t>
  </si>
  <si>
    <t xml:space="preserve">외이 및 귀수술</t>
  </si>
  <si>
    <t xml:space="preserve">D031</t>
  </si>
  <si>
    <t xml:space="preserve">주요 외이 및 귀 수술</t>
  </si>
  <si>
    <t xml:space="preserve">D032</t>
  </si>
  <si>
    <t xml:space="preserve">단순 외이 및 귀 수술</t>
  </si>
  <si>
    <t xml:space="preserve">귀 및 코의악성종양 수술</t>
  </si>
  <si>
    <t xml:space="preserve">D041</t>
  </si>
  <si>
    <t xml:space="preserve">귀 및 두개저 악성종양수술</t>
  </si>
  <si>
    <t xml:space="preserve">D042</t>
  </si>
  <si>
    <r>
      <rPr>
        <sz val="10"/>
        <rFont val="WenQuanYi Zen Hei"/>
        <family val="2"/>
      </rPr>
      <t xml:space="preserve">비강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부비동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비인강악성종양</t>
    </r>
  </si>
  <si>
    <t xml:space="preserve">부비동개방수술</t>
  </si>
  <si>
    <t xml:space="preserve">D051</t>
  </si>
  <si>
    <r>
      <rPr>
        <sz val="10"/>
        <rFont val="WenQuanYi Zen Hei"/>
        <family val="2"/>
      </rPr>
      <t xml:space="preserve">부비동 개방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</si>
  <si>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D052</t>
  </si>
  <si>
    <r>
      <rPr>
        <sz val="10"/>
        <rFont val="WenQuanYi Zen Hei"/>
        <family val="2"/>
      </rPr>
      <t xml:space="preserve">부비동 개방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</si>
  <si>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D053</t>
  </si>
  <si>
    <r>
      <rPr>
        <sz val="10"/>
        <rFont val="WenQuanYi Zen Hei"/>
        <family val="2"/>
      </rPr>
      <t xml:space="preserve">부비동 개방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</si>
  <si>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D054</t>
  </si>
  <si>
    <r>
      <rPr>
        <sz val="10"/>
        <rFont val="WenQuanYi Zen Hei"/>
        <family val="2"/>
      </rPr>
      <t xml:space="preserve">부비동 개방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</si>
  <si>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내시경을이용한 부비동수술</t>
  </si>
  <si>
    <t xml:space="preserve">D061</t>
  </si>
  <si>
    <r>
      <rPr>
        <sz val="10"/>
        <rFont val="WenQuanYi Zen Hei"/>
        <family val="2"/>
      </rPr>
      <t xml:space="preserve">내시경을 이용한 부비동수술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</si>
  <si>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D062</t>
  </si>
  <si>
    <r>
      <rPr>
        <sz val="10"/>
        <rFont val="WenQuanYi Zen Hei"/>
        <family val="2"/>
      </rPr>
      <t xml:space="preserve">내시경을 이용한 부비동수술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</si>
  <si>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D065</t>
  </si>
  <si>
    <r>
      <rPr>
        <sz val="10"/>
        <rFont val="WenQuanYi Zen Hei"/>
        <family val="2"/>
      </rPr>
      <t xml:space="preserve">내시경을 이용한 부비동수술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</si>
  <si>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D066</t>
  </si>
  <si>
    <r>
      <rPr>
        <sz val="10"/>
        <rFont val="WenQuanYi Zen Hei"/>
        <family val="2"/>
      </rPr>
      <t xml:space="preserve">복잡 내시경을 이용한부비동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</si>
  <si>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D067</t>
  </si>
  <si>
    <r>
      <rPr>
        <sz val="10"/>
        <rFont val="WenQuanYi Zen Hei"/>
        <family val="2"/>
      </rPr>
      <t xml:space="preserve">내시경을 이용한 부비동수술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</si>
  <si>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D068</t>
  </si>
  <si>
    <r>
      <rPr>
        <sz val="10"/>
        <rFont val="WenQuanYi Zen Hei"/>
        <family val="2"/>
      </rPr>
      <t xml:space="preserve">복잡 내시경을 이용한부비동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</si>
  <si>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코 수술</t>
  </si>
  <si>
    <t xml:space="preserve">D081</t>
  </si>
  <si>
    <t xml:space="preserve">주요 코 수술</t>
  </si>
  <si>
    <t xml:space="preserve">D082</t>
  </si>
  <si>
    <t xml:space="preserve">비중격 및 비갑개수술</t>
  </si>
  <si>
    <t xml:space="preserve">D083</t>
  </si>
  <si>
    <t xml:space="preserve">단순 코 수술</t>
  </si>
  <si>
    <t xml:space="preserve">구강 및타액선악성종양 수술</t>
  </si>
  <si>
    <t xml:space="preserve">D090</t>
  </si>
  <si>
    <t xml:space="preserve">구강 및 타액선 악성종양 수술</t>
  </si>
  <si>
    <r>
      <rPr>
        <sz val="10"/>
        <rFont val="WenQuanYi Zen Hei"/>
        <family val="2"/>
      </rPr>
      <t xml:space="preserve">입안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침샘의 악성종양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수술</t>
    </r>
  </si>
  <si>
    <t xml:space="preserve">후두 및인두 악성종양수술</t>
  </si>
  <si>
    <t xml:space="preserve">D101</t>
  </si>
  <si>
    <r>
      <rPr>
        <sz val="10"/>
        <rFont val="WenQuanYi Zen Hei"/>
        <family val="2"/>
      </rPr>
      <t xml:space="preserve">주요 후두 및 인두악성종양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경동맥소체포함</t>
    </r>
    <r>
      <rPr>
        <sz val="10"/>
        <rFont val="Arial"/>
        <family val="0"/>
        <charset val="1"/>
      </rPr>
      <t xml:space="preserve">)</t>
    </r>
  </si>
  <si>
    <t xml:space="preserve">D102</t>
  </si>
  <si>
    <t xml:space="preserve">단순 후두 및 인두악성종양 수술</t>
  </si>
  <si>
    <t xml:space="preserve">경부림프절절제술</t>
  </si>
  <si>
    <t xml:space="preserve">D111</t>
  </si>
  <si>
    <r>
      <rPr>
        <sz val="10"/>
        <rFont val="WenQuanYi Zen Hei"/>
        <family val="2"/>
      </rPr>
      <t xml:space="preserve">경부림프절절제술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</si>
  <si>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D112</t>
  </si>
  <si>
    <r>
      <rPr>
        <sz val="10"/>
        <rFont val="WenQuanYi Zen Hei"/>
        <family val="2"/>
      </rPr>
      <t xml:space="preserve">경부림프절절제술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</si>
  <si>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t xml:space="preserve">안면골수술</t>
  </si>
  <si>
    <t xml:space="preserve">D121</t>
  </si>
  <si>
    <t xml:space="preserve">악관절 수술</t>
  </si>
  <si>
    <t xml:space="preserve">D122</t>
  </si>
  <si>
    <t xml:space="preserve">주요 안면골 수술</t>
  </si>
  <si>
    <t xml:space="preserve">D123</t>
  </si>
  <si>
    <t xml:space="preserve">단순 안면골 수술</t>
  </si>
  <si>
    <t xml:space="preserve">두경부재건술</t>
  </si>
  <si>
    <t xml:space="preserve">D130</t>
  </si>
  <si>
    <t xml:space="preserve">두경부 재건술</t>
  </si>
  <si>
    <r>
      <rPr>
        <sz val="10"/>
        <rFont val="WenQuanYi Zen Hei"/>
        <family val="2"/>
      </rPr>
      <t xml:space="preserve">머리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목 부위 결손 재건 수술</t>
    </r>
  </si>
  <si>
    <t xml:space="preserve">타액선수술</t>
  </si>
  <si>
    <t xml:space="preserve">D141</t>
  </si>
  <si>
    <t xml:space="preserve">이하선수술</t>
  </si>
  <si>
    <t xml:space="preserve">D142</t>
  </si>
  <si>
    <t xml:space="preserve">악하선 및 설하선 수술</t>
  </si>
  <si>
    <t xml:space="preserve">D143</t>
  </si>
  <si>
    <t xml:space="preserve">기타 타액선 수술</t>
  </si>
  <si>
    <t xml:space="preserve">D144</t>
  </si>
  <si>
    <t xml:space="preserve">타석제거술</t>
  </si>
  <si>
    <t xml:space="preserve">경부 수술</t>
  </si>
  <si>
    <t xml:space="preserve">D150</t>
  </si>
  <si>
    <t xml:space="preserve">목 부위 수술</t>
  </si>
  <si>
    <t xml:space="preserve">편도 및아데노이드수술</t>
  </si>
  <si>
    <t xml:space="preserve">D161</t>
  </si>
  <si>
    <t xml:space="preserve">주요 편도 및 아데노이드수술</t>
  </si>
  <si>
    <t xml:space="preserve">D162</t>
  </si>
  <si>
    <t xml:space="preserve">단순 편도 및 아데노이드수술</t>
  </si>
  <si>
    <r>
      <rPr>
        <sz val="10"/>
        <rFont val="WenQuanYi Zen Hei"/>
        <family val="2"/>
      </rPr>
      <t xml:space="preserve">구강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인후두 수술</t>
    </r>
  </si>
  <si>
    <t xml:space="preserve">D171</t>
  </si>
  <si>
    <r>
      <rPr>
        <sz val="10"/>
        <rFont val="WenQuanYi Zen Hei"/>
        <family val="2"/>
      </rPr>
      <t xml:space="preserve">주요 구강 및 인두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후두수술</t>
    </r>
  </si>
  <si>
    <t xml:space="preserve">D172</t>
  </si>
  <si>
    <r>
      <rPr>
        <sz val="10"/>
        <rFont val="WenQuanYi Zen Hei"/>
        <family val="2"/>
      </rPr>
      <t xml:space="preserve">단순 구강 및 인두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후두수술</t>
    </r>
  </si>
  <si>
    <r>
      <rPr>
        <sz val="10"/>
        <rFont val="WenQuanYi Zen Hei"/>
        <family val="2"/>
      </rPr>
      <t xml:space="preserve">기타이비인후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구강 질환수술</t>
    </r>
  </si>
  <si>
    <t xml:space="preserve">D200</t>
  </si>
  <si>
    <r>
      <rPr>
        <sz val="10"/>
        <rFont val="WenQuanYi Zen Hei"/>
        <family val="2"/>
      </rPr>
      <t xml:space="preserve">기타 이비인후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구강 질환 수술</t>
    </r>
  </si>
  <si>
    <r>
      <rPr>
        <sz val="10"/>
        <rFont val="WenQuanYi Zen Hei"/>
        <family val="2"/>
      </rPr>
      <t xml:space="preserve">기타 이비인후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구강 수술</t>
    </r>
  </si>
  <si>
    <t xml:space="preserve">주요 흉부수술</t>
  </si>
  <si>
    <t xml:space="preserve">E011</t>
  </si>
  <si>
    <t xml:space="preserve">기관 및 기관지 수술</t>
  </si>
  <si>
    <t xml:space="preserve">E012</t>
  </si>
  <si>
    <r>
      <rPr>
        <sz val="10"/>
        <rFont val="WenQuanYi Zen Hei"/>
        <family val="2"/>
      </rPr>
      <t xml:space="preserve">주요 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</si>
  <si>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E013</t>
  </si>
  <si>
    <r>
      <rPr>
        <sz val="10"/>
        <rFont val="WenQuanYi Zen Hei"/>
        <family val="2"/>
      </rPr>
      <t xml:space="preserve">주요 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</si>
  <si>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E014</t>
  </si>
  <si>
    <t xml:space="preserve">기타 폐 수술</t>
  </si>
  <si>
    <t xml:space="preserve">E015</t>
  </si>
  <si>
    <t xml:space="preserve">종격동 수술</t>
  </si>
  <si>
    <t xml:space="preserve">E016</t>
  </si>
  <si>
    <t xml:space="preserve">주요 흉곽 수술</t>
  </si>
  <si>
    <t xml:space="preserve">E017</t>
  </si>
  <si>
    <t xml:space="preserve">기타 흉곽 수술</t>
  </si>
  <si>
    <t xml:space="preserve">E018</t>
  </si>
  <si>
    <t xml:space="preserve">흉강경을 이용한 주요수술</t>
  </si>
  <si>
    <t xml:space="preserve">E019</t>
  </si>
  <si>
    <t xml:space="preserve">흉강경을 이용한 기타수술</t>
  </si>
  <si>
    <t xml:space="preserve">기관지경및 방사선하수술</t>
  </si>
  <si>
    <t xml:space="preserve">E020</t>
  </si>
  <si>
    <t xml:space="preserve">기관지경 및 방사선하 수술</t>
  </si>
  <si>
    <r>
      <rPr>
        <sz val="10"/>
        <rFont val="WenQuanYi Zen Hei"/>
        <family val="2"/>
      </rPr>
      <t xml:space="preserve">기관지경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방사선 유도하 시술</t>
    </r>
  </si>
  <si>
    <t xml:space="preserve">기타호흡기계 수술</t>
  </si>
  <si>
    <t xml:space="preserve">E032</t>
  </si>
  <si>
    <t xml:space="preserve">수면무호흡증후군 수술</t>
  </si>
  <si>
    <t xml:space="preserve">E033</t>
  </si>
  <si>
    <t xml:space="preserve">호흡기계 기타 단순 수술</t>
  </si>
  <si>
    <t xml:space="preserve">E034</t>
  </si>
  <si>
    <t xml:space="preserve">기타 호흡기계 수술</t>
  </si>
  <si>
    <t xml:space="preserve">폐농양배액술</t>
  </si>
  <si>
    <t xml:space="preserve">E520</t>
  </si>
  <si>
    <t xml:space="preserve">폐농양 배액술</t>
  </si>
  <si>
    <t xml:space="preserve">폐농양을 배액하는 수술</t>
  </si>
  <si>
    <t xml:space="preserve">흉막삼출배액술</t>
  </si>
  <si>
    <t xml:space="preserve">E530</t>
  </si>
  <si>
    <t xml:space="preserve">흉막삼출 배액술</t>
  </si>
  <si>
    <t xml:space="preserve">흉막에 찬 물을 배액하는 수술</t>
  </si>
  <si>
    <t xml:space="preserve">자동체내제세동기 시술</t>
  </si>
  <si>
    <t xml:space="preserve">F011</t>
  </si>
  <si>
    <t xml:space="preserve">자동체내제세동기 설치술또는 교환술</t>
  </si>
  <si>
    <r>
      <rPr>
        <sz val="10"/>
        <rFont val="WenQuanYi Zen Hei"/>
        <family val="2"/>
      </rPr>
      <t xml:space="preserve">순환기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혈관</t>
    </r>
    <r>
      <rPr>
        <sz val="10"/>
        <rFont val="Arial"/>
        <family val="0"/>
        <charset val="1"/>
      </rPr>
      <t xml:space="preserve">)</t>
    </r>
  </si>
  <si>
    <t xml:space="preserve">F012</t>
  </si>
  <si>
    <t xml:space="preserve">자동체내제세동기 교정술</t>
  </si>
  <si>
    <r>
      <rPr>
        <sz val="10"/>
        <rFont val="WenQuanYi Zen Hei"/>
        <family val="2"/>
      </rPr>
      <t xml:space="preserve">심장판막수술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심도자술사용</t>
    </r>
    <r>
      <rPr>
        <sz val="10"/>
        <rFont val="Arial"/>
        <family val="0"/>
        <charset val="1"/>
      </rPr>
      <t xml:space="preserve">)</t>
    </r>
  </si>
  <si>
    <t xml:space="preserve">F021</t>
  </si>
  <si>
    <r>
      <rPr>
        <sz val="10"/>
        <rFont val="WenQuanYi Zen Hei"/>
        <family val="2"/>
      </rPr>
      <t xml:space="preserve">대동맥판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사용</t>
    </r>
    <r>
      <rPr>
        <sz val="10"/>
        <rFont val="Arial"/>
        <family val="0"/>
        <charset val="1"/>
      </rPr>
      <t xml:space="preserve">)</t>
    </r>
  </si>
  <si>
    <t xml:space="preserve">F022</t>
  </si>
  <si>
    <r>
      <rPr>
        <sz val="10"/>
        <rFont val="WenQuanYi Zen Hei"/>
        <family val="2"/>
      </rPr>
      <t xml:space="preserve">승모판 혹은 삼첨판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사용</t>
    </r>
    <r>
      <rPr>
        <sz val="10"/>
        <rFont val="Arial"/>
        <family val="0"/>
        <charset val="1"/>
      </rPr>
      <t xml:space="preserve">)</t>
    </r>
  </si>
  <si>
    <t xml:space="preserve">F023</t>
  </si>
  <si>
    <r>
      <rPr>
        <sz val="10"/>
        <rFont val="WenQuanYi Zen Hei"/>
        <family val="2"/>
      </rPr>
      <t xml:space="preserve">폐동맥판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</si>
  <si>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심장판막수술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심도자술미사용</t>
    </r>
    <r>
      <rPr>
        <sz val="10"/>
        <rFont val="Arial"/>
        <family val="0"/>
        <charset val="1"/>
      </rPr>
      <t xml:space="preserve">)</t>
    </r>
  </si>
  <si>
    <t xml:space="preserve">F031</t>
  </si>
  <si>
    <r>
      <rPr>
        <sz val="10"/>
        <rFont val="WenQuanYi Zen Hei"/>
        <family val="2"/>
      </rPr>
      <t xml:space="preserve">대동맥판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미사용</t>
    </r>
    <r>
      <rPr>
        <sz val="10"/>
        <rFont val="Arial"/>
        <family val="0"/>
        <charset val="1"/>
      </rPr>
      <t xml:space="preserve">)</t>
    </r>
  </si>
  <si>
    <t xml:space="preserve">F032</t>
  </si>
  <si>
    <r>
      <rPr>
        <sz val="10"/>
        <rFont val="WenQuanYi Zen Hei"/>
        <family val="2"/>
      </rPr>
      <t xml:space="preserve">승모판 혹은 삼첨판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미사용</t>
    </r>
    <r>
      <rPr>
        <sz val="10"/>
        <rFont val="Arial"/>
        <family val="0"/>
        <charset val="1"/>
      </rPr>
      <t xml:space="preserve">)</t>
    </r>
  </si>
  <si>
    <t xml:space="preserve">F033</t>
  </si>
  <si>
    <r>
      <rPr>
        <sz val="10"/>
        <rFont val="WenQuanYi Zen Hei"/>
        <family val="2"/>
      </rPr>
      <t xml:space="preserve">폐동맥판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미사용</t>
    </r>
    <r>
      <rPr>
        <sz val="10"/>
        <rFont val="Arial"/>
        <family val="0"/>
        <charset val="1"/>
      </rPr>
      <t xml:space="preserve">)</t>
    </r>
  </si>
  <si>
    <t xml:space="preserve">관상동맥우회로 조성술</t>
  </si>
  <si>
    <t xml:space="preserve">F041</t>
  </si>
  <si>
    <r>
      <rPr>
        <sz val="10"/>
        <rFont val="WenQuanYi Zen Hei"/>
        <family val="2"/>
      </rPr>
      <t xml:space="preserve">관상동맥 우회로 조성술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</si>
  <si>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t xml:space="preserve">F042</t>
  </si>
  <si>
    <r>
      <rPr>
        <sz val="10"/>
        <rFont val="WenQuanYi Zen Hei"/>
        <family val="2"/>
      </rPr>
      <t xml:space="preserve">관상동맥 우회로 조성술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미사용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</si>
  <si>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t xml:space="preserve">F043</t>
  </si>
  <si>
    <r>
      <rPr>
        <sz val="10"/>
        <rFont val="WenQuanYi Zen Hei"/>
        <family val="2"/>
      </rPr>
      <t xml:space="preserve">관상동맥 우회로 조성술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</si>
  <si>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t xml:space="preserve">F044</t>
  </si>
  <si>
    <r>
      <rPr>
        <sz val="10"/>
        <rFont val="WenQuanYi Zen Hei"/>
        <family val="2"/>
      </rPr>
      <t xml:space="preserve">관상동맥 우회로 조성술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심도자술 미사용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</si>
  <si>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t xml:space="preserve">기타심흉부수술</t>
  </si>
  <si>
    <t xml:space="preserve">F053</t>
  </si>
  <si>
    <r>
      <rPr>
        <sz val="10"/>
        <rFont val="WenQuanYi Zen Hei"/>
        <family val="2"/>
      </rPr>
      <t xml:space="preserve">기타 심흉부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</si>
  <si>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t xml:space="preserve">인공심장폐장치를 사용한 기타 심흉부수술</t>
  </si>
  <si>
    <t xml:space="preserve">F054</t>
  </si>
  <si>
    <r>
      <rPr>
        <sz val="10"/>
        <rFont val="WenQuanYi Zen Hei"/>
        <family val="2"/>
      </rPr>
      <t xml:space="preserve">기타 심흉부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</si>
  <si>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t xml:space="preserve">인공심폐 미사용 기타 심흉부수술</t>
  </si>
  <si>
    <r>
      <rPr>
        <sz val="10"/>
        <rFont val="WenQuanYi Zen Hei"/>
        <family val="2"/>
      </rPr>
      <t xml:space="preserve">주요혈관복구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</si>
  <si>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t xml:space="preserve">F061</t>
  </si>
  <si>
    <r>
      <rPr>
        <sz val="10"/>
        <rFont val="WenQuanYi Zen Hei"/>
        <family val="2"/>
      </rPr>
      <t xml:space="preserve">파열 동맥류 또는 대동맥축착 교정술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</si>
  <si>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t xml:space="preserve">F062</t>
  </si>
  <si>
    <r>
      <rPr>
        <sz val="10"/>
        <rFont val="WenQuanYi Zen Hei"/>
        <family val="2"/>
      </rPr>
      <t xml:space="preserve">비파열 동맥류 또는대동맥 축착 교정술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</si>
  <si>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t xml:space="preserve">F063</t>
  </si>
  <si>
    <r>
      <rPr>
        <sz val="10"/>
        <rFont val="WenQuanYi Zen Hei"/>
        <family val="2"/>
      </rPr>
      <t xml:space="preserve">기타 주요 혈관복구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</si>
  <si>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주요혈관복구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</si>
  <si>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t xml:space="preserve">F071</t>
  </si>
  <si>
    <r>
      <rPr>
        <sz val="10"/>
        <rFont val="WenQuanYi Zen Hei"/>
        <family val="2"/>
      </rPr>
      <t xml:space="preserve">파열 동맥류 또는 대동맥축착 교정술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</si>
  <si>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t xml:space="preserve">F072</t>
  </si>
  <si>
    <r>
      <rPr>
        <sz val="10"/>
        <rFont val="WenQuanYi Zen Hei"/>
        <family val="2"/>
      </rPr>
      <t xml:space="preserve">비파열 동맥류 또는대동맥 축착 교정술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</si>
  <si>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t xml:space="preserve">F073</t>
  </si>
  <si>
    <r>
      <rPr>
        <sz val="10"/>
        <rFont val="WenQuanYi Zen Hei"/>
        <family val="2"/>
      </rPr>
      <t xml:space="preserve">기타 주요 혈관복구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인공심장폐장치 미사용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</si>
  <si>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기타 주요 혈관복구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인공심폐 미사용</t>
    </r>
    <r>
      <rPr>
        <sz val="10"/>
        <rFont val="Arial"/>
        <family val="0"/>
        <charset val="1"/>
      </rPr>
      <t xml:space="preserve">)</t>
    </r>
  </si>
  <si>
    <t xml:space="preserve">대동맥경피적 수술</t>
  </si>
  <si>
    <t xml:space="preserve">F081</t>
  </si>
  <si>
    <r>
      <rPr>
        <sz val="10"/>
        <rFont val="WenQuanYi Zen Hei"/>
        <family val="2"/>
      </rPr>
      <t xml:space="preserve">복부대동맥 및 장골동맥류경피적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파열 미동반</t>
    </r>
    <r>
      <rPr>
        <sz val="10"/>
        <rFont val="Arial"/>
        <family val="0"/>
        <charset val="1"/>
      </rPr>
      <t xml:space="preserve">)</t>
    </r>
  </si>
  <si>
    <t xml:space="preserve">F082</t>
  </si>
  <si>
    <r>
      <rPr>
        <sz val="10"/>
        <rFont val="WenQuanYi Zen Hei"/>
        <family val="2"/>
      </rPr>
      <t xml:space="preserve">복부대동맥 및 장골동맥류경피적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파열 동반</t>
    </r>
    <r>
      <rPr>
        <sz val="10"/>
        <rFont val="Arial"/>
        <family val="0"/>
        <charset val="1"/>
      </rPr>
      <t xml:space="preserve">)</t>
    </r>
  </si>
  <si>
    <t xml:space="preserve">F083</t>
  </si>
  <si>
    <t xml:space="preserve">흉부대동맥류 경피적 수술</t>
  </si>
  <si>
    <t xml:space="preserve">F084</t>
  </si>
  <si>
    <t xml:space="preserve">대동맥박리 경피적 수술</t>
  </si>
  <si>
    <t xml:space="preserve">정맥 및대정맥 경피적수술</t>
  </si>
  <si>
    <t xml:space="preserve">F091</t>
  </si>
  <si>
    <t xml:space="preserve">심부정맥혈전증 경피적수술</t>
  </si>
  <si>
    <t xml:space="preserve">F092</t>
  </si>
  <si>
    <t xml:space="preserve">대정맥 필터설치를 위한경피적 수술</t>
  </si>
  <si>
    <t xml:space="preserve">경도관심장결손폐쇄술</t>
  </si>
  <si>
    <t xml:space="preserve">F101</t>
  </si>
  <si>
    <t xml:space="preserve">경도관 심방중격결손폐쇄술</t>
  </si>
  <si>
    <t xml:space="preserve">F102</t>
  </si>
  <si>
    <t xml:space="preserve">경도관 동맥관개존증폐쇄술</t>
  </si>
  <si>
    <t xml:space="preserve">F103</t>
  </si>
  <si>
    <t xml:space="preserve">기타 경도관 심장 결손폐쇄술</t>
  </si>
  <si>
    <r>
      <rPr>
        <sz val="10"/>
        <rFont val="WenQuanYi Zen Hei"/>
        <family val="2"/>
      </rPr>
      <t xml:space="preserve">급성심근경색증의경피적관상동맥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심각한합병증 동반</t>
    </r>
    <r>
      <rPr>
        <sz val="10"/>
        <rFont val="Arial"/>
        <family val="0"/>
        <charset val="1"/>
      </rPr>
      <t xml:space="preserve">)</t>
    </r>
  </si>
  <si>
    <t xml:space="preserve">F111</t>
  </si>
  <si>
    <r>
      <rPr>
        <sz val="10"/>
        <rFont val="WenQuanYi Zen Hei"/>
        <family val="2"/>
      </rPr>
      <t xml:space="preserve">급성 심근경색증의 경피적관상동맥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심각한합병증 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단일혈관</t>
    </r>
    <r>
      <rPr>
        <sz val="10"/>
        <rFont val="Arial"/>
        <family val="0"/>
        <charset val="1"/>
      </rPr>
      <t xml:space="preserve">)</t>
    </r>
  </si>
  <si>
    <t xml:space="preserve">F112</t>
  </si>
  <si>
    <r>
      <rPr>
        <sz val="10"/>
        <rFont val="WenQuanYi Zen Hei"/>
        <family val="2"/>
      </rPr>
      <t xml:space="preserve">급성 심근경색증의 경피적관상동맥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심각한합병증 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다발혈관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</si>
  <si>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급성심근경색증의경피적관상동맥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심각한합병증미동반</t>
    </r>
    <r>
      <rPr>
        <sz val="10"/>
        <rFont val="Arial"/>
        <family val="0"/>
        <charset val="1"/>
      </rPr>
      <t xml:space="preserve">)</t>
    </r>
  </si>
  <si>
    <t xml:space="preserve">F121</t>
  </si>
  <si>
    <r>
      <rPr>
        <sz val="10"/>
        <rFont val="WenQuanYi Zen Hei"/>
        <family val="2"/>
      </rPr>
      <t xml:space="preserve">급성 심근경색증의 경피적관상동맥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심각한합병증 미동반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단일혈관</t>
    </r>
    <r>
      <rPr>
        <sz val="10"/>
        <rFont val="Arial"/>
        <family val="0"/>
        <charset val="1"/>
      </rPr>
      <t xml:space="preserve">)</t>
    </r>
  </si>
  <si>
    <t xml:space="preserve">F122</t>
  </si>
  <si>
    <r>
      <rPr>
        <sz val="10"/>
        <rFont val="WenQuanYi Zen Hei"/>
        <family val="2"/>
      </rPr>
      <t xml:space="preserve">급성 심근경색증의 경피적관상동맥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심각한합병증 미동반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다발혈관</t>
    </r>
    <r>
      <rPr>
        <sz val="10"/>
        <rFont val="Arial"/>
        <family val="0"/>
        <charset val="1"/>
      </rPr>
      <t xml:space="preserve">)</t>
    </r>
  </si>
  <si>
    <t xml:space="preserve">급성심근경색증이아닌 기타경피적관상동맥 수술</t>
  </si>
  <si>
    <t xml:space="preserve">F133</t>
  </si>
  <si>
    <r>
      <rPr>
        <sz val="10"/>
        <rFont val="WenQuanYi Zen Hei"/>
        <family val="2"/>
      </rPr>
      <t xml:space="preserve">급성 심근경색증이 아닌기타 경피적 관상동맥수술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단일혈관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만성폐쇄성병변의 경우제외</t>
    </r>
    <r>
      <rPr>
        <sz val="10"/>
        <rFont val="Arial"/>
        <family val="0"/>
        <charset val="1"/>
      </rPr>
      <t xml:space="preserve">)</t>
    </r>
  </si>
  <si>
    <t xml:space="preserve">F134</t>
  </si>
  <si>
    <r>
      <rPr>
        <sz val="10"/>
        <rFont val="WenQuanYi Zen Hei"/>
        <family val="2"/>
      </rPr>
      <t xml:space="preserve">급성 심근경색증이 아닌기타 경피적 관상동맥수술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단일혈관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만성폐쇄성병변의 경우포함</t>
    </r>
    <r>
      <rPr>
        <sz val="10"/>
        <rFont val="Arial"/>
        <family val="0"/>
        <charset val="1"/>
      </rPr>
      <t xml:space="preserve">)</t>
    </r>
  </si>
  <si>
    <t xml:space="preserve">F135</t>
  </si>
  <si>
    <r>
      <rPr>
        <sz val="10"/>
        <rFont val="WenQuanYi Zen Hei"/>
        <family val="2"/>
      </rPr>
      <t xml:space="preserve">급성 심근경색증이 아닌기타 경피적 관상동맥수술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다발혈관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만성폐쇄성병변의 경우제외</t>
    </r>
    <r>
      <rPr>
        <sz val="10"/>
        <rFont val="Arial"/>
        <family val="0"/>
        <charset val="1"/>
      </rPr>
      <t xml:space="preserve">)</t>
    </r>
  </si>
  <si>
    <t xml:space="preserve">F136</t>
  </si>
  <si>
    <r>
      <rPr>
        <sz val="10"/>
        <rFont val="WenQuanYi Zen Hei"/>
        <family val="2"/>
      </rPr>
      <t xml:space="preserve">급성 심근경색증이 아닌기타 경피적 관상동맥수술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다발혈관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만성폐쇄성병변의 경우포함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</si>
  <si>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부정맥의경피적 수술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지도화기능 포함</t>
    </r>
    <r>
      <rPr>
        <sz val="10"/>
        <rFont val="Arial"/>
        <family val="0"/>
        <charset val="1"/>
      </rPr>
      <t xml:space="preserve">)</t>
    </r>
  </si>
  <si>
    <t xml:space="preserve">F141</t>
  </si>
  <si>
    <r>
      <rPr>
        <sz val="10"/>
        <rFont val="WenQuanYi Zen Hei"/>
        <family val="2"/>
      </rPr>
      <t xml:space="preserve">심실빈맥 전극도자 절제술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 기능포함</t>
    </r>
    <r>
      <rPr>
        <sz val="10"/>
        <rFont val="Arial"/>
        <family val="0"/>
        <charset val="1"/>
      </rPr>
      <t xml:space="preserve">)</t>
    </r>
  </si>
  <si>
    <t xml:space="preserve">F142</t>
  </si>
  <si>
    <r>
      <rPr>
        <sz val="10"/>
        <rFont val="WenQuanYi Zen Hei"/>
        <family val="2"/>
      </rPr>
      <t xml:space="preserve">심방세동 전극도자 절제술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 기능포함</t>
    </r>
    <r>
      <rPr>
        <sz val="10"/>
        <rFont val="Arial"/>
        <family val="0"/>
        <charset val="1"/>
      </rPr>
      <t xml:space="preserve">)</t>
    </r>
  </si>
  <si>
    <t xml:space="preserve">F143</t>
  </si>
  <si>
    <r>
      <rPr>
        <sz val="10"/>
        <rFont val="WenQuanYi Zen Hei"/>
        <family val="2"/>
      </rPr>
      <t xml:space="preserve">발작성 심실상빈맥 및심방조동 전극도자절제술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 기능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</si>
  <si>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부정맥의경피적 수술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지도화기능 미포함</t>
    </r>
    <r>
      <rPr>
        <sz val="10"/>
        <rFont val="Arial"/>
        <family val="0"/>
        <charset val="1"/>
      </rPr>
      <t xml:space="preserve">)</t>
    </r>
  </si>
  <si>
    <t xml:space="preserve">F151</t>
  </si>
  <si>
    <r>
      <rPr>
        <sz val="10"/>
        <rFont val="WenQuanYi Zen Hei"/>
        <family val="2"/>
      </rPr>
      <t xml:space="preserve">심실빈맥 전극도자 절제술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 기능미포함</t>
    </r>
    <r>
      <rPr>
        <sz val="10"/>
        <rFont val="Arial"/>
        <family val="0"/>
        <charset val="1"/>
      </rPr>
      <t xml:space="preserve">)</t>
    </r>
  </si>
  <si>
    <t xml:space="preserve">F152</t>
  </si>
  <si>
    <r>
      <rPr>
        <sz val="10"/>
        <rFont val="WenQuanYi Zen Hei"/>
        <family val="2"/>
      </rPr>
      <t xml:space="preserve">심방세동 전극도자 절제술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 기능미포함</t>
    </r>
    <r>
      <rPr>
        <sz val="10"/>
        <rFont val="Arial"/>
        <family val="0"/>
        <charset val="1"/>
      </rPr>
      <t xml:space="preserve">)</t>
    </r>
  </si>
  <si>
    <t xml:space="preserve">F153</t>
  </si>
  <si>
    <r>
      <rPr>
        <sz val="10"/>
        <rFont val="WenQuanYi Zen Hei"/>
        <family val="2"/>
      </rPr>
      <t xml:space="preserve">발작성 심실상빈맥 및심방조동 전극도자절제술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차원 지도화 기능미포함</t>
    </r>
    <r>
      <rPr>
        <sz val="10"/>
        <rFont val="Arial"/>
        <family val="0"/>
        <charset val="1"/>
      </rPr>
      <t xml:space="preserve">)</t>
    </r>
  </si>
  <si>
    <t xml:space="preserve">경피적풍선판막성형술</t>
  </si>
  <si>
    <t xml:space="preserve">F161</t>
  </si>
  <si>
    <t xml:space="preserve">경피적 승모판 풍선판막성형술</t>
  </si>
  <si>
    <t xml:space="preserve">F162</t>
  </si>
  <si>
    <t xml:space="preserve">경피적 대동맥 또는폐동맥 풍선 판막성형술</t>
  </si>
  <si>
    <t xml:space="preserve">혈관기형의 경피적수술</t>
  </si>
  <si>
    <t xml:space="preserve">F181</t>
  </si>
  <si>
    <r>
      <rPr>
        <sz val="10"/>
        <rFont val="WenQuanYi Zen Hei"/>
        <family val="2"/>
      </rPr>
      <t xml:space="preserve">동정맥 기형의 경피적색전술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두경부 제외</t>
    </r>
    <r>
      <rPr>
        <sz val="10"/>
        <rFont val="Arial"/>
        <family val="0"/>
        <charset val="1"/>
      </rPr>
      <t xml:space="preserve">)</t>
    </r>
  </si>
  <si>
    <t xml:space="preserve">F182</t>
  </si>
  <si>
    <r>
      <rPr>
        <sz val="10"/>
        <rFont val="WenQuanYi Zen Hei"/>
        <family val="2"/>
      </rPr>
      <t xml:space="preserve">관상동맥 및 폐동맥기형의 경피적 색전술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두경부 제외</t>
    </r>
    <r>
      <rPr>
        <sz val="10"/>
        <rFont val="Arial"/>
        <family val="0"/>
        <charset val="1"/>
      </rPr>
      <t xml:space="preserve">)</t>
    </r>
  </si>
  <si>
    <t xml:space="preserve">말초동맥의경피적 수술</t>
  </si>
  <si>
    <t xml:space="preserve">F192</t>
  </si>
  <si>
    <t xml:space="preserve">말초동맥 색전증 및혈전증의 경피적 수술</t>
  </si>
  <si>
    <t xml:space="preserve">F193</t>
  </si>
  <si>
    <t xml:space="preserve">말초동맥 동맥류 및박리의 경피적 수술</t>
  </si>
  <si>
    <t xml:space="preserve">F194</t>
  </si>
  <si>
    <r>
      <rPr>
        <sz val="10"/>
        <rFont val="WenQuanYi Zen Hei"/>
        <family val="2"/>
      </rPr>
      <t xml:space="preserve">말초동맥 만성 폐쇄성질환의 경피적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)</t>
    </r>
  </si>
  <si>
    <t xml:space="preserve">F195</t>
  </si>
  <si>
    <r>
      <rPr>
        <sz val="10"/>
        <rFont val="WenQuanYi Zen Hei"/>
        <family val="2"/>
      </rPr>
      <t xml:space="preserve">말초동맥 만성 폐쇄성질환의 경피적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개</t>
    </r>
    <r>
      <rPr>
        <sz val="10"/>
        <rFont val="Arial"/>
        <family val="0"/>
        <charset val="1"/>
      </rPr>
      <t xml:space="preserve">)</t>
    </r>
  </si>
  <si>
    <t xml:space="preserve">기타경피적 심혈관수술</t>
  </si>
  <si>
    <t xml:space="preserve">F200</t>
  </si>
  <si>
    <t xml:space="preserve">기타 경피적 심혈관 수술</t>
  </si>
  <si>
    <t xml:space="preserve">기타 경피적 심혈관 시술</t>
  </si>
  <si>
    <r>
      <rPr>
        <sz val="10"/>
        <rFont val="WenQuanYi Zen Hei"/>
        <family val="2"/>
      </rPr>
      <t xml:space="preserve">체내심박조율기설치술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급성심근경색증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심부전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쇼크의 경우</t>
    </r>
    <r>
      <rPr>
        <sz val="10"/>
        <rFont val="Arial"/>
        <family val="0"/>
        <charset val="1"/>
      </rPr>
      <t xml:space="preserve">)</t>
    </r>
  </si>
  <si>
    <t xml:space="preserve">F211</t>
  </si>
  <si>
    <t xml:space="preserve">영구적 심박조율기 설치술</t>
  </si>
  <si>
    <t xml:space="preserve">F212</t>
  </si>
  <si>
    <t xml:space="preserve">영구적 심박조율기 교환술</t>
  </si>
  <si>
    <t xml:space="preserve">F213</t>
  </si>
  <si>
    <t xml:space="preserve">심박조율기 제거 및 전환술</t>
  </si>
  <si>
    <t xml:space="preserve">심박동기 제거 또는 전환술</t>
  </si>
  <si>
    <t xml:space="preserve">기타 혈관복구 수술</t>
  </si>
  <si>
    <t xml:space="preserve">F220</t>
  </si>
  <si>
    <t xml:space="preserve">기타 혈관 복구 수술</t>
  </si>
  <si>
    <r>
      <rPr>
        <sz val="10"/>
        <rFont val="WenQuanYi Zen Hei"/>
        <family val="2"/>
      </rPr>
      <t xml:space="preserve">순환장애절단술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수족부 제외</t>
    </r>
    <r>
      <rPr>
        <sz val="10"/>
        <rFont val="Arial"/>
        <family val="0"/>
        <charset val="1"/>
      </rPr>
      <t xml:space="preserve">)</t>
    </r>
  </si>
  <si>
    <t xml:space="preserve">F230</t>
  </si>
  <si>
    <r>
      <rPr>
        <sz val="10"/>
        <rFont val="WenQuanYi Zen Hei"/>
        <family val="2"/>
      </rPr>
      <t xml:space="preserve">순환장애 절단술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수족부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</si>
  <si>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혈관질환으로 인한 사지 절단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손발 제외</t>
    </r>
    <r>
      <rPr>
        <sz val="10"/>
        <rFont val="Arial"/>
        <family val="0"/>
        <charset val="1"/>
      </rPr>
      <t xml:space="preserve">)</t>
    </r>
  </si>
  <si>
    <t xml:space="preserve">순환장애수족부 절단술</t>
  </si>
  <si>
    <t xml:space="preserve">F240</t>
  </si>
  <si>
    <t xml:space="preserve">순환장애 수족부 절단술</t>
  </si>
  <si>
    <r>
      <rPr>
        <sz val="10"/>
        <rFont val="WenQuanYi Zen Hei"/>
        <family val="2"/>
      </rPr>
      <t xml:space="preserve">혈관질환으로 인한 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 절단</t>
    </r>
  </si>
  <si>
    <t xml:space="preserve">정맥 결찰및 스트리핑</t>
  </si>
  <si>
    <t xml:space="preserve">F252</t>
  </si>
  <si>
    <t xml:space="preserve">정맥류 국소 절제술</t>
  </si>
  <si>
    <t xml:space="preserve">F253</t>
  </si>
  <si>
    <r>
      <rPr>
        <sz val="10"/>
        <rFont val="WenQuanYi Zen Hei"/>
        <family val="2"/>
      </rPr>
      <t xml:space="preserve">정맥류 광범위 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개</t>
    </r>
    <r>
      <rPr>
        <sz val="10"/>
        <rFont val="Arial"/>
        <family val="0"/>
        <charset val="1"/>
      </rPr>
      <t xml:space="preserve">)</t>
    </r>
  </si>
  <si>
    <t xml:space="preserve">F254</t>
  </si>
  <si>
    <r>
      <rPr>
        <sz val="10"/>
        <rFont val="WenQuanYi Zen Hei"/>
        <family val="2"/>
      </rPr>
      <t xml:space="preserve">정맥류 광범위 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개</t>
    </r>
    <r>
      <rPr>
        <sz val="10"/>
        <rFont val="Arial"/>
        <family val="0"/>
        <charset val="1"/>
      </rPr>
      <t xml:space="preserve">)</t>
    </r>
  </si>
  <si>
    <t xml:space="preserve">기타순환기계 수술</t>
  </si>
  <si>
    <t xml:space="preserve">F260</t>
  </si>
  <si>
    <t xml:space="preserve">기타 순환기계 수술</t>
  </si>
  <si>
    <t xml:space="preserve">기타 순환기 수술</t>
  </si>
  <si>
    <t xml:space="preserve">식도 수술</t>
  </si>
  <si>
    <t xml:space="preserve">G011</t>
  </si>
  <si>
    <t xml:space="preserve">식도 악성종양 근치 수술 및 식도 재건술</t>
  </si>
  <si>
    <r>
      <rPr>
        <sz val="10"/>
        <rFont val="WenQuanYi Zen Hei"/>
        <family val="2"/>
      </rPr>
      <t xml:space="preserve">소화기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위장관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항문</t>
    </r>
    <r>
      <rPr>
        <sz val="10"/>
        <rFont val="Arial"/>
        <family val="0"/>
        <charset val="1"/>
      </rPr>
      <t xml:space="preserve">)</t>
    </r>
  </si>
  <si>
    <t xml:space="preserve">식도암 근치 절제 및 식도 재건</t>
  </si>
  <si>
    <t xml:space="preserve">G012</t>
  </si>
  <si>
    <t xml:space="preserve">기타 주요 식도 수술</t>
  </si>
  <si>
    <t xml:space="preserve">G013</t>
  </si>
  <si>
    <t xml:space="preserve">기타 단순 식도 수술</t>
  </si>
  <si>
    <r>
      <rPr>
        <sz val="10"/>
        <rFont val="WenQuanYi Zen Hei"/>
        <family val="2"/>
      </rPr>
      <t xml:space="preserve">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림프절절제동반</t>
    </r>
    <r>
      <rPr>
        <sz val="10"/>
        <rFont val="Arial"/>
        <family val="0"/>
        <charset val="1"/>
      </rPr>
      <t xml:space="preserve">)</t>
    </r>
  </si>
  <si>
    <t xml:space="preserve">G021</t>
  </si>
  <si>
    <r>
      <rPr>
        <sz val="10"/>
        <rFont val="WenQuanYi Zen Hei"/>
        <family val="2"/>
      </rPr>
      <t xml:space="preserve">복강경을 이용한직장절제술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동반</t>
    </r>
    <r>
      <rPr>
        <sz val="10"/>
        <rFont val="Arial"/>
        <family val="0"/>
        <charset val="1"/>
      </rPr>
      <t xml:space="preserve">)</t>
    </r>
  </si>
  <si>
    <t xml:space="preserve">G022</t>
  </si>
  <si>
    <r>
      <rPr>
        <sz val="10"/>
        <rFont val="WenQuanYi Zen Hei"/>
        <family val="2"/>
      </rPr>
      <t xml:space="preserve">개복에 의한 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</si>
  <si>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림프절절제미동반</t>
    </r>
    <r>
      <rPr>
        <sz val="10"/>
        <rFont val="Arial"/>
        <family val="0"/>
        <charset val="1"/>
      </rPr>
      <t xml:space="preserve">)</t>
    </r>
  </si>
  <si>
    <t xml:space="preserve">G031</t>
  </si>
  <si>
    <r>
      <rPr>
        <sz val="10"/>
        <rFont val="WenQuanYi Zen Hei"/>
        <family val="2"/>
      </rPr>
      <t xml:space="preserve">복강경을 이용한직장절제술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미동반</t>
    </r>
    <r>
      <rPr>
        <sz val="10"/>
        <rFont val="Arial"/>
        <family val="0"/>
        <charset val="1"/>
      </rPr>
      <t xml:space="preserve">)</t>
    </r>
  </si>
  <si>
    <t xml:space="preserve">G032</t>
  </si>
  <si>
    <r>
      <rPr>
        <sz val="10"/>
        <rFont val="WenQuanYi Zen Hei"/>
        <family val="2"/>
      </rPr>
      <t xml:space="preserve">개복에 의한직장절제술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림프절절제미동반</t>
    </r>
    <r>
      <rPr>
        <sz val="10"/>
        <rFont val="Arial"/>
        <family val="0"/>
        <charset val="1"/>
      </rPr>
      <t xml:space="preserve">)</t>
    </r>
  </si>
  <si>
    <t xml:space="preserve">경항문 및경천골접근직장절제술</t>
  </si>
  <si>
    <t xml:space="preserve">G041</t>
  </si>
  <si>
    <r>
      <rPr>
        <sz val="10"/>
        <rFont val="WenQuanYi Zen Hei"/>
        <family val="2"/>
      </rPr>
      <t xml:space="preserve">경항문 및 경천골 접근직장절제술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</si>
  <si>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G042</t>
  </si>
  <si>
    <r>
      <rPr>
        <sz val="10"/>
        <rFont val="WenQuanYi Zen Hei"/>
        <family val="2"/>
      </rPr>
      <t xml:space="preserve">경항문 및 경천골 접근직장절제술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</si>
  <si>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주요십이지장 수술</t>
  </si>
  <si>
    <t xml:space="preserve">G050</t>
  </si>
  <si>
    <t xml:space="preserve">주요 십이지장 수술</t>
  </si>
  <si>
    <t xml:space="preserve">십이지장에 대한 주요 수술</t>
  </si>
  <si>
    <t xml:space="preserve">식도정맥류 수술</t>
  </si>
  <si>
    <t xml:space="preserve">G060</t>
  </si>
  <si>
    <t xml:space="preserve">식도 정맥류 수술</t>
  </si>
  <si>
    <t xml:space="preserve">식도 정맥류에 대한 수술</t>
  </si>
  <si>
    <t xml:space="preserve">위전절제술</t>
  </si>
  <si>
    <t xml:space="preserve">G071</t>
  </si>
  <si>
    <t xml:space="preserve">복강경을 이용한위전절제술</t>
  </si>
  <si>
    <t xml:space="preserve">G072</t>
  </si>
  <si>
    <t xml:space="preserve">개복에 의한 위전절제술</t>
  </si>
  <si>
    <t xml:space="preserve">위아전절제술</t>
  </si>
  <si>
    <t xml:space="preserve">G081</t>
  </si>
  <si>
    <t xml:space="preserve">복강경을 이용한위아전절제술</t>
  </si>
  <si>
    <t xml:space="preserve">G082</t>
  </si>
  <si>
    <t xml:space="preserve">개복에 의한 위아전절제술</t>
  </si>
  <si>
    <t xml:space="preserve">기타위절제술</t>
  </si>
  <si>
    <t xml:space="preserve">G091</t>
  </si>
  <si>
    <t xml:space="preserve">복강경을 이용한 기타위절제술</t>
  </si>
  <si>
    <t xml:space="preserve">G092</t>
  </si>
  <si>
    <t xml:space="preserve">개복에 의한 기타위절제술</t>
  </si>
  <si>
    <t xml:space="preserve">G093</t>
  </si>
  <si>
    <t xml:space="preserve">복강경을 이용한 기타설상절제술</t>
  </si>
  <si>
    <t xml:space="preserve">G094</t>
  </si>
  <si>
    <t xml:space="preserve">개복에 의한 기타설상절제술</t>
  </si>
  <si>
    <t xml:space="preserve">소화성궤양 수술</t>
  </si>
  <si>
    <t xml:space="preserve">G101</t>
  </si>
  <si>
    <t xml:space="preserve">복강경을 이용한 소화성궤양 수술</t>
  </si>
  <si>
    <t xml:space="preserve">G102</t>
  </si>
  <si>
    <t xml:space="preserve">개복에 의한 소화성 궤양수술</t>
  </si>
  <si>
    <t xml:space="preserve">기타 위및 식도 수술</t>
  </si>
  <si>
    <t xml:space="preserve">G111</t>
  </si>
  <si>
    <t xml:space="preserve">복강경을 이용한 기타 위및 식도 수술</t>
  </si>
  <si>
    <t xml:space="preserve">G112</t>
  </si>
  <si>
    <t xml:space="preserve">개복에 의한 기타 위 및식도 수술</t>
  </si>
  <si>
    <t xml:space="preserve">결장 및직장전 절제술</t>
  </si>
  <si>
    <t xml:space="preserve">G121</t>
  </si>
  <si>
    <t xml:space="preserve">복강경을 이용한 결장 및직장 전 절제술</t>
  </si>
  <si>
    <t xml:space="preserve">G122</t>
  </si>
  <si>
    <t xml:space="preserve">개복에 의한 결장 및 직장전 절제술</t>
  </si>
  <si>
    <r>
      <rPr>
        <sz val="10"/>
        <rFont val="WenQuanYi Zen Hei"/>
        <family val="2"/>
      </rPr>
      <t xml:space="preserve">결장절제술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림프절절제동반</t>
    </r>
    <r>
      <rPr>
        <sz val="10"/>
        <rFont val="Arial"/>
        <family val="0"/>
        <charset val="1"/>
      </rPr>
      <t xml:space="preserve">)</t>
    </r>
  </si>
  <si>
    <t xml:space="preserve">G131</t>
  </si>
  <si>
    <r>
      <rPr>
        <sz val="10"/>
        <rFont val="WenQuanYi Zen Hei"/>
        <family val="2"/>
      </rPr>
      <t xml:space="preserve">복강경을 이용한결장절제술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동반</t>
    </r>
    <r>
      <rPr>
        <sz val="10"/>
        <rFont val="Arial"/>
        <family val="0"/>
        <charset val="1"/>
      </rPr>
      <t xml:space="preserve">)</t>
    </r>
  </si>
  <si>
    <t xml:space="preserve">G132</t>
  </si>
  <si>
    <r>
      <rPr>
        <sz val="10"/>
        <rFont val="WenQuanYi Zen Hei"/>
        <family val="2"/>
      </rPr>
      <t xml:space="preserve">개복에 의한 결장절제술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</si>
  <si>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림프절절제미동반</t>
    </r>
    <r>
      <rPr>
        <sz val="10"/>
        <rFont val="Arial"/>
        <family val="0"/>
        <charset val="1"/>
      </rPr>
      <t xml:space="preserve">)</t>
    </r>
  </si>
  <si>
    <t xml:space="preserve">G141</t>
  </si>
  <si>
    <r>
      <rPr>
        <sz val="10"/>
        <rFont val="WenQuanYi Zen Hei"/>
        <family val="2"/>
      </rPr>
      <t xml:space="preserve">복강경을 이용한결장절제술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미동반</t>
    </r>
    <r>
      <rPr>
        <sz val="10"/>
        <rFont val="Arial"/>
        <family val="0"/>
        <charset val="1"/>
      </rPr>
      <t xml:space="preserve">)</t>
    </r>
  </si>
  <si>
    <t xml:space="preserve">G142</t>
  </si>
  <si>
    <r>
      <rPr>
        <sz val="10"/>
        <rFont val="WenQuanYi Zen Hei"/>
        <family val="2"/>
      </rPr>
      <t xml:space="preserve">개복에 의한결장절제술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림프절절제미동반</t>
    </r>
    <r>
      <rPr>
        <sz val="10"/>
        <rFont val="Arial"/>
        <family val="0"/>
        <charset val="1"/>
      </rPr>
      <t xml:space="preserve">)</t>
    </r>
  </si>
  <si>
    <t xml:space="preserve">기타 대장수술</t>
  </si>
  <si>
    <t xml:space="preserve">G151</t>
  </si>
  <si>
    <t xml:space="preserve">복강경을 이용한 기타대장 수술</t>
  </si>
  <si>
    <t xml:space="preserve">G152</t>
  </si>
  <si>
    <t xml:space="preserve">개복에 의한 기타 대장수술</t>
  </si>
  <si>
    <t xml:space="preserve">소장 및장간막 수술</t>
  </si>
  <si>
    <t xml:space="preserve">G171</t>
  </si>
  <si>
    <t xml:space="preserve">복강경을 이용한 주요소장 및 장간막 수술</t>
  </si>
  <si>
    <t xml:space="preserve">G172</t>
  </si>
  <si>
    <t xml:space="preserve">개복에 의한 주요 소장 및장간막 수술</t>
  </si>
  <si>
    <t xml:space="preserve">G173</t>
  </si>
  <si>
    <t xml:space="preserve">장폐색 수술 및 기타 장 수술</t>
  </si>
  <si>
    <t xml:space="preserve">장폐색 등 기타 장 수술</t>
  </si>
  <si>
    <t xml:space="preserve">장루 수술</t>
  </si>
  <si>
    <t xml:space="preserve">G180</t>
  </si>
  <si>
    <r>
      <rPr>
        <sz val="10"/>
        <rFont val="WenQuanYi Zen Hei"/>
        <family val="2"/>
      </rPr>
      <t xml:space="preserve">인공항문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만드는 수술</t>
    </r>
  </si>
  <si>
    <t xml:space="preserve">횡격막탈장 수술</t>
  </si>
  <si>
    <t xml:space="preserve">G190</t>
  </si>
  <si>
    <t xml:space="preserve">횡격막 탈장 수술</t>
  </si>
  <si>
    <t xml:space="preserve">횡격막으로 장기가 탈출한 것을 교정</t>
  </si>
  <si>
    <r>
      <rPr>
        <sz val="10"/>
        <rFont val="WenQuanYi Zen Hei"/>
        <family val="2"/>
      </rPr>
      <t xml:space="preserve">탈장수술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서혜 및대퇴부 제외</t>
    </r>
  </si>
  <si>
    <t xml:space="preserve">G201</t>
  </si>
  <si>
    <r>
      <rPr>
        <sz val="10"/>
        <rFont val="WenQuanYi Zen Hei"/>
        <family val="2"/>
      </rPr>
      <t xml:space="preserve">복강경을 이용한 탈장수술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서혜 및 대퇴부제외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 동반</t>
    </r>
    <r>
      <rPr>
        <sz val="10"/>
        <rFont val="Arial"/>
        <family val="0"/>
        <charset val="1"/>
      </rPr>
      <t xml:space="preserve">)</t>
    </r>
  </si>
  <si>
    <t xml:space="preserve">G202</t>
  </si>
  <si>
    <r>
      <rPr>
        <sz val="10"/>
        <rFont val="WenQuanYi Zen Hei"/>
        <family val="2"/>
      </rPr>
      <t xml:space="preserve">개복에 의한 탈장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서혜 및 대퇴부 제외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 동반</t>
    </r>
    <r>
      <rPr>
        <sz val="10"/>
        <rFont val="Arial"/>
        <family val="0"/>
        <charset val="1"/>
      </rPr>
      <t xml:space="preserve">)</t>
    </r>
  </si>
  <si>
    <t xml:space="preserve">G203</t>
  </si>
  <si>
    <r>
      <rPr>
        <sz val="10"/>
        <rFont val="WenQuanYi Zen Hei"/>
        <family val="2"/>
      </rPr>
      <t xml:space="preserve">복강경을 이용한 탈장수술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서혜 및 대퇴부제외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 미동반</t>
    </r>
    <r>
      <rPr>
        <sz val="10"/>
        <rFont val="Arial"/>
        <family val="0"/>
        <charset val="1"/>
      </rPr>
      <t xml:space="preserve">)</t>
    </r>
  </si>
  <si>
    <t xml:space="preserve">G204</t>
  </si>
  <si>
    <r>
      <rPr>
        <sz val="10"/>
        <rFont val="WenQuanYi Zen Hei"/>
        <family val="2"/>
      </rPr>
      <t xml:space="preserve">개복에 의한 탈장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서혜 및 대퇴부 제외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 미동반</t>
    </r>
    <r>
      <rPr>
        <sz val="10"/>
        <rFont val="Arial"/>
        <family val="0"/>
        <charset val="1"/>
      </rPr>
      <t xml:space="preserve">)</t>
    </r>
  </si>
  <si>
    <t xml:space="preserve">충수절제술</t>
  </si>
  <si>
    <t xml:space="preserve">G211</t>
  </si>
  <si>
    <r>
      <rPr>
        <sz val="10"/>
        <rFont val="WenQuanYi Zen Hei"/>
        <family val="2"/>
      </rPr>
      <t xml:space="preserve">복강경을 이용한충수절제술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복잡 주진단의 경우</t>
    </r>
    <r>
      <rPr>
        <sz val="10"/>
        <rFont val="Arial"/>
        <family val="0"/>
        <charset val="1"/>
      </rPr>
      <t xml:space="preserve">)</t>
    </r>
  </si>
  <si>
    <t xml:space="preserve">G212</t>
  </si>
  <si>
    <r>
      <rPr>
        <sz val="10"/>
        <rFont val="WenQuanYi Zen Hei"/>
        <family val="2"/>
      </rPr>
      <t xml:space="preserve">복강경을 이용한충수절제술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복잡 주진단이아닌 경우</t>
    </r>
    <r>
      <rPr>
        <sz val="10"/>
        <rFont val="Arial"/>
        <family val="0"/>
        <charset val="1"/>
      </rPr>
      <t xml:space="preserve">)</t>
    </r>
  </si>
  <si>
    <t xml:space="preserve">G213</t>
  </si>
  <si>
    <r>
      <rPr>
        <sz val="10"/>
        <rFont val="WenQuanYi Zen Hei"/>
        <family val="2"/>
      </rPr>
      <t xml:space="preserve">개복에 의한 충수절제술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복잡 주진단의 경우</t>
    </r>
    <r>
      <rPr>
        <sz val="10"/>
        <rFont val="Arial"/>
        <family val="0"/>
        <charset val="1"/>
      </rPr>
      <t xml:space="preserve">)</t>
    </r>
  </si>
  <si>
    <t xml:space="preserve">G214</t>
  </si>
  <si>
    <r>
      <rPr>
        <sz val="10"/>
        <rFont val="WenQuanYi Zen Hei"/>
        <family val="2"/>
      </rPr>
      <t xml:space="preserve">개복에 의한충수절제술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복잡 주진단이아닌 경우</t>
    </r>
    <r>
      <rPr>
        <sz val="10"/>
        <rFont val="Arial"/>
        <family val="0"/>
        <charset val="1"/>
      </rPr>
      <t xml:space="preserve">)</t>
    </r>
  </si>
  <si>
    <t xml:space="preserve">재발 서혜및 대퇴부탈장 수술</t>
  </si>
  <si>
    <t xml:space="preserve">G221</t>
  </si>
  <si>
    <r>
      <rPr>
        <sz val="10"/>
        <rFont val="WenQuanYi Zen Hei"/>
        <family val="2"/>
      </rPr>
      <t xml:space="preserve">복강경을 이용한 재발서혜 및 대퇴부 탈장수술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</si>
  <si>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G222</t>
  </si>
  <si>
    <r>
      <rPr>
        <sz val="10"/>
        <rFont val="WenQuanYi Zen Hei"/>
        <family val="2"/>
      </rPr>
      <t xml:space="preserve">복강경을 이용한 재발서혜 및 대퇴부 탈장수술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</si>
  <si>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t xml:space="preserve">G223</t>
  </si>
  <si>
    <r>
      <rPr>
        <sz val="10"/>
        <rFont val="WenQuanYi Zen Hei"/>
        <family val="2"/>
      </rPr>
      <t xml:space="preserve">개복에 의한 재발 서혜 및대퇴부 탈장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</si>
  <si>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G224</t>
  </si>
  <si>
    <r>
      <rPr>
        <sz val="10"/>
        <rFont val="WenQuanYi Zen Hei"/>
        <family val="2"/>
      </rPr>
      <t xml:space="preserve">개복에 의한 재발 서혜 및대퇴부 탈장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</si>
  <si>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r>
      <rPr>
        <sz val="10"/>
        <rFont val="WenQuanYi Zen Hei"/>
        <family val="2"/>
      </rPr>
      <t xml:space="preserve">서혜 및대퇴부 탈장수술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장절제동반</t>
    </r>
    <r>
      <rPr>
        <sz val="10"/>
        <rFont val="Arial"/>
        <family val="0"/>
        <charset val="1"/>
      </rPr>
      <t xml:space="preserve">)</t>
    </r>
  </si>
  <si>
    <t xml:space="preserve">G230</t>
  </si>
  <si>
    <r>
      <rPr>
        <sz val="10"/>
        <rFont val="WenQuanYi Zen Hei"/>
        <family val="2"/>
      </rPr>
      <t xml:space="preserve">서혜 및 대퇴부 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</si>
  <si>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장절제를 동반한 서혜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대퇴부 탈장 수술</t>
    </r>
  </si>
  <si>
    <r>
      <rPr>
        <sz val="10"/>
        <rFont val="WenQuanYi Zen Hei"/>
        <family val="2"/>
      </rPr>
      <t xml:space="preserve">복강경을이용한 서혜및 대퇴부탈장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)</t>
    </r>
  </si>
  <si>
    <t xml:space="preserve">G241</t>
  </si>
  <si>
    <r>
      <rPr>
        <sz val="10"/>
        <rFont val="WenQuanYi Zen Hei"/>
        <family val="2"/>
      </rPr>
      <t xml:space="preserve">복강경을 이용한 서혜 및대퇴부 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</si>
  <si>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G242</t>
  </si>
  <si>
    <r>
      <rPr>
        <sz val="10"/>
        <rFont val="WenQuanYi Zen Hei"/>
        <family val="2"/>
      </rPr>
      <t xml:space="preserve">복강경을 이용한 서혜 및대퇴부 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양쪽</t>
    </r>
  </si>
  <si>
    <r>
      <rPr>
        <sz val="10"/>
        <rFont val="WenQuanYi Zen Hei"/>
        <family val="2"/>
      </rPr>
      <t xml:space="preserve">개복에의한 서혜 및대퇴부 탈장수술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)</t>
    </r>
  </si>
  <si>
    <t xml:space="preserve">G251</t>
  </si>
  <si>
    <r>
      <rPr>
        <sz val="10"/>
        <rFont val="WenQuanYi Zen Hei"/>
        <family val="2"/>
      </rPr>
      <t xml:space="preserve">개복에 의한 서혜 및대퇴부 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복잡 주진단의경우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</si>
  <si>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G252</t>
  </si>
  <si>
    <r>
      <rPr>
        <sz val="10"/>
        <rFont val="WenQuanYi Zen Hei"/>
        <family val="2"/>
      </rPr>
      <t xml:space="preserve">개복에 의한 서혜 및대퇴부 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복잡 주진단이아닌 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한쪽</t>
    </r>
  </si>
  <si>
    <t xml:space="preserve">G253</t>
  </si>
  <si>
    <r>
      <rPr>
        <sz val="10"/>
        <rFont val="WenQuanYi Zen Hei"/>
        <family val="2"/>
      </rPr>
      <t xml:space="preserve">개복에 의한 서혜 및대퇴부 탈장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장절제미동반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양쪽</t>
    </r>
  </si>
  <si>
    <t xml:space="preserve">복수 항문수술</t>
  </si>
  <si>
    <t xml:space="preserve">G260</t>
  </si>
  <si>
    <t xml:space="preserve">복수 항문 수술</t>
  </si>
  <si>
    <t xml:space="preserve">여러 부위 항문 수술</t>
  </si>
  <si>
    <t xml:space="preserve">치핵 수술</t>
  </si>
  <si>
    <t xml:space="preserve">G271</t>
  </si>
  <si>
    <t xml:space="preserve">주요 치핵 수술</t>
  </si>
  <si>
    <t xml:space="preserve">G272</t>
  </si>
  <si>
    <t xml:space="preserve">단순 치핵 수술</t>
  </si>
  <si>
    <t xml:space="preserve">항문 주위농양 수술</t>
  </si>
  <si>
    <t xml:space="preserve">G281</t>
  </si>
  <si>
    <t xml:space="preserve">주요 항문 주위 농양 수술</t>
  </si>
  <si>
    <t xml:space="preserve">G282</t>
  </si>
  <si>
    <t xml:space="preserve">단순 항문 주위 농양 수술</t>
  </si>
  <si>
    <t xml:space="preserve">치루 수술</t>
  </si>
  <si>
    <t xml:space="preserve">G291</t>
  </si>
  <si>
    <t xml:space="preserve">주요 치루 수술</t>
  </si>
  <si>
    <t xml:space="preserve">G292</t>
  </si>
  <si>
    <t xml:space="preserve">단순 치루 수술</t>
  </si>
  <si>
    <t xml:space="preserve">치열 수술및 항문협착증수술</t>
  </si>
  <si>
    <t xml:space="preserve">G300</t>
  </si>
  <si>
    <t xml:space="preserve">치열 수술 및 항문협착증 수술</t>
  </si>
  <si>
    <r>
      <rPr>
        <sz val="10"/>
        <rFont val="WenQuanYi Zen Hei"/>
        <family val="2"/>
      </rPr>
      <t xml:space="preserve">치열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항문협착 수술</t>
    </r>
  </si>
  <si>
    <t xml:space="preserve">경항문 및질접근 수술</t>
  </si>
  <si>
    <t xml:space="preserve">G311</t>
  </si>
  <si>
    <t xml:space="preserve">직장 질루 수술</t>
  </si>
  <si>
    <t xml:space="preserve">G312</t>
  </si>
  <si>
    <r>
      <rPr>
        <sz val="10"/>
        <rFont val="WenQuanYi Zen Hei"/>
        <family val="2"/>
      </rPr>
      <t xml:space="preserve">직장 탈출증 수술 및괄약근성형술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직장류교정술 포함</t>
    </r>
    <r>
      <rPr>
        <sz val="10"/>
        <rFont val="Arial"/>
        <family val="0"/>
        <charset val="1"/>
      </rPr>
      <t xml:space="preserve">)</t>
    </r>
  </si>
  <si>
    <t xml:space="preserve">화농성한선염 수술</t>
  </si>
  <si>
    <t xml:space="preserve">G320</t>
  </si>
  <si>
    <r>
      <rPr>
        <sz val="10"/>
        <rFont val="WenQuanYi Zen Hei"/>
        <family val="2"/>
      </rPr>
      <t xml:space="preserve">화농성 한선염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땀샘 염증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수술</t>
    </r>
  </si>
  <si>
    <t xml:space="preserve">기타소화기계 수술</t>
  </si>
  <si>
    <t xml:space="preserve">G332</t>
  </si>
  <si>
    <t xml:space="preserve">기타 소화기계 수술</t>
  </si>
  <si>
    <t xml:space="preserve">기타 소화기 수술</t>
  </si>
  <si>
    <t xml:space="preserve">소화기계질환의혈관색전술</t>
  </si>
  <si>
    <t xml:space="preserve">G340</t>
  </si>
  <si>
    <t xml:space="preserve">소화기계 질환의 혈관색전술</t>
  </si>
  <si>
    <t xml:space="preserve">소화기 출혈 등에 대한 혈관색전술</t>
  </si>
  <si>
    <t xml:space="preserve">위내시경시술</t>
  </si>
  <si>
    <t xml:space="preserve">G503</t>
  </si>
  <si>
    <r>
      <rPr>
        <sz val="10"/>
        <rFont val="WenQuanYi Zen Hei"/>
        <family val="2"/>
      </rPr>
      <t xml:space="preserve">위내시경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주요소화기 질환의 경우</t>
    </r>
    <r>
      <rPr>
        <sz val="10"/>
        <rFont val="Arial"/>
        <family val="0"/>
        <charset val="1"/>
      </rPr>
      <t xml:space="preserve">)</t>
    </r>
  </si>
  <si>
    <t xml:space="preserve">G504</t>
  </si>
  <si>
    <r>
      <rPr>
        <sz val="10"/>
        <rFont val="WenQuanYi Zen Hei"/>
        <family val="2"/>
      </rPr>
      <t xml:space="preserve">위내시경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 소화기 질환이 아닌경우</t>
    </r>
    <r>
      <rPr>
        <sz val="10"/>
        <rFont val="Arial"/>
        <family val="0"/>
        <charset val="1"/>
      </rPr>
      <t xml:space="preserve">)</t>
    </r>
  </si>
  <si>
    <t xml:space="preserve">G505</t>
  </si>
  <si>
    <r>
      <rPr>
        <sz val="10"/>
        <rFont val="WenQuanYi Zen Hei"/>
        <family val="2"/>
      </rPr>
      <t xml:space="preserve">위내시경 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당일퇴원</t>
    </r>
  </si>
  <si>
    <t xml:space="preserve">결장경시술</t>
  </si>
  <si>
    <t xml:space="preserve">G523</t>
  </si>
  <si>
    <r>
      <rPr>
        <sz val="10"/>
        <rFont val="WenQuanYi Zen Hei"/>
        <family val="2"/>
      </rPr>
      <t xml:space="preserve">결장경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 소화기질환의 경우</t>
    </r>
    <r>
      <rPr>
        <sz val="10"/>
        <rFont val="Arial"/>
        <family val="0"/>
        <charset val="1"/>
      </rPr>
      <t xml:space="preserve">)</t>
    </r>
  </si>
  <si>
    <t xml:space="preserve">G524</t>
  </si>
  <si>
    <r>
      <rPr>
        <sz val="10"/>
        <rFont val="WenQuanYi Zen Hei"/>
        <family val="2"/>
      </rPr>
      <t xml:space="preserve">결장경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 소화기질환이 아닌 경우</t>
    </r>
    <r>
      <rPr>
        <sz val="10"/>
        <rFont val="Arial"/>
        <family val="0"/>
        <charset val="1"/>
      </rPr>
      <t xml:space="preserve">)</t>
    </r>
  </si>
  <si>
    <t xml:space="preserve">G525</t>
  </si>
  <si>
    <r>
      <rPr>
        <sz val="10"/>
        <rFont val="WenQuanYi Zen Hei"/>
        <family val="2"/>
      </rPr>
      <t xml:space="preserve">결장경 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당일퇴원</t>
    </r>
  </si>
  <si>
    <t xml:space="preserve">구불결장경 시술</t>
  </si>
  <si>
    <t xml:space="preserve">G531</t>
  </si>
  <si>
    <t xml:space="preserve">G532</t>
  </si>
  <si>
    <r>
      <rPr>
        <sz val="10"/>
        <rFont val="WenQuanYi Zen Hei"/>
        <family val="2"/>
      </rPr>
      <t xml:space="preserve">구불결장경 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당일퇴원</t>
    </r>
  </si>
  <si>
    <r>
      <rPr>
        <sz val="10"/>
        <rFont val="WenQuanYi Zen Hei"/>
        <family val="2"/>
      </rPr>
      <t xml:space="preserve">소화기내시경 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화학요법을동반한 경우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재원기간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일이상</t>
    </r>
  </si>
  <si>
    <t xml:space="preserve">G540</t>
  </si>
  <si>
    <r>
      <rPr>
        <sz val="10"/>
        <rFont val="WenQuanYi Zen Hei"/>
        <family val="2"/>
      </rPr>
      <t xml:space="preserve">소화기 내시경 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화학요법을 동반한 경우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재원기간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일 이상</t>
    </r>
  </si>
  <si>
    <r>
      <rPr>
        <sz val="10"/>
        <rFont val="WenQuanYi Zen Hei"/>
        <family val="2"/>
      </rPr>
      <t xml:space="preserve">화학요법 동반 소화기 내시경 시술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일 이상</t>
    </r>
    <r>
      <rPr>
        <sz val="10"/>
        <rFont val="Arial"/>
        <family val="0"/>
        <charset val="1"/>
      </rPr>
      <t xml:space="preserve">)</t>
    </r>
  </si>
  <si>
    <t xml:space="preserve">소장내시경 시술</t>
  </si>
  <si>
    <t xml:space="preserve">G550</t>
  </si>
  <si>
    <t xml:space="preserve">소장 내시경 시술</t>
  </si>
  <si>
    <t xml:space="preserve">소화관협착을 위한방사선하 시술</t>
  </si>
  <si>
    <t xml:space="preserve">G560</t>
  </si>
  <si>
    <t xml:space="preserve">소화관 협착을 위한 방사선하 시술</t>
  </si>
  <si>
    <t xml:space="preserve">소화관 협착에 대한 방사선 유도 시술</t>
  </si>
  <si>
    <t xml:space="preserve">소화기계질환의 경피적배액술</t>
  </si>
  <si>
    <t xml:space="preserve">G570</t>
  </si>
  <si>
    <t xml:space="preserve">소화기계 질환의 경피적 배액술</t>
  </si>
  <si>
    <t xml:space="preserve">소화기 농양 등 경피적 배액</t>
  </si>
  <si>
    <t xml:space="preserve">간담도췌장 복합수술</t>
  </si>
  <si>
    <t xml:space="preserve">H010</t>
  </si>
  <si>
    <r>
      <rPr>
        <sz val="10"/>
        <rFont val="WenQuanYi Zen Hei"/>
        <family val="2"/>
      </rPr>
      <t xml:space="preserve">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담도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췌장</t>
    </r>
  </si>
  <si>
    <r>
      <rPr>
        <sz val="10"/>
        <rFont val="WenQuanYi Zen Hei"/>
        <family val="2"/>
      </rPr>
      <t xml:space="preserve">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담도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췌장을 함께 절제하는 복합수술</t>
    </r>
  </si>
  <si>
    <t xml:space="preserve">간담도복합수술</t>
  </si>
  <si>
    <t xml:space="preserve">H021</t>
  </si>
  <si>
    <t xml:space="preserve">주요 간담도 복합수술</t>
  </si>
  <si>
    <r>
      <rPr>
        <sz val="10"/>
        <rFont val="WenQuanYi Zen Hei"/>
        <family val="2"/>
      </rPr>
      <t xml:space="preserve">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담도 주요 복합수술</t>
    </r>
  </si>
  <si>
    <t xml:space="preserve">H022</t>
  </si>
  <si>
    <t xml:space="preserve">기타 간담도 복합수술</t>
  </si>
  <si>
    <t xml:space="preserve">담도췌장복합수술</t>
  </si>
  <si>
    <t xml:space="preserve">H030</t>
  </si>
  <si>
    <t xml:space="preserve">담도췌장 복합수술</t>
  </si>
  <si>
    <r>
      <rPr>
        <sz val="10"/>
        <rFont val="WenQuanYi Zen Hei"/>
        <family val="2"/>
      </rPr>
      <t xml:space="preserve">담도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췌장 복합수술</t>
    </r>
  </si>
  <si>
    <t xml:space="preserve">간 절제술</t>
  </si>
  <si>
    <t xml:space="preserve">H041</t>
  </si>
  <si>
    <t xml:space="preserve">복강경을 이용한 주요 간절제술</t>
  </si>
  <si>
    <t xml:space="preserve">H042</t>
  </si>
  <si>
    <t xml:space="preserve">개복에 의한 주요 간절제술</t>
  </si>
  <si>
    <t xml:space="preserve">H043</t>
  </si>
  <si>
    <t xml:space="preserve">복강경을 이용한 기타 간절제술</t>
  </si>
  <si>
    <t xml:space="preserve">H044</t>
  </si>
  <si>
    <t xml:space="preserve">개복에 의한 기타 간절제술</t>
  </si>
  <si>
    <t xml:space="preserve">간 수술</t>
  </si>
  <si>
    <t xml:space="preserve">H051</t>
  </si>
  <si>
    <t xml:space="preserve">복강경을 이용한 간 수술</t>
  </si>
  <si>
    <t xml:space="preserve">H052</t>
  </si>
  <si>
    <t xml:space="preserve">개복에 의한 간 수술</t>
  </si>
  <si>
    <t xml:space="preserve">간담도계질환 치료를위한 단락술</t>
  </si>
  <si>
    <t xml:space="preserve">H060</t>
  </si>
  <si>
    <t xml:space="preserve">간담도계 질환 치료를 위한 단락술</t>
  </si>
  <si>
    <t xml:space="preserve">간담도 질환 치료를 위한 단락술</t>
  </si>
  <si>
    <r>
      <rPr>
        <sz val="10"/>
        <rFont val="WenQuanYi Zen Hei"/>
        <family val="2"/>
      </rPr>
      <t xml:space="preserve">담도절제술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동반</t>
    </r>
    <r>
      <rPr>
        <sz val="10"/>
        <rFont val="Arial"/>
        <family val="0"/>
        <charset val="1"/>
      </rPr>
      <t xml:space="preserve">)</t>
    </r>
  </si>
  <si>
    <t xml:space="preserve">H071</t>
  </si>
  <si>
    <r>
      <rPr>
        <sz val="10"/>
        <rFont val="WenQuanYi Zen Hei"/>
        <family val="2"/>
      </rPr>
      <t xml:space="preserve">복강경을 이용한 담도절제술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 절제 동반</t>
    </r>
    <r>
      <rPr>
        <sz val="10"/>
        <rFont val="Arial"/>
        <family val="0"/>
        <charset val="1"/>
      </rPr>
      <t xml:space="preserve">)</t>
    </r>
  </si>
  <si>
    <t xml:space="preserve">H072</t>
  </si>
  <si>
    <r>
      <rPr>
        <sz val="10"/>
        <rFont val="WenQuanYi Zen Hei"/>
        <family val="2"/>
      </rPr>
      <t xml:space="preserve">개복에 의한 담도절제술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 절제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</si>
  <si>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담도절제술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림프절절제 미동반</t>
    </r>
    <r>
      <rPr>
        <sz val="10"/>
        <rFont val="Arial"/>
        <family val="0"/>
        <charset val="1"/>
      </rPr>
      <t xml:space="preserve">)</t>
    </r>
  </si>
  <si>
    <t xml:space="preserve">H081</t>
  </si>
  <si>
    <r>
      <rPr>
        <sz val="10"/>
        <rFont val="WenQuanYi Zen Hei"/>
        <family val="2"/>
      </rPr>
      <t xml:space="preserve">복강경을 이용한 담도절제술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 절제 미동반</t>
    </r>
    <r>
      <rPr>
        <sz val="10"/>
        <rFont val="Arial"/>
        <family val="0"/>
        <charset val="1"/>
      </rPr>
      <t xml:space="preserve">)</t>
    </r>
  </si>
  <si>
    <t xml:space="preserve">H082</t>
  </si>
  <si>
    <r>
      <rPr>
        <sz val="10"/>
        <rFont val="WenQuanYi Zen Hei"/>
        <family val="2"/>
      </rPr>
      <t xml:space="preserve">개복에 의한 담도 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림프절 절제 미동반</t>
    </r>
    <r>
      <rPr>
        <sz val="10"/>
        <rFont val="Arial"/>
        <family val="0"/>
        <charset val="1"/>
      </rPr>
      <t xml:space="preserve">)</t>
    </r>
  </si>
  <si>
    <t xml:space="preserve">주요 담도수술</t>
  </si>
  <si>
    <t xml:space="preserve">H091</t>
  </si>
  <si>
    <t xml:space="preserve">복강경을 이용한 주요담도 수술</t>
  </si>
  <si>
    <t xml:space="preserve">H092</t>
  </si>
  <si>
    <t xml:space="preserve">개복에 의한 주요 담도수술</t>
  </si>
  <si>
    <t xml:space="preserve">담낭절제술</t>
  </si>
  <si>
    <t xml:space="preserve">H101</t>
  </si>
  <si>
    <r>
      <rPr>
        <sz val="10"/>
        <rFont val="WenQuanYi Zen Hei"/>
        <family val="2"/>
      </rPr>
      <t xml:space="preserve">복강경을 이용한담낭절제술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총수담관탐구술 및 경피적담낭조루술동반</t>
    </r>
    <r>
      <rPr>
        <sz val="10"/>
        <rFont val="Arial"/>
        <family val="0"/>
        <charset val="1"/>
      </rPr>
      <t xml:space="preserve">)</t>
    </r>
  </si>
  <si>
    <t xml:space="preserve">H102</t>
  </si>
  <si>
    <r>
      <rPr>
        <sz val="10"/>
        <rFont val="WenQuanYi Zen Hei"/>
        <family val="2"/>
      </rPr>
      <t xml:space="preserve">개복에 의한담낭절제술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총수담관탐구술 및 경피적담낭조루술동반</t>
    </r>
    <r>
      <rPr>
        <sz val="10"/>
        <rFont val="Arial"/>
        <family val="0"/>
        <charset val="1"/>
      </rPr>
      <t xml:space="preserve">)</t>
    </r>
  </si>
  <si>
    <t xml:space="preserve">H103</t>
  </si>
  <si>
    <r>
      <rPr>
        <sz val="10"/>
        <rFont val="WenQuanYi Zen Hei"/>
        <family val="2"/>
      </rPr>
      <t xml:space="preserve">복강경을 이용한담낭절제술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총수담관탐구술 동반</t>
    </r>
    <r>
      <rPr>
        <sz val="10"/>
        <rFont val="Arial"/>
        <family val="0"/>
        <charset val="1"/>
      </rPr>
      <t xml:space="preserve">)</t>
    </r>
  </si>
  <si>
    <t xml:space="preserve">H104</t>
  </si>
  <si>
    <r>
      <rPr>
        <sz val="10"/>
        <rFont val="WenQuanYi Zen Hei"/>
        <family val="2"/>
      </rPr>
      <t xml:space="preserve">개복에 의한담낭절제술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총수담관탐구술 동반</t>
    </r>
    <r>
      <rPr>
        <sz val="10"/>
        <rFont val="Arial"/>
        <family val="0"/>
        <charset val="1"/>
      </rPr>
      <t xml:space="preserve">)</t>
    </r>
  </si>
  <si>
    <t xml:space="preserve">H105</t>
  </si>
  <si>
    <r>
      <rPr>
        <sz val="10"/>
        <rFont val="WenQuanYi Zen Hei"/>
        <family val="2"/>
      </rPr>
      <t xml:space="preserve">복강경을 이용한담낭절제술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경피적담낭조루술 동반</t>
    </r>
    <r>
      <rPr>
        <sz val="10"/>
        <rFont val="Arial"/>
        <family val="0"/>
        <charset val="1"/>
      </rPr>
      <t xml:space="preserve">)</t>
    </r>
  </si>
  <si>
    <t xml:space="preserve">H106</t>
  </si>
  <si>
    <r>
      <rPr>
        <sz val="10"/>
        <rFont val="WenQuanYi Zen Hei"/>
        <family val="2"/>
      </rPr>
      <t xml:space="preserve">개복에 의한담낭절제술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경피적담낭조루술 동반</t>
    </r>
    <r>
      <rPr>
        <sz val="10"/>
        <rFont val="Arial"/>
        <family val="0"/>
        <charset val="1"/>
      </rPr>
      <t xml:space="preserve">)</t>
    </r>
  </si>
  <si>
    <t xml:space="preserve">H107</t>
  </si>
  <si>
    <r>
      <rPr>
        <sz val="10"/>
        <rFont val="WenQuanYi Zen Hei"/>
        <family val="2"/>
      </rPr>
      <t xml:space="preserve">복강경을 이용한담낭절제술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총수담관탐구술 및 경피적담낭조루술미동반</t>
    </r>
    <r>
      <rPr>
        <sz val="10"/>
        <rFont val="Arial"/>
        <family val="0"/>
        <charset val="1"/>
      </rPr>
      <t xml:space="preserve">)</t>
    </r>
  </si>
  <si>
    <t xml:space="preserve">H108</t>
  </si>
  <si>
    <r>
      <rPr>
        <sz val="10"/>
        <rFont val="WenQuanYi Zen Hei"/>
        <family val="2"/>
      </rPr>
      <t xml:space="preserve">개복에 의한담낭절제술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총수담관탐구술 및 경피적담낭조루술미동반</t>
    </r>
    <r>
      <rPr>
        <sz val="10"/>
        <rFont val="Arial"/>
        <family val="0"/>
        <charset val="1"/>
      </rPr>
      <t xml:space="preserve">)</t>
    </r>
  </si>
  <si>
    <t xml:space="preserve">췌장절제술</t>
  </si>
  <si>
    <t xml:space="preserve">H111</t>
  </si>
  <si>
    <t xml:space="preserve">복강경을 이용한췌장절제술</t>
  </si>
  <si>
    <t xml:space="preserve">H112</t>
  </si>
  <si>
    <t xml:space="preserve">개복에 의한 췌장절제술</t>
  </si>
  <si>
    <t xml:space="preserve">췌장 수술</t>
  </si>
  <si>
    <t xml:space="preserve">H121</t>
  </si>
  <si>
    <t xml:space="preserve">복강경을 이용한 췌장수술</t>
  </si>
  <si>
    <t xml:space="preserve">H122</t>
  </si>
  <si>
    <t xml:space="preserve">개복에 의한 췌장 수술</t>
  </si>
  <si>
    <t xml:space="preserve">기타간담도 및췌장 시술</t>
  </si>
  <si>
    <t xml:space="preserve">H142</t>
  </si>
  <si>
    <t xml:space="preserve">역행성담췌관내시경 시술</t>
  </si>
  <si>
    <t xml:space="preserve">H143</t>
  </si>
  <si>
    <t xml:space="preserve">담석 제거를 위한 체외충격파쇄석술</t>
  </si>
  <si>
    <r>
      <rPr>
        <sz val="10"/>
        <rFont val="WenQuanYi Zen Hei"/>
        <family val="2"/>
      </rPr>
      <t xml:space="preserve">담석을 체외충격파로 부수는 시술</t>
    </r>
    <r>
      <rPr>
        <sz val="10"/>
        <rFont val="Arial"/>
        <family val="0"/>
        <charset val="1"/>
      </rPr>
      <t xml:space="preserve">(ESWL)</t>
    </r>
  </si>
  <si>
    <t xml:space="preserve">H144</t>
  </si>
  <si>
    <t xml:space="preserve">기타 간담도 및 췌장 수술</t>
  </si>
  <si>
    <t xml:space="preserve">H145</t>
  </si>
  <si>
    <t xml:space="preserve">경피적 담관경 시술</t>
  </si>
  <si>
    <t xml:space="preserve">H146</t>
  </si>
  <si>
    <t xml:space="preserve">경피적 담관 시술</t>
  </si>
  <si>
    <t xml:space="preserve">간담도 및췌장의 경피적시술</t>
  </si>
  <si>
    <t xml:space="preserve">H152</t>
  </si>
  <si>
    <r>
      <rPr>
        <sz val="10"/>
        <rFont val="WenQuanYi Zen Hei"/>
        <family val="2"/>
      </rPr>
      <t xml:space="preserve">경피적 혈관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간의악성종양 제외</t>
    </r>
    <r>
      <rPr>
        <sz val="10"/>
        <rFont val="Arial"/>
        <family val="0"/>
        <charset val="1"/>
      </rPr>
      <t xml:space="preserve">)</t>
    </r>
  </si>
  <si>
    <t xml:space="preserve">H154</t>
  </si>
  <si>
    <t xml:space="preserve">담도협착을 위한 경피적시술</t>
  </si>
  <si>
    <t xml:space="preserve">H155</t>
  </si>
  <si>
    <t xml:space="preserve">담석제거를 위한 경피적시술</t>
  </si>
  <si>
    <t xml:space="preserve">H156</t>
  </si>
  <si>
    <r>
      <rPr>
        <sz val="10"/>
        <rFont val="WenQuanYi Zen Hei"/>
        <family val="2"/>
      </rPr>
      <t xml:space="preserve">경피적 혈관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간의악성종양의 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소작술동반</t>
    </r>
  </si>
  <si>
    <t xml:space="preserve">H157</t>
  </si>
  <si>
    <r>
      <rPr>
        <sz val="10"/>
        <rFont val="WenQuanYi Zen Hei"/>
        <family val="2"/>
      </rPr>
      <t xml:space="preserve">경피적 혈관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간의악성종양의 경우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소작술미동반</t>
    </r>
  </si>
  <si>
    <t xml:space="preserve">출혈성정맥류에 대한내시경 시술</t>
  </si>
  <si>
    <t xml:space="preserve">H500</t>
  </si>
  <si>
    <t xml:space="preserve">출혈성 정맥류에 대한내시경 시술</t>
  </si>
  <si>
    <r>
      <rPr>
        <sz val="10"/>
        <rFont val="WenQuanYi Zen Hei"/>
        <family val="2"/>
      </rPr>
      <t xml:space="preserve">식도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 정맥류 출혈 내시경 시술</t>
    </r>
  </si>
  <si>
    <t xml:space="preserve">간암의경피적 치료술</t>
  </si>
  <si>
    <t xml:space="preserve">H510</t>
  </si>
  <si>
    <t xml:space="preserve">간암의 경피적 치료술</t>
  </si>
  <si>
    <r>
      <rPr>
        <sz val="10"/>
        <rFont val="WenQuanYi Zen Hei"/>
        <family val="2"/>
      </rPr>
      <t xml:space="preserve">간암을 고주파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에탄올 등으로 경피 치료</t>
    </r>
  </si>
  <si>
    <t xml:space="preserve">간담도 및췌장 질환의경피적 배액술</t>
  </si>
  <si>
    <t xml:space="preserve">H520</t>
  </si>
  <si>
    <t xml:space="preserve">간담도 및 췌장 질환의 경피적 배액술</t>
  </si>
  <si>
    <t xml:space="preserve">간담도췌 농양 등 경피적 배액</t>
  </si>
  <si>
    <t xml:space="preserve">양쪽 또는복수 주요관절 수술</t>
  </si>
  <si>
    <t xml:space="preserve">I011</t>
  </si>
  <si>
    <r>
      <rPr>
        <sz val="10"/>
        <rFont val="WenQuanYi Zen Hei"/>
        <family val="2"/>
      </rPr>
      <t xml:space="preserve">양쪽 또는 복수 주요 관절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치환술의 경우</t>
    </r>
    <r>
      <rPr>
        <sz val="10"/>
        <rFont val="Arial"/>
        <family val="0"/>
        <charset val="1"/>
      </rPr>
      <t xml:space="preserve">)</t>
    </r>
  </si>
  <si>
    <t xml:space="preserve">근골격계</t>
  </si>
  <si>
    <t xml:space="preserve">양쪽 또는 여러 주요관절 인공관절 치환</t>
  </si>
  <si>
    <t xml:space="preserve">I012</t>
  </si>
  <si>
    <r>
      <rPr>
        <sz val="10"/>
        <rFont val="WenQuanYi Zen Hei"/>
        <family val="2"/>
      </rPr>
      <t xml:space="preserve">양쪽 또는 복수 주요 관절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치환술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</si>
  <si>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복수 주요관절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치환 제외</t>
    </r>
    <r>
      <rPr>
        <sz val="10"/>
        <rFont val="Arial"/>
        <family val="0"/>
        <charset val="1"/>
      </rPr>
      <t xml:space="preserve">)</t>
    </r>
  </si>
  <si>
    <t xml:space="preserve">고관절재치환술 및치환술</t>
  </si>
  <si>
    <t xml:space="preserve">I021</t>
  </si>
  <si>
    <t xml:space="preserve">고관절 전재치환술</t>
  </si>
  <si>
    <t xml:space="preserve">I022</t>
  </si>
  <si>
    <t xml:space="preserve">고관절 전치환술</t>
  </si>
  <si>
    <t xml:space="preserve">I023</t>
  </si>
  <si>
    <t xml:space="preserve">고관절 부분치환술</t>
  </si>
  <si>
    <t xml:space="preserve">슬관절재치환술 및치환술</t>
  </si>
  <si>
    <t xml:space="preserve">I031</t>
  </si>
  <si>
    <t xml:space="preserve">슬관절 전재치환술</t>
  </si>
  <si>
    <t xml:space="preserve">I032</t>
  </si>
  <si>
    <t xml:space="preserve">슬관절 전치환술</t>
  </si>
  <si>
    <t xml:space="preserve">I033</t>
  </si>
  <si>
    <t xml:space="preserve">슬관절 부분치환술</t>
  </si>
  <si>
    <t xml:space="preserve">기타 관절재치환술 및치환술</t>
  </si>
  <si>
    <t xml:space="preserve">I041</t>
  </si>
  <si>
    <t xml:space="preserve">기타 관절 전재치환술</t>
  </si>
  <si>
    <t xml:space="preserve">I042</t>
  </si>
  <si>
    <t xml:space="preserve">기타 관절 전치환술</t>
  </si>
  <si>
    <t xml:space="preserve">I043</t>
  </si>
  <si>
    <t xml:space="preserve">기타 관절 부분치환술</t>
  </si>
  <si>
    <t xml:space="preserve">I044</t>
  </si>
  <si>
    <t xml:space="preserve">인공관절삽입술 제거술</t>
  </si>
  <si>
    <t xml:space="preserve">혈관부착골피부판 이식및 사지재접합술</t>
  </si>
  <si>
    <t xml:space="preserve">I050</t>
  </si>
  <si>
    <t xml:space="preserve">혈관부착 골피부판 이식 및 사지 재접합술</t>
  </si>
  <si>
    <r>
      <rPr>
        <sz val="10"/>
        <rFont val="WenQuanYi Zen Hei"/>
        <family val="2"/>
      </rPr>
      <t xml:space="preserve">혈관 포함 조직이식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절단 사지 재접합</t>
    </r>
  </si>
  <si>
    <t xml:space="preserve">I061</t>
  </si>
  <si>
    <t xml:space="preserve">I062</t>
  </si>
  <si>
    <t xml:space="preserve">I063</t>
  </si>
  <si>
    <t xml:space="preserve">I064</t>
  </si>
  <si>
    <t xml:space="preserve">I071</t>
  </si>
  <si>
    <t xml:space="preserve">I072</t>
  </si>
  <si>
    <t xml:space="preserve">I073</t>
  </si>
  <si>
    <r>
      <rPr>
        <sz val="10"/>
        <rFont val="WenQuanYi Zen Hei"/>
        <family val="2"/>
      </rPr>
      <t xml:space="preserve">성인기 척추변형척추고정술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감압술미동반</t>
    </r>
    <r>
      <rPr>
        <sz val="10"/>
        <rFont val="Arial"/>
        <family val="0"/>
        <charset val="1"/>
      </rPr>
      <t xml:space="preserve">)</t>
    </r>
  </si>
  <si>
    <t xml:space="preserve">I081</t>
  </si>
  <si>
    <t xml:space="preserve">I082</t>
  </si>
  <si>
    <t xml:space="preserve">I083</t>
  </si>
  <si>
    <t xml:space="preserve">I084</t>
  </si>
  <si>
    <t xml:space="preserve">I085</t>
  </si>
  <si>
    <t xml:space="preserve">I086</t>
  </si>
  <si>
    <t xml:space="preserve">척추 중재</t>
  </si>
  <si>
    <t xml:space="preserve">I091</t>
  </si>
  <si>
    <t xml:space="preserve">I092</t>
  </si>
  <si>
    <t xml:space="preserve">신경조절술 및척수강내약물주입펌프이식술</t>
  </si>
  <si>
    <t xml:space="preserve">I101</t>
  </si>
  <si>
    <r>
      <rPr>
        <sz val="10"/>
        <rFont val="WenQuanYi Zen Hei"/>
        <family val="2"/>
      </rPr>
      <t xml:space="preserve">통증치료용 척수자극기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약물펌프 설치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교환</t>
    </r>
  </si>
  <si>
    <t xml:space="preserve">I102</t>
  </si>
  <si>
    <t xml:space="preserve">시험거치 또는 제거술</t>
  </si>
  <si>
    <t xml:space="preserve">절단술</t>
  </si>
  <si>
    <t xml:space="preserve">I111</t>
  </si>
  <si>
    <t xml:space="preserve">주요 절단술</t>
  </si>
  <si>
    <r>
      <rPr>
        <sz val="10"/>
        <rFont val="WenQuanYi Zen Hei"/>
        <family val="2"/>
      </rPr>
      <t xml:space="preserve">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다리 등 주요 절단술</t>
    </r>
  </si>
  <si>
    <t xml:space="preserve">I112</t>
  </si>
  <si>
    <t xml:space="preserve">기타 절단술</t>
  </si>
  <si>
    <t xml:space="preserve">골종양의절제술</t>
  </si>
  <si>
    <t xml:space="preserve">I121</t>
  </si>
  <si>
    <r>
      <rPr>
        <sz val="10"/>
        <rFont val="WenQuanYi Zen Hei"/>
        <family val="2"/>
      </rPr>
      <t xml:space="preserve">골악성종양의 광범위절제술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재건술 동반</t>
    </r>
    <r>
      <rPr>
        <sz val="10"/>
        <rFont val="Arial"/>
        <family val="0"/>
        <charset val="1"/>
      </rPr>
      <t xml:space="preserve">)</t>
    </r>
  </si>
  <si>
    <t xml:space="preserve">I122</t>
  </si>
  <si>
    <r>
      <rPr>
        <sz val="10"/>
        <rFont val="WenQuanYi Zen Hei"/>
        <family val="2"/>
      </rPr>
      <t xml:space="preserve">골악성종양의 광범위절제술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골반골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대퇴골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하퇴골</t>
    </r>
    <r>
      <rPr>
        <sz val="10"/>
        <rFont val="Arial"/>
        <family val="0"/>
        <charset val="1"/>
      </rPr>
      <t xml:space="preserve">)</t>
    </r>
  </si>
  <si>
    <t xml:space="preserve">I123</t>
  </si>
  <si>
    <r>
      <rPr>
        <sz val="10"/>
        <rFont val="WenQuanYi Zen Hei"/>
        <family val="2"/>
      </rPr>
      <t xml:space="preserve">골악성종양의 광범위절제술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</si>
  <si>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I124</t>
  </si>
  <si>
    <t xml:space="preserve">골양성종양의 소파술 또는 절제술</t>
  </si>
  <si>
    <r>
      <rPr>
        <sz val="10"/>
        <rFont val="WenQuanYi Zen Hei"/>
        <family val="2"/>
      </rPr>
      <t xml:space="preserve">뼈 양성종양의 소파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절제</t>
    </r>
  </si>
  <si>
    <t xml:space="preserve">골수염 및농양 수술</t>
  </si>
  <si>
    <t xml:space="preserve">I131</t>
  </si>
  <si>
    <r>
      <rPr>
        <sz val="10"/>
        <rFont val="WenQuanYi Zen Hei"/>
        <family val="2"/>
      </rPr>
      <t xml:space="preserve">골수염 및 농양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골반골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대퇴골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하퇴골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상완골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전완골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쇄골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</si>
  <si>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골반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대퇴 등 골수염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농양 수술</t>
    </r>
  </si>
  <si>
    <t xml:space="preserve">I132</t>
  </si>
  <si>
    <r>
      <rPr>
        <sz val="10"/>
        <rFont val="WenQuanYi Zen Hei"/>
        <family val="2"/>
      </rPr>
      <t xml:space="preserve">골수염 및 농양수술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</si>
  <si>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I133</t>
  </si>
  <si>
    <t xml:space="preserve">근농양 배농술</t>
  </si>
  <si>
    <t xml:space="preserve">고관절 및대퇴부 수술</t>
  </si>
  <si>
    <t xml:space="preserve">I141</t>
  </si>
  <si>
    <t xml:space="preserve">양쪽 또는 복수 고관절 및대퇴부 수술</t>
  </si>
  <si>
    <r>
      <rPr>
        <sz val="10"/>
        <rFont val="WenQuanYi Zen Hei"/>
        <family val="2"/>
      </rPr>
      <t xml:space="preserve">양쪽 또는 복수 고관절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대퇴부 수술</t>
    </r>
  </si>
  <si>
    <t xml:space="preserve">I142</t>
  </si>
  <si>
    <t xml:space="preserve">한쪽 고관절 및 대퇴부 수술</t>
  </si>
  <si>
    <r>
      <rPr>
        <sz val="10"/>
        <rFont val="WenQuanYi Zen Hei"/>
        <family val="2"/>
      </rPr>
      <t xml:space="preserve">한쪽 고관절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대퇴부 수술</t>
    </r>
  </si>
  <si>
    <r>
      <rPr>
        <sz val="10"/>
        <rFont val="WenQuanYi Zen Hei"/>
        <family val="2"/>
      </rPr>
      <t xml:space="preserve">상완골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경골 및 비골수술</t>
    </r>
  </si>
  <si>
    <t xml:space="preserve">I160</t>
  </si>
  <si>
    <r>
      <rPr>
        <sz val="10"/>
        <rFont val="WenQuanYi Zen Hei"/>
        <family val="2"/>
      </rPr>
      <t xml:space="preserve">상완골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경골 및 비골 수술</t>
    </r>
  </si>
  <si>
    <r>
      <rPr>
        <sz val="10"/>
        <rFont val="WenQuanYi Zen Hei"/>
        <family val="2"/>
      </rPr>
      <t xml:space="preserve">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다리 긴뼈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상완골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수술</t>
    </r>
  </si>
  <si>
    <t xml:space="preserve">단단성형술</t>
  </si>
  <si>
    <t xml:space="preserve">I171</t>
  </si>
  <si>
    <r>
      <rPr>
        <sz val="10"/>
        <rFont val="WenQuanYi Zen Hei"/>
        <family val="2"/>
      </rPr>
      <t xml:space="preserve">단단성형술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수족지 제외</t>
    </r>
    <r>
      <rPr>
        <sz val="10"/>
        <rFont val="Arial"/>
        <family val="0"/>
        <charset val="1"/>
      </rPr>
      <t xml:space="preserve">)</t>
    </r>
  </si>
  <si>
    <t xml:space="preserve">I172</t>
  </si>
  <si>
    <r>
      <rPr>
        <sz val="10"/>
        <rFont val="WenQuanYi Zen Hei"/>
        <family val="2"/>
      </rPr>
      <t xml:space="preserve">단단성형술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수족지</t>
    </r>
    <r>
      <rPr>
        <sz val="10"/>
        <rFont val="Arial"/>
        <family val="0"/>
        <charset val="1"/>
      </rPr>
      <t xml:space="preserve">)</t>
    </r>
  </si>
  <si>
    <t xml:space="preserve">견부 수술</t>
  </si>
  <si>
    <t xml:space="preserve">I181</t>
  </si>
  <si>
    <t xml:space="preserve">회전근개 수술</t>
  </si>
  <si>
    <t xml:space="preserve">I182</t>
  </si>
  <si>
    <t xml:space="preserve">관절와순 수술</t>
  </si>
  <si>
    <t xml:space="preserve">I183</t>
  </si>
  <si>
    <t xml:space="preserve">복수 진단 견부 수술</t>
  </si>
  <si>
    <t xml:space="preserve">I184</t>
  </si>
  <si>
    <t xml:space="preserve">기타 견부 수술</t>
  </si>
  <si>
    <t xml:space="preserve">슬부 수술</t>
  </si>
  <si>
    <t xml:space="preserve">I191</t>
  </si>
  <si>
    <t xml:space="preserve">십자인대 수술</t>
  </si>
  <si>
    <t xml:space="preserve">I192</t>
  </si>
  <si>
    <r>
      <rPr>
        <sz val="10"/>
        <rFont val="WenQuanYi Zen Hei"/>
        <family val="2"/>
      </rPr>
      <t xml:space="preserve">반달연골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</si>
  <si>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t xml:space="preserve">I193</t>
  </si>
  <si>
    <r>
      <rPr>
        <sz val="10"/>
        <rFont val="WenQuanYi Zen Hei"/>
        <family val="2"/>
      </rPr>
      <t xml:space="preserve">반달연골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</si>
  <si>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I194</t>
  </si>
  <si>
    <t xml:space="preserve">기타 슬관절 수술</t>
  </si>
  <si>
    <t xml:space="preserve">주관절 및전완부 수술</t>
  </si>
  <si>
    <t xml:space="preserve">I200</t>
  </si>
  <si>
    <t xml:space="preserve">주관절 및 전완부 수술</t>
  </si>
  <si>
    <r>
      <rPr>
        <sz val="10"/>
        <rFont val="WenQuanYi Zen Hei"/>
        <family val="2"/>
      </rPr>
      <t xml:space="preserve">팔꿈치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아래팔 수술</t>
    </r>
  </si>
  <si>
    <t xml:space="preserve">족부 및족관절 수술</t>
  </si>
  <si>
    <t xml:space="preserve">I211</t>
  </si>
  <si>
    <t xml:space="preserve">족부 및 족관절 힘줄인대수술</t>
  </si>
  <si>
    <t xml:space="preserve">I212</t>
  </si>
  <si>
    <t xml:space="preserve">족관절 골연골 병변 수술</t>
  </si>
  <si>
    <t xml:space="preserve">I213</t>
  </si>
  <si>
    <t xml:space="preserve">기타족부 및 족관절 수술</t>
  </si>
  <si>
    <t xml:space="preserve">체내고정장치 제거술</t>
  </si>
  <si>
    <t xml:space="preserve">I220</t>
  </si>
  <si>
    <t xml:space="preserve">뼈에 넣은 금속고정물 제거</t>
  </si>
  <si>
    <t xml:space="preserve">완관절 및수부 수술</t>
  </si>
  <si>
    <t xml:space="preserve">I251</t>
  </si>
  <si>
    <t xml:space="preserve">주요 완관절 및 수부 수술</t>
  </si>
  <si>
    <t xml:space="preserve">I252</t>
  </si>
  <si>
    <t xml:space="preserve">단순 완관절 및 수부 수술</t>
  </si>
  <si>
    <t xml:space="preserve">미세혈관조직이식 또는피부이식</t>
  </si>
  <si>
    <t xml:space="preserve">I261</t>
  </si>
  <si>
    <t xml:space="preserve">미세혈관 조직이식</t>
  </si>
  <si>
    <t xml:space="preserve">미세혈관을 잇는 조직이식</t>
  </si>
  <si>
    <t xml:space="preserve">I262</t>
  </si>
  <si>
    <t xml:space="preserve">기타 피판술</t>
  </si>
  <si>
    <t xml:space="preserve">I263</t>
  </si>
  <si>
    <t xml:space="preserve">피부 및 지방 이식술</t>
  </si>
  <si>
    <t xml:space="preserve">연조직수술</t>
  </si>
  <si>
    <t xml:space="preserve">I271</t>
  </si>
  <si>
    <t xml:space="preserve">복잡한 연조직 수술</t>
  </si>
  <si>
    <t xml:space="preserve">I272</t>
  </si>
  <si>
    <t xml:space="preserve">주요 연조직 수술</t>
  </si>
  <si>
    <t xml:space="preserve">I273</t>
  </si>
  <si>
    <t xml:space="preserve">단순 연조직 수술</t>
  </si>
  <si>
    <t xml:space="preserve">기타 골절수술</t>
  </si>
  <si>
    <t xml:space="preserve">I281</t>
  </si>
  <si>
    <t xml:space="preserve">골반 및 비구 골절 수술</t>
  </si>
  <si>
    <t xml:space="preserve">I282</t>
  </si>
  <si>
    <t xml:space="preserve">대퇴부 골절 수술</t>
  </si>
  <si>
    <t xml:space="preserve">I283</t>
  </si>
  <si>
    <t xml:space="preserve">슬관절 및 하퇴골 골절수술</t>
  </si>
  <si>
    <t xml:space="preserve">I284</t>
  </si>
  <si>
    <t xml:space="preserve">족관절 및 족부 골절 수술</t>
  </si>
  <si>
    <t xml:space="preserve">I285</t>
  </si>
  <si>
    <t xml:space="preserve">견부 및 상완골 골절 수술</t>
  </si>
  <si>
    <t xml:space="preserve">I286</t>
  </si>
  <si>
    <t xml:space="preserve">전완부 골절 수술</t>
  </si>
  <si>
    <t xml:space="preserve">I287</t>
  </si>
  <si>
    <t xml:space="preserve">수부 골절 수술</t>
  </si>
  <si>
    <t xml:space="preserve">손 골절 수술</t>
  </si>
  <si>
    <t xml:space="preserve">기타결합조직 수술</t>
  </si>
  <si>
    <t xml:space="preserve">I290</t>
  </si>
  <si>
    <t xml:space="preserve">기타 결합조직 수술</t>
  </si>
  <si>
    <t xml:space="preserve">복잡인공관절치환술</t>
  </si>
  <si>
    <t xml:space="preserve">I301</t>
  </si>
  <si>
    <t xml:space="preserve">복잡 양쪽 또는 복수인공관절치환술</t>
  </si>
  <si>
    <t xml:space="preserve">I302</t>
  </si>
  <si>
    <r>
      <rPr>
        <sz val="10"/>
        <rFont val="WenQuanYi Zen Hei"/>
        <family val="2"/>
      </rPr>
      <t xml:space="preserve">복잡 인공관절전재치환술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고관절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슬관절</t>
    </r>
    <r>
      <rPr>
        <sz val="10"/>
        <rFont val="Arial"/>
        <family val="0"/>
        <charset val="1"/>
      </rPr>
      <t xml:space="preserve">)</t>
    </r>
  </si>
  <si>
    <t xml:space="preserve">I303</t>
  </si>
  <si>
    <r>
      <rPr>
        <sz val="10"/>
        <rFont val="WenQuanYi Zen Hei"/>
        <family val="2"/>
      </rPr>
      <t xml:space="preserve">복잡 인공관절전재치환술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어깨관절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견관절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주관절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족관절</t>
    </r>
    <r>
      <rPr>
        <sz val="10"/>
        <rFont val="Arial"/>
        <family val="0"/>
        <charset val="1"/>
      </rPr>
      <t xml:space="preserve">)</t>
    </r>
  </si>
  <si>
    <t xml:space="preserve">I304</t>
  </si>
  <si>
    <r>
      <rPr>
        <sz val="10"/>
        <rFont val="WenQuanYi Zen Hei"/>
        <family val="2"/>
      </rPr>
      <t xml:space="preserve">복잡 인공관절전치환술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고관절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슬관절</t>
    </r>
    <r>
      <rPr>
        <sz val="10"/>
        <rFont val="Arial"/>
        <family val="0"/>
        <charset val="1"/>
      </rPr>
      <t xml:space="preserve">)</t>
    </r>
  </si>
  <si>
    <t xml:space="preserve">I305</t>
  </si>
  <si>
    <r>
      <rPr>
        <sz val="10"/>
        <rFont val="WenQuanYi Zen Hei"/>
        <family val="2"/>
      </rPr>
      <t xml:space="preserve">복잡 인공관절전치환술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어깨관절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견관절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주관절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족관절</t>
    </r>
    <r>
      <rPr>
        <sz val="10"/>
        <rFont val="Arial"/>
        <family val="0"/>
        <charset val="1"/>
      </rPr>
      <t xml:space="preserve">)</t>
    </r>
  </si>
  <si>
    <t xml:space="preserve">I306</t>
  </si>
  <si>
    <t xml:space="preserve">복잡 인공관절부분치환술</t>
  </si>
  <si>
    <t xml:space="preserve">복잡 인공관절 부분치환</t>
  </si>
  <si>
    <t xml:space="preserve">I311</t>
  </si>
  <si>
    <t xml:space="preserve">I312</t>
  </si>
  <si>
    <t xml:space="preserve">복잡 관절수술</t>
  </si>
  <si>
    <t xml:space="preserve">I321</t>
  </si>
  <si>
    <t xml:space="preserve">복잡 사지골절정복술</t>
  </si>
  <si>
    <t xml:space="preserve">I322</t>
  </si>
  <si>
    <t xml:space="preserve">복잡 관절고정술</t>
  </si>
  <si>
    <t xml:space="preserve">I323</t>
  </si>
  <si>
    <t xml:space="preserve">복잡 사지관절절제술</t>
  </si>
  <si>
    <t xml:space="preserve">I324</t>
  </si>
  <si>
    <t xml:space="preserve">복잡 가관절수술</t>
  </si>
  <si>
    <t xml:space="preserve">I325</t>
  </si>
  <si>
    <t xml:space="preserve">복잡 반월판연골절제술</t>
  </si>
  <si>
    <t xml:space="preserve">복잡근골격계염증성 질환수술</t>
  </si>
  <si>
    <t xml:space="preserve">I331</t>
  </si>
  <si>
    <t xml:space="preserve">복잡 화농성관절염절개술</t>
  </si>
  <si>
    <t xml:space="preserve">I332</t>
  </si>
  <si>
    <t xml:space="preserve">복잡 골수염 및 농양수술</t>
  </si>
  <si>
    <t xml:space="preserve">근골격계질환의 경피적배액술</t>
  </si>
  <si>
    <t xml:space="preserve">I500</t>
  </si>
  <si>
    <t xml:space="preserve">근골격계 질환의 경피적 배액술</t>
  </si>
  <si>
    <t xml:space="preserve">근골격 농양 등 경피적 배액</t>
  </si>
  <si>
    <r>
      <rPr>
        <sz val="10"/>
        <rFont val="WenQuanYi Zen Hei"/>
        <family val="2"/>
      </rPr>
      <t xml:space="preserve">피부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피하조직 및유방 질환에대한 미세혈관조직이식</t>
    </r>
  </si>
  <si>
    <t xml:space="preserve">J010</t>
  </si>
  <si>
    <r>
      <rPr>
        <sz val="10"/>
        <rFont val="WenQuanYi Zen Hei"/>
        <family val="2"/>
      </rPr>
      <t xml:space="preserve">피부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피하조직 및 유방 질환에 대한 미세혈관 조직이식</t>
    </r>
  </si>
  <si>
    <r>
      <rPr>
        <sz val="10"/>
        <rFont val="WenQuanYi Zen Hei"/>
        <family val="2"/>
      </rPr>
      <t xml:space="preserve">피부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유방 결손의 미세혈관 조직이식</t>
    </r>
  </si>
  <si>
    <r>
      <rPr>
        <sz val="10"/>
        <rFont val="WenQuanYi Zen Hei"/>
        <family val="2"/>
      </rPr>
      <t xml:space="preserve">피판술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피부이식술 및변연절제술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피부궤양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봉소염의경우</t>
    </r>
    <r>
      <rPr>
        <sz val="10"/>
        <rFont val="Arial"/>
        <family val="0"/>
        <charset val="1"/>
      </rPr>
      <t xml:space="preserve">)</t>
    </r>
  </si>
  <si>
    <t xml:space="preserve">J021</t>
  </si>
  <si>
    <r>
      <rPr>
        <sz val="10"/>
        <rFont val="WenQuanYi Zen Hei"/>
        <family val="2"/>
      </rPr>
      <t xml:space="preserve">피판술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피부궤양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봉소염의경우</t>
    </r>
    <r>
      <rPr>
        <sz val="10"/>
        <rFont val="Arial"/>
        <family val="0"/>
        <charset val="1"/>
      </rPr>
      <t xml:space="preserve">)</t>
    </r>
  </si>
  <si>
    <t xml:space="preserve">J022</t>
  </si>
  <si>
    <r>
      <rPr>
        <sz val="10"/>
        <rFont val="WenQuanYi Zen Hei"/>
        <family val="2"/>
      </rPr>
      <t xml:space="preserve">피부 이식술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피부궤양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봉소염의 경우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</si>
  <si>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피판술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피부이식술 및변연절제술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피부궤양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봉소염 제외</t>
    </r>
    <r>
      <rPr>
        <sz val="10"/>
        <rFont val="Arial"/>
        <family val="0"/>
        <charset val="1"/>
      </rPr>
      <t xml:space="preserve">)</t>
    </r>
  </si>
  <si>
    <t xml:space="preserve">J031</t>
  </si>
  <si>
    <r>
      <rPr>
        <sz val="10"/>
        <rFont val="WenQuanYi Zen Hei"/>
        <family val="2"/>
      </rPr>
      <t xml:space="preserve">피판술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피부궤양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봉소염제외</t>
    </r>
    <r>
      <rPr>
        <sz val="10"/>
        <rFont val="Arial"/>
        <family val="0"/>
        <charset val="1"/>
      </rPr>
      <t xml:space="preserve">)</t>
    </r>
  </si>
  <si>
    <t xml:space="preserve">J032</t>
  </si>
  <si>
    <r>
      <rPr>
        <sz val="10"/>
        <rFont val="WenQuanYi Zen Hei"/>
        <family val="2"/>
      </rPr>
      <t xml:space="preserve">피부 이식술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피부궤양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봉소염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</si>
  <si>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기타피부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피하조직수술</t>
    </r>
  </si>
  <si>
    <t xml:space="preserve">J041</t>
  </si>
  <si>
    <t xml:space="preserve">피부 및 연조직 악성종양 절제술</t>
  </si>
  <si>
    <r>
      <rPr>
        <sz val="10"/>
        <rFont val="WenQuanYi Zen Hei"/>
        <family val="2"/>
      </rPr>
      <t xml:space="preserve">피부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연조직의 악성종양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절제</t>
    </r>
  </si>
  <si>
    <t xml:space="preserve">J042</t>
  </si>
  <si>
    <t xml:space="preserve">피부 및 연조직 수술</t>
  </si>
  <si>
    <t xml:space="preserve">J043</t>
  </si>
  <si>
    <r>
      <rPr>
        <sz val="10"/>
        <rFont val="WenQuanYi Zen Hei"/>
        <family val="2"/>
      </rPr>
      <t xml:space="preserve">기타 피부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피하조직수술</t>
    </r>
  </si>
  <si>
    <t xml:space="preserve">유방재건술</t>
  </si>
  <si>
    <t xml:space="preserve">J051</t>
  </si>
  <si>
    <t xml:space="preserve">자가조직을 이용한유방재건술</t>
  </si>
  <si>
    <t xml:space="preserve">J052</t>
  </si>
  <si>
    <t xml:space="preserve">보형물을 이용한유방재건술</t>
  </si>
  <si>
    <t xml:space="preserve">주요 유방수술</t>
  </si>
  <si>
    <t xml:space="preserve">J061</t>
  </si>
  <si>
    <t xml:space="preserve">근치 유방절제술</t>
  </si>
  <si>
    <t xml:space="preserve">J062</t>
  </si>
  <si>
    <r>
      <rPr>
        <sz val="10"/>
        <rFont val="WenQuanYi Zen Hei"/>
        <family val="2"/>
      </rPr>
      <t xml:space="preserve">유방절제술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악성종양의경우</t>
    </r>
    <r>
      <rPr>
        <sz val="10"/>
        <rFont val="Arial"/>
        <family val="0"/>
        <charset val="1"/>
      </rPr>
      <t xml:space="preserve">)</t>
    </r>
  </si>
  <si>
    <t xml:space="preserve">J063</t>
  </si>
  <si>
    <r>
      <rPr>
        <sz val="10"/>
        <rFont val="WenQuanYi Zen Hei"/>
        <family val="2"/>
      </rPr>
      <t xml:space="preserve">유방절제술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</si>
  <si>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양성 등 유방절제술</t>
  </si>
  <si>
    <t xml:space="preserve">단순 유방수술</t>
  </si>
  <si>
    <t xml:space="preserve">J071</t>
  </si>
  <si>
    <t xml:space="preserve">진공흡입보조장치를이용한 단순 유방 수술</t>
  </si>
  <si>
    <t xml:space="preserve">J072</t>
  </si>
  <si>
    <t xml:space="preserve">절개에 의한 단순 유방수술</t>
  </si>
  <si>
    <t xml:space="preserve">액와 수술</t>
  </si>
  <si>
    <t xml:space="preserve">J081</t>
  </si>
  <si>
    <r>
      <rPr>
        <sz val="10"/>
        <rFont val="WenQuanYi Zen Hei"/>
        <family val="2"/>
      </rPr>
      <t xml:space="preserve">액와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</si>
  <si>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겨드랑이 악성종양 관련 수술</t>
  </si>
  <si>
    <t xml:space="preserve">J082</t>
  </si>
  <si>
    <r>
      <rPr>
        <sz val="10"/>
        <rFont val="WenQuanYi Zen Hei"/>
        <family val="2"/>
      </rPr>
      <t xml:space="preserve">액와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</si>
  <si>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기타 겨드랑이 수술</t>
  </si>
  <si>
    <t xml:space="preserve">기타 유방및 액와 수술</t>
  </si>
  <si>
    <t xml:space="preserve">J090</t>
  </si>
  <si>
    <t xml:space="preserve">기타 유방 및 액와 수술</t>
  </si>
  <si>
    <r>
      <rPr>
        <sz val="10"/>
        <rFont val="WenQuanYi Zen Hei"/>
        <family val="2"/>
      </rPr>
      <t xml:space="preserve">기타 유방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겨드랑이 수술</t>
    </r>
  </si>
  <si>
    <t xml:space="preserve">항문 주위및 모소 수술</t>
  </si>
  <si>
    <t xml:space="preserve">J100</t>
  </si>
  <si>
    <t xml:space="preserve">항문 주위 및 모소 수술</t>
  </si>
  <si>
    <r>
      <rPr>
        <sz val="10"/>
        <rFont val="WenQuanYi Zen Hei"/>
        <family val="2"/>
      </rPr>
      <t xml:space="preserve">항문 주위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모소동 수술</t>
    </r>
  </si>
  <si>
    <t xml:space="preserve">J110</t>
  </si>
  <si>
    <t xml:space="preserve">교감신경절제술</t>
  </si>
  <si>
    <t xml:space="preserve">다한증 등 교감신경 절제술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</si>
  <si>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및대사장애절단술</t>
    </r>
  </si>
  <si>
    <t xml:space="preserve">K011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</si>
  <si>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 대사장애 절단술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수족부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</si>
  <si>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당뇨 등 대사장애로 인한 사지 절단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손발 제외</t>
    </r>
    <r>
      <rPr>
        <sz val="10"/>
        <rFont val="Arial"/>
        <family val="0"/>
        <charset val="1"/>
      </rPr>
      <t xml:space="preserve">)</t>
    </r>
  </si>
  <si>
    <t xml:space="preserve">K012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</si>
  <si>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 대사장애 수족부 절단술</t>
    </r>
  </si>
  <si>
    <r>
      <rPr>
        <sz val="10"/>
        <rFont val="WenQuanYi Zen Hei"/>
        <family val="2"/>
      </rPr>
      <t xml:space="preserve">당뇨발 등 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 절단</t>
    </r>
  </si>
  <si>
    <t xml:space="preserve">뇌하수체수술</t>
  </si>
  <si>
    <t xml:space="preserve">K021</t>
  </si>
  <si>
    <t xml:space="preserve">천막상부 종양 절제술</t>
  </si>
  <si>
    <t xml:space="preserve">K023</t>
  </si>
  <si>
    <t xml:space="preserve">복잡 경비적 뇌하수체종양 절제술</t>
  </si>
  <si>
    <t xml:space="preserve">K024</t>
  </si>
  <si>
    <t xml:space="preserve">단순 경비적 뇌하수체종양 절제술</t>
  </si>
  <si>
    <t xml:space="preserve">부신 수술</t>
  </si>
  <si>
    <t xml:space="preserve">K031</t>
  </si>
  <si>
    <t xml:space="preserve">복강경을 이용한 부신수술</t>
  </si>
  <si>
    <t xml:space="preserve">K032</t>
  </si>
  <si>
    <t xml:space="preserve">개복에 의한 부신 수술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</si>
  <si>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및대사장애피부이식 및상처변연절제술</t>
    </r>
  </si>
  <si>
    <t xml:space="preserve">K041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</si>
  <si>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 대사장애유리 피판술</t>
    </r>
  </si>
  <si>
    <t xml:space="preserve">K042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</si>
  <si>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 대사장애기타 피판술</t>
    </r>
  </si>
  <si>
    <t xml:space="preserve">K043</t>
  </si>
  <si>
    <r>
      <rPr>
        <sz val="10"/>
        <rFont val="WenQuanYi Zen Hei"/>
        <family val="2"/>
      </rPr>
      <t xml:space="preserve">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 대사장애피부 이식술</t>
    </r>
  </si>
  <si>
    <t xml:space="preserve">부갑상선수술</t>
  </si>
  <si>
    <t xml:space="preserve">K051</t>
  </si>
  <si>
    <t xml:space="preserve">내시경을 이용한 부갑상선수술</t>
  </si>
  <si>
    <t xml:space="preserve">K052</t>
  </si>
  <si>
    <t xml:space="preserve">절개에 의한 부갑상선수술</t>
  </si>
  <si>
    <t xml:space="preserve">주요갑상선 악성종양 수술</t>
  </si>
  <si>
    <t xml:space="preserve">K063</t>
  </si>
  <si>
    <r>
      <rPr>
        <sz val="10"/>
        <rFont val="WenQuanYi Zen Hei"/>
        <family val="2"/>
      </rPr>
      <t xml:space="preserve">주요 갑상선 악성 종양수술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</si>
  <si>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K064</t>
  </si>
  <si>
    <r>
      <rPr>
        <sz val="10"/>
        <rFont val="WenQuanYi Zen Hei"/>
        <family val="2"/>
      </rPr>
      <t xml:space="preserve">주요 갑상선 악성 종양수술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</si>
  <si>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주요갑상선 악성종양 제외수술</t>
  </si>
  <si>
    <t xml:space="preserve">K075</t>
  </si>
  <si>
    <r>
      <rPr>
        <sz val="10"/>
        <rFont val="WenQuanYi Zen Hei"/>
        <family val="2"/>
      </rPr>
      <t xml:space="preserve">주요 갑상선 악성 종양제외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양쪽</t>
    </r>
    <r>
      <rPr>
        <sz val="10"/>
        <rFont val="Arial"/>
        <family val="0"/>
        <charset val="1"/>
      </rPr>
      <t xml:space="preserve">)</t>
    </r>
  </si>
  <si>
    <t xml:space="preserve">K076</t>
  </si>
  <si>
    <r>
      <rPr>
        <sz val="10"/>
        <rFont val="WenQuanYi Zen Hei"/>
        <family val="2"/>
      </rPr>
      <t xml:space="preserve">주요 갑상선 악성 종양제외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한쪽</t>
    </r>
    <r>
      <rPr>
        <sz val="10"/>
        <rFont val="Arial"/>
        <family val="0"/>
        <charset val="1"/>
      </rPr>
      <t xml:space="preserve">)</t>
    </r>
  </si>
  <si>
    <t xml:space="preserve">기타갑상선 수술</t>
  </si>
  <si>
    <t xml:space="preserve">K080</t>
  </si>
  <si>
    <t xml:space="preserve">기타 갑상선 수술</t>
  </si>
  <si>
    <r>
      <rPr>
        <sz val="10"/>
        <rFont val="WenQuanYi Zen Hei"/>
        <family val="2"/>
      </rPr>
      <t xml:space="preserve">기타내분비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영양및 대사장애수술</t>
    </r>
  </si>
  <si>
    <t xml:space="preserve">K091</t>
  </si>
  <si>
    <t xml:space="preserve">복강경을 이용한비만대사수술</t>
  </si>
  <si>
    <t xml:space="preserve">K092</t>
  </si>
  <si>
    <t xml:space="preserve">개복에 의한 비만대사수술</t>
  </si>
  <si>
    <t xml:space="preserve">K490</t>
  </si>
  <si>
    <r>
      <rPr>
        <sz val="10"/>
        <rFont val="WenQuanYi Zen Hei"/>
        <family val="2"/>
      </rPr>
      <t xml:space="preserve">기타 내분비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영양 및대사장애 수술</t>
    </r>
  </si>
  <si>
    <t xml:space="preserve">복막투석도관 삽입술</t>
  </si>
  <si>
    <t xml:space="preserve">L010</t>
  </si>
  <si>
    <t xml:space="preserve">복막투석 도관 삽입술</t>
  </si>
  <si>
    <r>
      <rPr>
        <sz val="10"/>
        <rFont val="WenQuanYi Zen Hei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비뇨기</t>
    </r>
  </si>
  <si>
    <t xml:space="preserve">복막투석용 도관을 삽입하는 수술</t>
  </si>
  <si>
    <t xml:space="preserve">신장 및비뇨기계신생물 수술</t>
  </si>
  <si>
    <t xml:space="preserve">L021</t>
  </si>
  <si>
    <r>
      <rPr>
        <sz val="10"/>
        <rFont val="WenQuanYi Zen Hei"/>
        <family val="2"/>
      </rPr>
      <t xml:space="preserve">주요 신장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신우 및 요관신생물 수술</t>
    </r>
  </si>
  <si>
    <t xml:space="preserve">L022</t>
  </si>
  <si>
    <r>
      <rPr>
        <sz val="10"/>
        <rFont val="WenQuanYi Zen Hei"/>
        <family val="2"/>
      </rPr>
      <t xml:space="preserve">기타 신장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신우 및 요관신생물 수술</t>
    </r>
  </si>
  <si>
    <t xml:space="preserve">L023</t>
  </si>
  <si>
    <t xml:space="preserve">주요 방광 및 골반 신생물수술</t>
  </si>
  <si>
    <t xml:space="preserve">L024</t>
  </si>
  <si>
    <r>
      <rPr>
        <sz val="10"/>
        <rFont val="WenQuanYi Zen Hei"/>
        <family val="2"/>
      </rPr>
      <t xml:space="preserve">기타 방광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골반 및 요도 신생물 수술</t>
    </r>
  </si>
  <si>
    <r>
      <rPr>
        <sz val="10"/>
        <rFont val="WenQuanYi Zen Hei"/>
        <family val="2"/>
      </rPr>
      <t xml:space="preserve">기타 방광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골반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요도 신생물 수술</t>
    </r>
  </si>
  <si>
    <t xml:space="preserve">L025</t>
  </si>
  <si>
    <t xml:space="preserve">경요도 요관 및 방광신생물 수술</t>
  </si>
  <si>
    <t xml:space="preserve">L026</t>
  </si>
  <si>
    <t xml:space="preserve">전립선 신생물 수술</t>
  </si>
  <si>
    <t xml:space="preserve">L027</t>
  </si>
  <si>
    <t xml:space="preserve">복강경을 이용한 신장 및비뇨기계 신생물 수술</t>
  </si>
  <si>
    <t xml:space="preserve">신장 및신우 수술</t>
  </si>
  <si>
    <t xml:space="preserve">L031</t>
  </si>
  <si>
    <t xml:space="preserve">복강경을 이용한 신장 및신우 수술</t>
  </si>
  <si>
    <t xml:space="preserve">L032</t>
  </si>
  <si>
    <t xml:space="preserve">개복에 의한 신장 및 신우수술</t>
  </si>
  <si>
    <t xml:space="preserve">L033</t>
  </si>
  <si>
    <r>
      <rPr>
        <sz val="10"/>
        <rFont val="WenQuanYi Zen Hei"/>
        <family val="2"/>
      </rPr>
      <t xml:space="preserve">경피적 신장 및 신우수술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한쪽</t>
    </r>
  </si>
  <si>
    <t xml:space="preserve">L034</t>
  </si>
  <si>
    <r>
      <rPr>
        <sz val="10"/>
        <rFont val="WenQuanYi Zen Hei"/>
        <family val="2"/>
      </rPr>
      <t xml:space="preserve">경피적 신장 및 신우수술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양쪽</t>
    </r>
  </si>
  <si>
    <t xml:space="preserve">요관 수술</t>
  </si>
  <si>
    <t xml:space="preserve">L040</t>
  </si>
  <si>
    <t xml:space="preserve">요관에 대한 수술</t>
  </si>
  <si>
    <t xml:space="preserve">방광 수술</t>
  </si>
  <si>
    <t xml:space="preserve">L051</t>
  </si>
  <si>
    <t xml:space="preserve">개복에 의한 방광 수술</t>
  </si>
  <si>
    <t xml:space="preserve">L052</t>
  </si>
  <si>
    <t xml:space="preserve">경피적 방광 수술</t>
  </si>
  <si>
    <t xml:space="preserve">L053</t>
  </si>
  <si>
    <t xml:space="preserve">경요도 방광 수술</t>
  </si>
  <si>
    <t xml:space="preserve">전립선수술</t>
  </si>
  <si>
    <t xml:space="preserve">L060</t>
  </si>
  <si>
    <t xml:space="preserve">전립선 수술</t>
  </si>
  <si>
    <t xml:space="preserve">전립선에 대한 수술</t>
  </si>
  <si>
    <t xml:space="preserve">요도 수술</t>
  </si>
  <si>
    <t xml:space="preserve">L071</t>
  </si>
  <si>
    <t xml:space="preserve">주요 요도 수술</t>
  </si>
  <si>
    <t xml:space="preserve">L072</t>
  </si>
  <si>
    <t xml:space="preserve">요도경하 요도 수술</t>
  </si>
  <si>
    <t xml:space="preserve">L073</t>
  </si>
  <si>
    <t xml:space="preserve">기타 요도 수술</t>
  </si>
  <si>
    <t xml:space="preserve">L074</t>
  </si>
  <si>
    <t xml:space="preserve">복잡 요실금 수술</t>
  </si>
  <si>
    <t xml:space="preserve">L075</t>
  </si>
  <si>
    <t xml:space="preserve">단순 요실금 수술</t>
  </si>
  <si>
    <t xml:space="preserve">요로 결석수술</t>
  </si>
  <si>
    <t xml:space="preserve">L081</t>
  </si>
  <si>
    <t xml:space="preserve">복강경을 이용한 요로결석 수술</t>
  </si>
  <si>
    <t xml:space="preserve">L082</t>
  </si>
  <si>
    <r>
      <rPr>
        <sz val="10"/>
        <rFont val="WenQuanYi Zen Hei"/>
        <family val="2"/>
      </rPr>
      <t xml:space="preserve">신장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신우 및 요관 결석수술</t>
    </r>
  </si>
  <si>
    <t xml:space="preserve">L083</t>
  </si>
  <si>
    <t xml:space="preserve">경요도적 요관 결석 수술</t>
  </si>
  <si>
    <t xml:space="preserve">L084</t>
  </si>
  <si>
    <t xml:space="preserve">방광 및 요도 결석 수술</t>
  </si>
  <si>
    <t xml:space="preserve">L085</t>
  </si>
  <si>
    <t xml:space="preserve">연성내시경하 수술</t>
  </si>
  <si>
    <t xml:space="preserve">요로결석제거를 위한체외충격파쇄석술</t>
  </si>
  <si>
    <t xml:space="preserve">L091</t>
  </si>
  <si>
    <r>
      <rPr>
        <sz val="10"/>
        <rFont val="WenQuanYi Zen Hei"/>
        <family val="2"/>
      </rPr>
      <t xml:space="preserve">요로결석 제거를 위한체외충격파쇄석술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복잡</t>
    </r>
  </si>
  <si>
    <t xml:space="preserve">L092</t>
  </si>
  <si>
    <r>
      <rPr>
        <sz val="10"/>
        <rFont val="WenQuanYi Zen Hei"/>
        <family val="2"/>
      </rPr>
      <t xml:space="preserve">요로결석 제거를 위한체외충격파쇄석술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단순</t>
    </r>
  </si>
  <si>
    <t xml:space="preserve">신장 및비뇨기 질환의신경 자극기설치술</t>
  </si>
  <si>
    <t xml:space="preserve">L101</t>
  </si>
  <si>
    <t xml:space="preserve">신장 및 비뇨기 질환의 신경 자극기 설치술</t>
  </si>
  <si>
    <t xml:space="preserve">신경자극기 설치술</t>
  </si>
  <si>
    <t xml:space="preserve">L102</t>
  </si>
  <si>
    <t xml:space="preserve">신장 및 비뇨기 질환의 시험적 거치술</t>
  </si>
  <si>
    <t xml:space="preserve">시험적 거치술</t>
  </si>
  <si>
    <t xml:space="preserve">요로 질환수술</t>
  </si>
  <si>
    <t xml:space="preserve">L111</t>
  </si>
  <si>
    <t xml:space="preserve">경요도 요로 질환 수술</t>
  </si>
  <si>
    <t xml:space="preserve">L112</t>
  </si>
  <si>
    <t xml:space="preserve">외상 및 감염성 요로질환수술</t>
  </si>
  <si>
    <t xml:space="preserve">기타 신장및 비뇨기질환의 경피적시술</t>
  </si>
  <si>
    <t xml:space="preserve">L120</t>
  </si>
  <si>
    <t xml:space="preserve">기타 신장 및 비뇨기 질환의 경피적 시술</t>
  </si>
  <si>
    <r>
      <rPr>
        <sz val="10"/>
        <rFont val="WenQuanYi Zen Hei"/>
        <family val="2"/>
      </rPr>
      <t xml:space="preserve">기타 경피적 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비뇨기 시술</t>
    </r>
  </si>
  <si>
    <t xml:space="preserve">기타 신장및 비뇨기계시술</t>
  </si>
  <si>
    <t xml:space="preserve">L131</t>
  </si>
  <si>
    <t xml:space="preserve">혈액투석을 위한 단락또는 동정맥루 조성술</t>
  </si>
  <si>
    <t xml:space="preserve">L132</t>
  </si>
  <si>
    <r>
      <rPr>
        <sz val="10"/>
        <rFont val="WenQuanYi Zen Hei"/>
        <family val="2"/>
      </rPr>
      <t xml:space="preserve">혈액투석 동정맥루의경피적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복잡</t>
    </r>
  </si>
  <si>
    <t xml:space="preserve">L133</t>
  </si>
  <si>
    <r>
      <rPr>
        <sz val="10"/>
        <rFont val="WenQuanYi Zen Hei"/>
        <family val="2"/>
      </rPr>
      <t xml:space="preserve">혈액투석 동정맥루의경피적 수술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단순</t>
    </r>
  </si>
  <si>
    <t xml:space="preserve">L134</t>
  </si>
  <si>
    <t xml:space="preserve">기타 신장 및 비뇨기계 시술</t>
  </si>
  <si>
    <r>
      <rPr>
        <sz val="10"/>
        <rFont val="WenQuanYi Zen Hei"/>
        <family val="2"/>
      </rPr>
      <t xml:space="preserve">기타 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비뇨기 시술</t>
    </r>
  </si>
  <si>
    <t xml:space="preserve">방광요도경 시술</t>
  </si>
  <si>
    <t xml:space="preserve">L510</t>
  </si>
  <si>
    <t xml:space="preserve">방광요도경을 이용한 시술</t>
  </si>
  <si>
    <t xml:space="preserve">신장 및비뇨기 질환의경피적 배액술</t>
  </si>
  <si>
    <t xml:space="preserve">L520</t>
  </si>
  <si>
    <t xml:space="preserve">신장 및 비뇨기 질환의 경피적 배액술</t>
  </si>
  <si>
    <r>
      <rPr>
        <sz val="10"/>
        <rFont val="WenQuanYi Zen Hei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비뇨기 농양 등 경피적 배액</t>
    </r>
  </si>
  <si>
    <t xml:space="preserve">신장 및비뇨기 질환의경피적 경화술</t>
  </si>
  <si>
    <t xml:space="preserve">L530</t>
  </si>
  <si>
    <t xml:space="preserve">신장 및 비뇨기 질환의 경피적 경화술</t>
  </si>
  <si>
    <t xml:space="preserve">신장 낭종 등 경피적 경화술</t>
  </si>
  <si>
    <t xml:space="preserve">남성 골반수술</t>
  </si>
  <si>
    <t xml:space="preserve">M010</t>
  </si>
  <si>
    <t xml:space="preserve">남성 골반 수술</t>
  </si>
  <si>
    <t xml:space="preserve">남성생식기</t>
  </si>
  <si>
    <t xml:space="preserve">전립선적출술</t>
  </si>
  <si>
    <t xml:space="preserve">M021</t>
  </si>
  <si>
    <t xml:space="preserve">주요 전립선 적출술</t>
  </si>
  <si>
    <r>
      <rPr>
        <sz val="10"/>
        <rFont val="WenQuanYi Zen Hei"/>
        <family val="2"/>
      </rPr>
      <t xml:space="preserve">전립선을 적출하는 주요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대개 전립선암</t>
    </r>
    <r>
      <rPr>
        <sz val="10"/>
        <rFont val="Arial"/>
        <family val="0"/>
        <charset val="1"/>
      </rPr>
      <t xml:space="preserve">)</t>
    </r>
  </si>
  <si>
    <t xml:space="preserve">M022</t>
  </si>
  <si>
    <t xml:space="preserve">기타 전립선 적출술</t>
  </si>
  <si>
    <t xml:space="preserve">기타전립선 수술</t>
  </si>
  <si>
    <t xml:space="preserve">M030</t>
  </si>
  <si>
    <t xml:space="preserve">기타 전립선 수술</t>
  </si>
  <si>
    <t xml:space="preserve">음경 수술</t>
  </si>
  <si>
    <t xml:space="preserve">M041</t>
  </si>
  <si>
    <t xml:space="preserve">복잡 음경 수술</t>
  </si>
  <si>
    <t xml:space="preserve">M042</t>
  </si>
  <si>
    <t xml:space="preserve">단순 음경 수술</t>
  </si>
  <si>
    <t xml:space="preserve">M043</t>
  </si>
  <si>
    <t xml:space="preserve">페이로니 병 수술</t>
  </si>
  <si>
    <t xml:space="preserve">포경수술</t>
  </si>
  <si>
    <t xml:space="preserve">M050</t>
  </si>
  <si>
    <t xml:space="preserve">M061</t>
  </si>
  <si>
    <t xml:space="preserve">M062</t>
  </si>
  <si>
    <t xml:space="preserve">단순 요도 수술</t>
  </si>
  <si>
    <t xml:space="preserve">음낭 수술</t>
  </si>
  <si>
    <t xml:space="preserve">M071</t>
  </si>
  <si>
    <t xml:space="preserve">복잡 음낭 수술</t>
  </si>
  <si>
    <t xml:space="preserve">M072</t>
  </si>
  <si>
    <t xml:space="preserve">단순 음낭 수술</t>
  </si>
  <si>
    <t xml:space="preserve">고환 수술</t>
  </si>
  <si>
    <t xml:space="preserve">M081</t>
  </si>
  <si>
    <t xml:space="preserve">복강경을 이용한 복잡고환 수술</t>
  </si>
  <si>
    <t xml:space="preserve">M082</t>
  </si>
  <si>
    <t xml:space="preserve">개복에 의한 복잡 고환수술</t>
  </si>
  <si>
    <t xml:space="preserve">M083</t>
  </si>
  <si>
    <t xml:space="preserve">단순 고환 수술</t>
  </si>
  <si>
    <t xml:space="preserve">기타 고환수술 및생식기 적출술</t>
  </si>
  <si>
    <t xml:space="preserve">M091</t>
  </si>
  <si>
    <t xml:space="preserve">복강경을 이용한정계정맥류</t>
  </si>
  <si>
    <t xml:space="preserve">M092</t>
  </si>
  <si>
    <t xml:space="preserve">개복에 의한 정계정맥류</t>
  </si>
  <si>
    <t xml:space="preserve">M093</t>
  </si>
  <si>
    <t xml:space="preserve">고환 및 생식기 적출술</t>
  </si>
  <si>
    <r>
      <rPr>
        <sz val="10"/>
        <rFont val="WenQuanYi Zen Hei"/>
        <family val="2"/>
      </rPr>
      <t xml:space="preserve">고환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생식기 적출술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대개 악성</t>
    </r>
    <r>
      <rPr>
        <sz val="10"/>
        <rFont val="Arial"/>
        <family val="0"/>
        <charset val="1"/>
      </rPr>
      <t xml:space="preserve">)</t>
    </r>
  </si>
  <si>
    <t xml:space="preserve">기타남성생식기계시술</t>
  </si>
  <si>
    <t xml:space="preserve">M101</t>
  </si>
  <si>
    <r>
      <rPr>
        <sz val="10"/>
        <rFont val="WenQuanYi Zen Hei"/>
        <family val="2"/>
      </rPr>
      <t xml:space="preserve">기타 남성생식기계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</si>
  <si>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악성 관련 남성생식기 시술</t>
  </si>
  <si>
    <t xml:space="preserve">M102</t>
  </si>
  <si>
    <r>
      <rPr>
        <sz val="10"/>
        <rFont val="WenQuanYi Zen Hei"/>
        <family val="2"/>
      </rPr>
      <t xml:space="preserve">기타 남성생식기계 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</si>
  <si>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기타 남성생식기 시술</t>
  </si>
  <si>
    <t xml:space="preserve">M500</t>
  </si>
  <si>
    <r>
      <rPr>
        <sz val="10"/>
        <rFont val="WenQuanYi Zen Hei"/>
        <family val="2"/>
      </rPr>
      <t xml:space="preserve">자궁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악성종양의경우</t>
    </r>
    <r>
      <rPr>
        <sz val="10"/>
        <rFont val="Arial"/>
        <family val="0"/>
        <charset val="1"/>
      </rPr>
      <t xml:space="preserve">)</t>
    </r>
  </si>
  <si>
    <t xml:space="preserve">N011</t>
  </si>
  <si>
    <r>
      <rPr>
        <sz val="10"/>
        <rFont val="WenQuanYi Zen Hei"/>
        <family val="2"/>
      </rPr>
      <t xml:space="preserve">복강경을 이용한 자궁수술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</si>
  <si>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여성생식기</t>
  </si>
  <si>
    <t xml:space="preserve">N012</t>
  </si>
  <si>
    <r>
      <rPr>
        <sz val="10"/>
        <rFont val="WenQuanYi Zen Hei"/>
        <family val="2"/>
      </rPr>
      <t xml:space="preserve">개복에 의한 자궁수술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</si>
  <si>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주요자궁절제술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</si>
  <si>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N021</t>
  </si>
  <si>
    <r>
      <rPr>
        <sz val="10"/>
        <rFont val="WenQuanYi Zen Hei"/>
        <family val="2"/>
      </rPr>
      <t xml:space="preserve">복강경을 이용한 주요자궁절제술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</si>
  <si>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N022</t>
  </si>
  <si>
    <r>
      <rPr>
        <sz val="10"/>
        <rFont val="WenQuanYi Zen Hei"/>
        <family val="2"/>
      </rPr>
      <t xml:space="preserve">개복에 의한 주요자궁절제술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</si>
  <si>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단순 자궁수술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</si>
  <si>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N031</t>
  </si>
  <si>
    <r>
      <rPr>
        <sz val="10"/>
        <rFont val="WenQuanYi Zen Hei"/>
        <family val="2"/>
      </rPr>
      <t xml:space="preserve">복강경을 이용한 단순자궁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</si>
  <si>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N032</t>
  </si>
  <si>
    <r>
      <rPr>
        <sz val="10"/>
        <rFont val="WenQuanYi Zen Hei"/>
        <family val="2"/>
      </rPr>
      <t xml:space="preserve">개복에 의한 단순 자궁수술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</si>
  <si>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난소 및부속기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악성종양의경우</t>
    </r>
    <r>
      <rPr>
        <sz val="10"/>
        <rFont val="Arial"/>
        <family val="0"/>
        <charset val="1"/>
      </rPr>
      <t xml:space="preserve">)</t>
    </r>
  </si>
  <si>
    <t xml:space="preserve">N041</t>
  </si>
  <si>
    <r>
      <rPr>
        <sz val="10"/>
        <rFont val="WenQuanYi Zen Hei"/>
        <family val="2"/>
      </rPr>
      <t xml:space="preserve">복강경을 이용한 난소 및부속기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악성종양의경우</t>
    </r>
    <r>
      <rPr>
        <sz val="10"/>
        <rFont val="Arial"/>
        <family val="0"/>
        <charset val="1"/>
      </rPr>
      <t xml:space="preserve">)</t>
    </r>
  </si>
  <si>
    <t xml:space="preserve">N042</t>
  </si>
  <si>
    <r>
      <rPr>
        <sz val="10"/>
        <rFont val="WenQuanYi Zen Hei"/>
        <family val="2"/>
      </rPr>
      <t xml:space="preserve">개복에 의한 난소 및부속기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악성종양의경우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</si>
  <si>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난소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</si>
  <si>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N051</t>
  </si>
  <si>
    <r>
      <rPr>
        <sz val="10"/>
        <rFont val="WenQuanYi Zen Hei"/>
        <family val="2"/>
      </rPr>
      <t xml:space="preserve">복강경을 이용한 난소수술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</si>
  <si>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N052</t>
  </si>
  <si>
    <r>
      <rPr>
        <sz val="10"/>
        <rFont val="WenQuanYi Zen Hei"/>
        <family val="2"/>
      </rPr>
      <t xml:space="preserve">개복에 의한 난소수술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</si>
  <si>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부속기수술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</si>
  <si>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N061</t>
  </si>
  <si>
    <r>
      <rPr>
        <sz val="10"/>
        <rFont val="WenQuanYi Zen Hei"/>
        <family val="2"/>
      </rPr>
      <t xml:space="preserve">복강경을 이용한 부속기수술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</si>
  <si>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N062</t>
  </si>
  <si>
    <r>
      <rPr>
        <sz val="10"/>
        <rFont val="WenQuanYi Zen Hei"/>
        <family val="2"/>
      </rPr>
      <t xml:space="preserve">개복에 의한 부속기수술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</si>
  <si>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자궁경부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 및 외음부수술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</si>
  <si>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N071</t>
  </si>
  <si>
    <r>
      <rPr>
        <sz val="10"/>
        <rFont val="WenQuanYi Zen Hei"/>
        <family val="2"/>
      </rPr>
      <t xml:space="preserve">복강경을 이용한자궁경부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 및 외음부수술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</si>
  <si>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t xml:space="preserve">N072</t>
  </si>
  <si>
    <r>
      <rPr>
        <sz val="10"/>
        <rFont val="WenQuanYi Zen Hei"/>
        <family val="2"/>
      </rPr>
      <t xml:space="preserve">개복에 의한 자궁경부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질및 외음부수술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악성종양의 경우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</si>
  <si>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자궁경부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 및 외음부수술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악성종양제외</t>
    </r>
    <r>
      <rPr>
        <sz val="10"/>
        <rFont val="Arial"/>
        <family val="0"/>
        <charset val="1"/>
      </rPr>
      <t xml:space="preserve">)</t>
    </r>
  </si>
  <si>
    <t xml:space="preserve">N081</t>
  </si>
  <si>
    <r>
      <rPr>
        <sz val="10"/>
        <rFont val="WenQuanYi Zen Hei"/>
        <family val="2"/>
      </rPr>
      <t xml:space="preserve">복강경을 이용한자궁경부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 및 외음부수술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</si>
  <si>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N082</t>
  </si>
  <si>
    <r>
      <rPr>
        <sz val="10"/>
        <rFont val="WenQuanYi Zen Hei"/>
        <family val="2"/>
      </rPr>
      <t xml:space="preserve">자궁경부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 및 외음부수술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악성종양 제외</t>
    </r>
    <r>
      <rPr>
        <sz val="10"/>
        <rFont val="Arial"/>
        <family val="0"/>
        <charset val="1"/>
      </rPr>
      <t xml:space="preserve">)</t>
    </r>
  </si>
  <si>
    <t xml:space="preserve">기타 골반수술</t>
  </si>
  <si>
    <t xml:space="preserve">N091</t>
  </si>
  <si>
    <t xml:space="preserve">복강경을 이용한 기타골반 수술</t>
  </si>
  <si>
    <t xml:space="preserve">N092</t>
  </si>
  <si>
    <t xml:space="preserve">개복에 의한 기타 골반수술</t>
  </si>
  <si>
    <t xml:space="preserve">주요여성생식기계복원술</t>
  </si>
  <si>
    <t xml:space="preserve">N101</t>
  </si>
  <si>
    <t xml:space="preserve">복강경을 이용한 주요여성생식기계 복원술</t>
  </si>
  <si>
    <t xml:space="preserve">N102</t>
  </si>
  <si>
    <t xml:space="preserve">개복에 의한 주요여성생식기계 복원술</t>
  </si>
  <si>
    <t xml:space="preserve">기타여성생식기계복원술</t>
  </si>
  <si>
    <t xml:space="preserve">N110</t>
  </si>
  <si>
    <t xml:space="preserve">기타 여성생식기계 복원술</t>
  </si>
  <si>
    <t xml:space="preserve">기타 여성생식기 복원술</t>
  </si>
  <si>
    <t xml:space="preserve">복강경수술 및 기타난관 결찰술</t>
  </si>
  <si>
    <t xml:space="preserve">N121</t>
  </si>
  <si>
    <t xml:space="preserve">복강경 수술</t>
  </si>
  <si>
    <r>
      <rPr>
        <sz val="10"/>
        <rFont val="WenQuanYi Zen Hei"/>
        <family val="2"/>
      </rPr>
      <t xml:space="preserve">복강경 수술 — 구분 이름</t>
    </r>
    <r>
      <rPr>
        <sz val="10"/>
        <rFont val="Arial"/>
        <family val="0"/>
        <charset val="1"/>
      </rPr>
      <t xml:space="preserve">(239. </t>
    </r>
    <r>
      <rPr>
        <sz val="10"/>
        <rFont val="WenQuanYi Zen Hei"/>
        <family val="2"/>
      </rPr>
      <t xml:space="preserve">복강경수술 및 기타난관 결찰술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달리 보장 코드는 </t>
    </r>
    <r>
      <rPr>
        <sz val="10"/>
        <rFont val="Arial"/>
        <family val="0"/>
        <charset val="1"/>
      </rPr>
      <t xml:space="preserve">N121 </t>
    </r>
    <r>
      <rPr>
        <sz val="10"/>
        <rFont val="WenQuanYi Zen Hei"/>
        <family val="2"/>
      </rPr>
      <t xml:space="preserve">하나뿐</t>
    </r>
  </si>
  <si>
    <t xml:space="preserve">자궁경수술</t>
  </si>
  <si>
    <t xml:space="preserve">N130</t>
  </si>
  <si>
    <t xml:space="preserve">자궁경 수술</t>
  </si>
  <si>
    <t xml:space="preserve">자궁경을 이용한 수술</t>
  </si>
  <si>
    <t xml:space="preserve">자궁소파술</t>
  </si>
  <si>
    <t xml:space="preserve">N141</t>
  </si>
  <si>
    <t xml:space="preserve">치료적 자궁소파술</t>
  </si>
  <si>
    <t xml:space="preserve">기타여성생식기계수술</t>
  </si>
  <si>
    <t xml:space="preserve">N161</t>
  </si>
  <si>
    <t xml:space="preserve">복강경을 이용한 기타여성생식기계 수술</t>
  </si>
  <si>
    <t xml:space="preserve">N162</t>
  </si>
  <si>
    <t xml:space="preserve">개복에 의한 기타여성생식기계 수술</t>
  </si>
  <si>
    <t xml:space="preserve">여성생식기계 경피적혈관 수술</t>
  </si>
  <si>
    <t xml:space="preserve">N180</t>
  </si>
  <si>
    <t xml:space="preserve">여성생식기계 경피적 혈관 수술</t>
  </si>
  <si>
    <t xml:space="preserve">자궁근종 색전술 등 경피적 혈관수술</t>
  </si>
  <si>
    <r>
      <rPr>
        <sz val="10"/>
        <rFont val="WenQuanYi Zen Hei"/>
        <family val="2"/>
      </rPr>
      <t xml:space="preserve">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단태아</t>
    </r>
    <r>
      <rPr>
        <sz val="10"/>
        <rFont val="Arial"/>
        <family val="0"/>
        <charset val="1"/>
      </rPr>
      <t xml:space="preserve">)</t>
    </r>
  </si>
  <si>
    <t xml:space="preserve">O011</t>
  </si>
  <si>
    <r>
      <rPr>
        <sz val="10"/>
        <rFont val="WenQuanYi Zen Hei"/>
        <family val="2"/>
      </rPr>
      <t xml:space="preserve">일반제왕절개분만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단태아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</si>
  <si>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산과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임신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분만</t>
    </r>
    <r>
      <rPr>
        <sz val="10"/>
        <rFont val="Arial"/>
        <family val="0"/>
        <charset val="1"/>
      </rPr>
      <t xml:space="preserve">)</t>
    </r>
  </si>
  <si>
    <t xml:space="preserve">O012</t>
  </si>
  <si>
    <r>
      <rPr>
        <sz val="10"/>
        <rFont val="WenQuanYi Zen Hei"/>
        <family val="2"/>
      </rPr>
      <t xml:space="preserve">고위험제왕절개분만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단태아</t>
    </r>
    <r>
      <rPr>
        <sz val="10"/>
        <rFont val="Arial"/>
        <family val="0"/>
        <charset val="1"/>
      </rPr>
      <t xml:space="preserve">)</t>
    </r>
  </si>
  <si>
    <t xml:space="preserve">O013</t>
  </si>
  <si>
    <r>
      <rPr>
        <sz val="10"/>
        <rFont val="WenQuanYi Zen Hei"/>
        <family val="2"/>
      </rPr>
      <t xml:space="preserve">질식분만 시도 후제왕절개분만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단태아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</si>
  <si>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다태아</t>
    </r>
    <r>
      <rPr>
        <sz val="10"/>
        <rFont val="Arial"/>
        <family val="0"/>
        <charset val="1"/>
      </rPr>
      <t xml:space="preserve">)</t>
    </r>
  </si>
  <si>
    <t xml:space="preserve">O022</t>
  </si>
  <si>
    <r>
      <rPr>
        <sz val="10"/>
        <rFont val="WenQuanYi Zen Hei"/>
        <family val="2"/>
      </rPr>
      <t xml:space="preserve">질식분만 시도 후제왕절개분만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다태아</t>
    </r>
    <r>
      <rPr>
        <sz val="10"/>
        <rFont val="Arial"/>
        <family val="0"/>
        <charset val="1"/>
      </rPr>
      <t xml:space="preserve">)</t>
    </r>
  </si>
  <si>
    <t xml:space="preserve">O023</t>
  </si>
  <si>
    <r>
      <rPr>
        <sz val="10"/>
        <rFont val="WenQuanYi Zen Hei"/>
        <family val="2"/>
      </rPr>
      <t xml:space="preserve">일반제왕절개분만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다태아</t>
    </r>
    <r>
      <rPr>
        <sz val="10"/>
        <rFont val="Arial"/>
        <family val="0"/>
        <charset val="1"/>
      </rPr>
      <t xml:space="preserve">)</t>
    </r>
  </si>
  <si>
    <t xml:space="preserve">O024</t>
  </si>
  <si>
    <r>
      <rPr>
        <sz val="10"/>
        <rFont val="WenQuanYi Zen Hei"/>
        <family val="2"/>
      </rPr>
      <t xml:space="preserve">고위험제왕절개분만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다태아</t>
    </r>
    <r>
      <rPr>
        <sz val="10"/>
        <rFont val="Arial"/>
        <family val="0"/>
        <charset val="1"/>
      </rPr>
      <t xml:space="preserve">)</t>
    </r>
  </si>
  <si>
    <t xml:space="preserve">자궁외임신 주요수술</t>
  </si>
  <si>
    <t xml:space="preserve">O081</t>
  </si>
  <si>
    <t xml:space="preserve">복강경을 이용한 자궁외임신 주요 수술</t>
  </si>
  <si>
    <t xml:space="preserve">O082</t>
  </si>
  <si>
    <t xml:space="preserve">개복에 의한 자궁외 임신주요 수술</t>
  </si>
  <si>
    <t xml:space="preserve">자궁외임신 기타수술</t>
  </si>
  <si>
    <t xml:space="preserve">O091</t>
  </si>
  <si>
    <t xml:space="preserve">복강경을 이용한 자궁외임신 기타 수술</t>
  </si>
  <si>
    <t xml:space="preserve">O092</t>
  </si>
  <si>
    <t xml:space="preserve">개복에 의한 자궁외 임신기타 수술</t>
  </si>
  <si>
    <t xml:space="preserve">자궁경관봉축술</t>
  </si>
  <si>
    <t xml:space="preserve">O102</t>
  </si>
  <si>
    <t xml:space="preserve">치료적 자궁경관봉축술</t>
  </si>
  <si>
    <t xml:space="preserve">조산 예방 자궁경관봉축술</t>
  </si>
  <si>
    <r>
      <rPr>
        <sz val="10"/>
        <rFont val="WenQuanYi Zen Hei"/>
        <family val="2"/>
      </rPr>
      <t xml:space="preserve">분만 및유산 후관련장애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수술시행</t>
    </r>
    <r>
      <rPr>
        <sz val="10"/>
        <rFont val="Arial"/>
        <family val="0"/>
        <charset val="1"/>
      </rPr>
      <t xml:space="preserve">)</t>
    </r>
  </si>
  <si>
    <t xml:space="preserve">O110</t>
  </si>
  <si>
    <r>
      <rPr>
        <sz val="10"/>
        <rFont val="WenQuanYi Zen Hei"/>
        <family val="2"/>
      </rPr>
      <t xml:space="preserve">분만 및 유산 후 관련장애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수술 시행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</si>
  <si>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분만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유산 후 관련장애 수술</t>
    </r>
  </si>
  <si>
    <t xml:space="preserve">자궁소파술 및흡인소파술</t>
  </si>
  <si>
    <t xml:space="preserve">O120</t>
  </si>
  <si>
    <t xml:space="preserve">자궁소파술 및 흡인소파술</t>
  </si>
  <si>
    <r>
      <rPr>
        <sz val="10"/>
        <rFont val="WenQuanYi Zen Hei"/>
        <family val="2"/>
      </rPr>
      <t xml:space="preserve">유산 등 자궁소파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흡인소파술</t>
    </r>
  </si>
  <si>
    <t xml:space="preserve">분만 및유산 관련자궁적출술</t>
  </si>
  <si>
    <t xml:space="preserve">O130</t>
  </si>
  <si>
    <t xml:space="preserve">분만 및 유산 관련 자궁적출술</t>
  </si>
  <si>
    <r>
      <rPr>
        <sz val="10"/>
        <rFont val="WenQuanYi Zen Hei"/>
        <family val="2"/>
      </rPr>
      <t xml:space="preserve">분만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유산 관련 자궁적출술</t>
    </r>
  </si>
  <si>
    <t xml:space="preserve">비장절제술</t>
  </si>
  <si>
    <t xml:space="preserve">Q012</t>
  </si>
  <si>
    <t xml:space="preserve">성인의복강경을이용한비장절제술</t>
  </si>
  <si>
    <t xml:space="preserve">비장</t>
  </si>
  <si>
    <t xml:space="preserve">Q013</t>
  </si>
  <si>
    <t xml:space="preserve">성인의개복에의한비장절제술</t>
  </si>
  <si>
    <r>
      <rPr>
        <sz val="10"/>
        <rFont val="WenQuanYi Zen Hei"/>
        <family val="2"/>
      </rPr>
      <t xml:space="preserve">림프종 및백혈병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주요수술 시행</t>
    </r>
    <r>
      <rPr>
        <sz val="10"/>
        <rFont val="Arial"/>
        <family val="0"/>
        <charset val="1"/>
      </rPr>
      <t xml:space="preserve">)</t>
    </r>
  </si>
  <si>
    <t xml:space="preserve">R010</t>
  </si>
  <si>
    <r>
      <rPr>
        <sz val="10"/>
        <rFont val="WenQuanYi Zen Hei"/>
        <family val="2"/>
      </rPr>
      <t xml:space="preserve">림프종 및 백혈병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주요수술 시행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</si>
  <si>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림프종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혈액</t>
    </r>
  </si>
  <si>
    <r>
      <rPr>
        <sz val="10"/>
        <rFont val="WenQuanYi Zen Hei"/>
        <family val="2"/>
      </rPr>
      <t xml:space="preserve">림프종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백혈병 관련 주요 수술</t>
    </r>
  </si>
  <si>
    <r>
      <rPr>
        <sz val="10"/>
        <rFont val="WenQuanYi Zen Hei"/>
        <family val="2"/>
      </rPr>
      <t xml:space="preserve">기타신생물질환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주요수술 시행</t>
    </r>
    <r>
      <rPr>
        <sz val="10"/>
        <rFont val="Arial"/>
        <family val="0"/>
        <charset val="1"/>
      </rPr>
      <t xml:space="preserve">)</t>
    </r>
  </si>
  <si>
    <t xml:space="preserve">R020</t>
  </si>
  <si>
    <r>
      <rPr>
        <sz val="10"/>
        <rFont val="WenQuanYi Zen Hei"/>
        <family val="2"/>
      </rPr>
      <t xml:space="preserve">기타 신생물 질환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주요수술 시행</t>
    </r>
    <r>
      <rPr>
        <sz val="10"/>
        <rFont val="Arial"/>
        <family val="0"/>
        <charset val="1"/>
      </rPr>
      <t xml:space="preserve">)</t>
    </r>
  </si>
  <si>
    <t xml:space="preserve">기타 신생물 관련 주요 수술</t>
  </si>
  <si>
    <t xml:space="preserve">다발성중요 외상치료목적의개두술</t>
  </si>
  <si>
    <t xml:space="preserve">W010</t>
  </si>
  <si>
    <t xml:space="preserve">다발성 중요 외상 치료목적의 개두술</t>
  </si>
  <si>
    <t xml:space="preserve">다발성 외상</t>
  </si>
  <si>
    <t xml:space="preserve">다발성 중증외상의 치료 목적 개두술</t>
  </si>
  <si>
    <t xml:space="preserve">다발성중요 외상치료목적의근골격계주요 수술</t>
  </si>
  <si>
    <t xml:space="preserve">W020</t>
  </si>
  <si>
    <t xml:space="preserve">다발성 중요 외상 치료목적의 근골격계 주요 시술</t>
  </si>
  <si>
    <t xml:space="preserve">다발성 중증외상의 근골격계 주요 수술</t>
  </si>
  <si>
    <t xml:space="preserve">다발성중요 외상치료목적의복부 수술</t>
  </si>
  <si>
    <t xml:space="preserve">W030</t>
  </si>
  <si>
    <t xml:space="preserve">다발성 중요 외상 치료목적의 복부 수술</t>
  </si>
  <si>
    <t xml:space="preserve">다발성 중증외상의 복부 수술</t>
  </si>
  <si>
    <t xml:space="preserve">다발성중요 외상치료목적의기타 수술</t>
  </si>
  <si>
    <t xml:space="preserve">W040</t>
  </si>
  <si>
    <t xml:space="preserve">다발성 중요 외상 치료목적의 기타 수술</t>
  </si>
  <si>
    <t xml:space="preserve">다발성 중증외상의 기타 수술</t>
  </si>
  <si>
    <t xml:space="preserve">하지손상의미세혈관조직이식 및피부이식</t>
  </si>
  <si>
    <t xml:space="preserve">X011</t>
  </si>
  <si>
    <t xml:space="preserve">하지 손상의 미세혈관 조직이식</t>
  </si>
  <si>
    <r>
      <rPr>
        <sz val="10"/>
        <rFont val="WenQuanYi Zen Hei"/>
        <family val="2"/>
      </rPr>
      <t xml:space="preserve">손상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외상</t>
    </r>
    <r>
      <rPr>
        <sz val="10"/>
        <rFont val="Arial"/>
        <family val="0"/>
        <charset val="1"/>
      </rPr>
      <t xml:space="preserve">)</t>
    </r>
  </si>
  <si>
    <t xml:space="preserve">X012</t>
  </si>
  <si>
    <t xml:space="preserve">하지 손상의 국소 피판 및 피부이식</t>
  </si>
  <si>
    <r>
      <rPr>
        <sz val="10"/>
        <rFont val="WenQuanYi Zen Hei"/>
        <family val="2"/>
      </rPr>
      <t xml:space="preserve">하지 손상의 국소피판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피부이식</t>
    </r>
  </si>
  <si>
    <t xml:space="preserve">수부손상의미세혈관조직이식 및피부이식</t>
  </si>
  <si>
    <t xml:space="preserve">X021</t>
  </si>
  <si>
    <t xml:space="preserve">수부 손상의 미세혈관 조직이식</t>
  </si>
  <si>
    <t xml:space="preserve">손 손상의 미세혈관 조직이식</t>
  </si>
  <si>
    <t xml:space="preserve">X022</t>
  </si>
  <si>
    <t xml:space="preserve">수부 손상의 국소 피판 및 피부이식</t>
  </si>
  <si>
    <r>
      <rPr>
        <sz val="10"/>
        <rFont val="WenQuanYi Zen Hei"/>
        <family val="2"/>
      </rPr>
      <t xml:space="preserve">손 손상의 국소피판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피부이식</t>
    </r>
  </si>
  <si>
    <t xml:space="preserve">기타손상의미세혈관조직이식 및피부이식</t>
  </si>
  <si>
    <t xml:space="preserve">X030</t>
  </si>
  <si>
    <t xml:space="preserve">기타 손상의 미세혈관 조직이식 및 피부이식</t>
  </si>
  <si>
    <r>
      <rPr>
        <sz val="10"/>
        <rFont val="WenQuanYi Zen Hei"/>
        <family val="2"/>
      </rPr>
      <t xml:space="preserve">기타 손상의 조직이식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피부이식</t>
    </r>
  </si>
  <si>
    <t xml:space="preserve">하지손상의 기타수술</t>
  </si>
  <si>
    <t xml:space="preserve">X041</t>
  </si>
  <si>
    <t xml:space="preserve">하지 손상의 골 및 관절 수술</t>
  </si>
  <si>
    <r>
      <rPr>
        <sz val="10"/>
        <rFont val="WenQuanYi Zen Hei"/>
        <family val="2"/>
      </rPr>
      <t xml:space="preserve">하지 손상의 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관절 수술</t>
    </r>
  </si>
  <si>
    <t xml:space="preserve">X042</t>
  </si>
  <si>
    <t xml:space="preserve">하지 손상의 기타 수술</t>
  </si>
  <si>
    <t xml:space="preserve">수부손상의 기타수술</t>
  </si>
  <si>
    <t xml:space="preserve">X051</t>
  </si>
  <si>
    <t xml:space="preserve">수부 손상의 골 및 관절 수술</t>
  </si>
  <si>
    <r>
      <rPr>
        <sz val="10"/>
        <rFont val="WenQuanYi Zen Hei"/>
        <family val="2"/>
      </rPr>
      <t xml:space="preserve">손 손상의 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관절 수술</t>
    </r>
  </si>
  <si>
    <t xml:space="preserve">X052</t>
  </si>
  <si>
    <t xml:space="preserve">수부 손상의 기타 수술</t>
  </si>
  <si>
    <t xml:space="preserve">손 손상의 기타 수술</t>
  </si>
  <si>
    <t xml:space="preserve">기타손상의 수술</t>
  </si>
  <si>
    <t xml:space="preserve">X060</t>
  </si>
  <si>
    <t xml:space="preserve">기타 손상의 수술</t>
  </si>
  <si>
    <t xml:space="preserve">기타 손상 수술</t>
  </si>
  <si>
    <r>
      <rPr>
        <sz val="10"/>
        <rFont val="WenQuanYi Zen Hei"/>
        <family val="2"/>
      </rPr>
      <t xml:space="preserve">중증 화상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 이식동반</t>
    </r>
    <r>
      <rPr>
        <sz val="10"/>
        <rFont val="Arial"/>
        <family val="0"/>
        <charset val="1"/>
      </rPr>
      <t xml:space="preserve">)</t>
    </r>
  </si>
  <si>
    <t xml:space="preserve">Y010</t>
  </si>
  <si>
    <r>
      <rPr>
        <sz val="10"/>
        <rFont val="WenQuanYi Zen Hei"/>
        <family val="2"/>
      </rPr>
      <t xml:space="preserve">중증 화상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 이식 동반</t>
    </r>
    <r>
      <rPr>
        <sz val="10"/>
        <rFont val="Arial"/>
        <family val="0"/>
        <charset val="1"/>
      </rPr>
      <t xml:space="preserve">)</t>
    </r>
  </si>
  <si>
    <t xml:space="preserve">화상</t>
  </si>
  <si>
    <t xml:space="preserve">중증 화상에서 피부이식을 동반한 수술</t>
  </si>
  <si>
    <r>
      <rPr>
        <sz val="10"/>
        <rFont val="WenQuanYi Zen Hei"/>
        <family val="2"/>
      </rPr>
      <t xml:space="preserve">중등도화상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피부이식혹은흡입손상을동반</t>
    </r>
    <r>
      <rPr>
        <sz val="10"/>
        <rFont val="Arial"/>
        <family val="0"/>
        <charset val="1"/>
      </rPr>
      <t xml:space="preserve">)</t>
    </r>
  </si>
  <si>
    <t xml:space="preserve">Y020</t>
  </si>
  <si>
    <r>
      <rPr>
        <sz val="10"/>
        <rFont val="WenQuanYi Zen Hei"/>
        <family val="2"/>
      </rPr>
      <t xml:space="preserve">중등도 화상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피부이식 혹은 흡입손상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</si>
  <si>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중등도 화상 수술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피부이식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흡입손상 동반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</si>
  <si>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46536B"/>
        <rFont val="Arial"/>
        <family val="0"/>
        <charset val="1"/>
      </rPr>
      <t xml:space="preserve">131</t>
    </r>
    <r>
      <rPr>
        <i val="true"/>
        <sz val="10"/>
        <color rgb="FF46536B"/>
        <rFont val="WenQuanYi Zen Hei"/>
        <family val="2"/>
      </rPr>
      <t xml:space="preserve">대질병수술비 — 질병코드</t>
    </r>
    <r>
      <rPr>
        <i val="true"/>
        <sz val="10"/>
        <color rgb="FF46536B"/>
        <rFont val="Arial"/>
        <family val="0"/>
        <charset val="1"/>
      </rPr>
      <t xml:space="preserve">(KCD) </t>
    </r>
    <r>
      <rPr>
        <i val="true"/>
        <sz val="10"/>
        <color rgb="FF46536B"/>
        <rFont val="WenQuanYi Zen Hei"/>
        <family val="2"/>
      </rPr>
      <t xml:space="preserve">기준</t>
    </r>
    <r>
      <rPr>
        <i val="true"/>
        <sz val="10"/>
        <color rgb="FF46536B"/>
        <rFont val="Arial"/>
        <family val="0"/>
        <charset val="1"/>
      </rPr>
      <t xml:space="preserve">, </t>
    </r>
    <r>
      <rPr>
        <i val="true"/>
        <sz val="10"/>
        <color rgb="FF46536B"/>
        <rFont val="WenQuanYi Zen Hei"/>
        <family val="2"/>
      </rPr>
      <t xml:space="preserve">지정 질병으로 수술해야 지급</t>
    </r>
    <r>
      <rPr>
        <i val="true"/>
        <sz val="10"/>
        <color rgb="FF46536B"/>
        <rFont val="Arial"/>
        <family val="0"/>
        <charset val="1"/>
      </rPr>
      <t xml:space="preserve">(</t>
    </r>
    <r>
      <rPr>
        <i val="true"/>
        <sz val="10"/>
        <color rgb="FF46536B"/>
        <rFont val="WenQuanYi Zen Hei"/>
        <family val="2"/>
      </rPr>
      <t xml:space="preserve">암 미보장</t>
    </r>
    <r>
      <rPr>
        <i val="true"/>
        <sz val="10"/>
        <color rgb="FF46536B"/>
        <rFont val="Arial"/>
        <family val="0"/>
        <charset val="1"/>
      </rPr>
      <t xml:space="preserve">). 130</t>
    </r>
    <r>
      <rPr>
        <i val="true"/>
        <sz val="10"/>
        <color rgb="FF46536B"/>
        <rFont val="WenQuanYi Zen Hei"/>
        <family val="2"/>
      </rPr>
      <t xml:space="preserve">대 </t>
    </r>
    <r>
      <rPr>
        <i val="true"/>
        <sz val="10"/>
        <color rgb="FF46536B"/>
        <rFont val="Arial"/>
        <family val="0"/>
        <charset val="1"/>
      </rPr>
      <t xml:space="preserve">= 131</t>
    </r>
    <r>
      <rPr>
        <i val="true"/>
        <sz val="10"/>
        <color rgb="FF46536B"/>
        <rFont val="WenQuanYi Zen Hei"/>
        <family val="2"/>
      </rPr>
      <t xml:space="preserve">대 − 추간판장애</t>
    </r>
    <r>
      <rPr>
        <i val="true"/>
        <sz val="10"/>
        <color rgb="FF46536B"/>
        <rFont val="Arial"/>
        <family val="0"/>
        <charset val="1"/>
      </rPr>
      <t xml:space="preserve">(M50 </t>
    </r>
    <r>
      <rPr>
        <i val="true"/>
        <sz val="10"/>
        <color rgb="FF46536B"/>
        <rFont val="WenQuanYi Zen Hei"/>
        <family val="2"/>
      </rPr>
      <t xml:space="preserve">경추 </t>
    </r>
    <r>
      <rPr>
        <i val="true"/>
        <sz val="10"/>
        <color rgb="FF46536B"/>
        <rFont val="Arial"/>
        <family val="0"/>
        <charset val="1"/>
      </rPr>
      <t xml:space="preserve">· M51 </t>
    </r>
    <r>
      <rPr>
        <i val="true"/>
        <sz val="10"/>
        <color rgb="FF46536B"/>
        <rFont val="WenQuanYi Zen Hei"/>
        <family val="2"/>
      </rPr>
      <t xml:space="preserve">기타</t>
    </r>
    <r>
      <rPr>
        <i val="true"/>
        <sz val="10"/>
        <color rgb="FF46536B"/>
        <rFont val="Arial"/>
        <family val="0"/>
        <charset val="1"/>
      </rPr>
      <t xml:space="preserve">). </t>
    </r>
    <r>
      <rPr>
        <i val="true"/>
        <sz val="10"/>
        <color rgb="FF46536B"/>
        <rFont val="WenQuanYi Zen Hei"/>
        <family val="2"/>
      </rPr>
      <t xml:space="preserve">다빈도</t>
    </r>
    <r>
      <rPr>
        <i val="true"/>
        <sz val="10"/>
        <color rgb="FF46536B"/>
        <rFont val="Arial"/>
        <family val="0"/>
        <charset val="1"/>
      </rPr>
      <t xml:space="preserve">62</t>
    </r>
    <r>
      <rPr>
        <i val="true"/>
        <sz val="10"/>
        <color rgb="FF46536B"/>
        <rFont val="WenQuanYi Zen Hei"/>
        <family val="2"/>
      </rPr>
      <t xml:space="preserve">대 ↔ </t>
    </r>
    <r>
      <rPr>
        <i val="true"/>
        <sz val="10"/>
        <color rgb="FF46536B"/>
        <rFont val="Arial"/>
        <family val="0"/>
        <charset val="1"/>
      </rPr>
      <t xml:space="preserve">130</t>
    </r>
    <r>
      <rPr>
        <i val="true"/>
        <sz val="10"/>
        <color rgb="FF46536B"/>
        <rFont val="WenQuanYi Zen Hei"/>
        <family val="2"/>
      </rPr>
      <t xml:space="preserve">대는 다빈도</t>
    </r>
    <r>
      <rPr>
        <i val="true"/>
        <sz val="10"/>
        <color rgb="FF46536B"/>
        <rFont val="Arial"/>
        <family val="0"/>
        <charset val="1"/>
      </rPr>
      <t xml:space="preserve">61</t>
    </r>
    <r>
      <rPr>
        <i val="true"/>
        <sz val="10"/>
        <color rgb="FF46536B"/>
        <rFont val="WenQuanYi Zen Hei"/>
        <family val="2"/>
      </rPr>
      <t xml:space="preserve">대</t>
    </r>
  </si>
  <si>
    <t xml:space="preserve">보장군</t>
  </si>
  <si>
    <r>
      <rPr>
        <b val="true"/>
        <sz val="11"/>
        <color rgb="FFFFFFFF"/>
        <rFont val="WenQuanYi Zen Hei"/>
        <family val="2"/>
      </rPr>
      <t xml:space="preserve">대상질병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약관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</si>
  <si>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KCD</t>
  </si>
  <si>
    <t xml:space="preserve">신체계통</t>
  </si>
  <si>
    <t xml:space="preserve">심장질환</t>
  </si>
  <si>
    <t xml:space="preserve">급성 류마티스열</t>
  </si>
  <si>
    <t xml:space="preserve">I00∼I02</t>
  </si>
  <si>
    <t xml:space="preserve">만성 류마티스심장질환</t>
  </si>
  <si>
    <t xml:space="preserve">I05∼I09</t>
  </si>
  <si>
    <t xml:space="preserve">허혈심장질환</t>
  </si>
  <si>
    <t xml:space="preserve">I20∼I25</t>
  </si>
  <si>
    <t xml:space="preserve">폐성 심장병 및 폐순환의 질환</t>
  </si>
  <si>
    <t xml:space="preserve">I26∼I28</t>
  </si>
  <si>
    <t xml:space="preserve">기타 형태의 심장병</t>
  </si>
  <si>
    <t xml:space="preserve">I30∼I52</t>
  </si>
  <si>
    <r>
      <rPr>
        <sz val="10"/>
        <rFont val="WenQuanYi Zen Hei"/>
        <family val="2"/>
      </rPr>
      <t xml:space="preserve">수막알균성 심근염</t>
    </r>
    <r>
      <rPr>
        <sz val="10"/>
        <rFont val="Arial"/>
        <family val="0"/>
        <charset val="1"/>
      </rPr>
      <t xml:space="preserve">(I41.0*)</t>
    </r>
  </si>
  <si>
    <t xml:space="preserve">A39.5†</t>
  </si>
  <si>
    <t xml:space="preserve">기타</t>
  </si>
  <si>
    <r>
      <rPr>
        <sz val="10"/>
        <rFont val="WenQuanYi Zen Hei"/>
        <family val="2"/>
      </rPr>
      <t xml:space="preserve">수막알균성 심내막염</t>
    </r>
    <r>
      <rPr>
        <sz val="10"/>
        <rFont val="Arial"/>
        <family val="0"/>
        <charset val="1"/>
      </rPr>
      <t xml:space="preserve">(I39.8*)</t>
    </r>
  </si>
  <si>
    <r>
      <rPr>
        <sz val="10"/>
        <rFont val="WenQuanYi Zen Hei"/>
        <family val="2"/>
      </rPr>
      <t xml:space="preserve">수막알균성 심장막염</t>
    </r>
    <r>
      <rPr>
        <sz val="10"/>
        <rFont val="Arial"/>
        <family val="0"/>
        <charset val="1"/>
      </rPr>
      <t xml:space="preserve">(I32.0*)</t>
    </r>
  </si>
  <si>
    <r>
      <rPr>
        <sz val="10"/>
        <rFont val="WenQuanYi Zen Hei"/>
        <family val="2"/>
      </rPr>
      <t xml:space="preserve">수막알균성 심장염</t>
    </r>
    <r>
      <rPr>
        <sz val="10"/>
        <rFont val="Arial"/>
        <family val="0"/>
        <charset val="1"/>
      </rPr>
      <t xml:space="preserve">(I52.0*)</t>
    </r>
  </si>
  <si>
    <r>
      <rPr>
        <sz val="10"/>
        <rFont val="WenQuanYi Zen Hei"/>
        <family val="2"/>
      </rPr>
      <t xml:space="preserve">칸디다심내막염</t>
    </r>
    <r>
      <rPr>
        <sz val="10"/>
        <rFont val="Arial"/>
        <family val="0"/>
        <charset val="1"/>
      </rPr>
      <t xml:space="preserve">(I39.8*)</t>
    </r>
  </si>
  <si>
    <t xml:space="preserve">B37.6†</t>
  </si>
  <si>
    <t xml:space="preserve">뇌혈관질환</t>
  </si>
  <si>
    <t xml:space="preserve">거미막하출혈</t>
  </si>
  <si>
    <t xml:space="preserve">I60</t>
  </si>
  <si>
    <t xml:space="preserve">뇌내출혈</t>
  </si>
  <si>
    <t xml:space="preserve">I61</t>
  </si>
  <si>
    <t xml:space="preserve">기타 비외상성 두개내출혈</t>
  </si>
  <si>
    <t xml:space="preserve">I62</t>
  </si>
  <si>
    <t xml:space="preserve">뇌경색증</t>
  </si>
  <si>
    <t xml:space="preserve">I63</t>
  </si>
  <si>
    <t xml:space="preserve">출혈 또는 경색증으로 명시되지 않는 뇌졸중</t>
  </si>
  <si>
    <t xml:space="preserve">I64</t>
  </si>
  <si>
    <t xml:space="preserve">뇌경색증을 유발하지 않은 뇌전동맥의 폐쇄 및 협착</t>
  </si>
  <si>
    <t xml:space="preserve">I65</t>
  </si>
  <si>
    <t xml:space="preserve">뇌경색증을 유발하지 않은 대뇌동맥의 폐쇄 및 협착</t>
  </si>
  <si>
    <t xml:space="preserve">I66</t>
  </si>
  <si>
    <t xml:space="preserve">기타 뇌혈관질환</t>
  </si>
  <si>
    <t xml:space="preserve">I67</t>
  </si>
  <si>
    <t xml:space="preserve">달리 분류된 질환에서의 뇌혈관장애</t>
  </si>
  <si>
    <t xml:space="preserve">I68</t>
  </si>
  <si>
    <t xml:space="preserve">뇌혈관질환의 후유증</t>
  </si>
  <si>
    <t xml:space="preserve">I69</t>
  </si>
  <si>
    <r>
      <rPr>
        <sz val="10"/>
        <rFont val="WenQuanYi Zen Hei"/>
        <family val="2"/>
      </rPr>
      <t xml:space="preserve">특정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대질병 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대 추가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</si>
  <si>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크로이츠펠트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야콥병</t>
    </r>
  </si>
  <si>
    <t xml:space="preserve">A81.0</t>
  </si>
  <si>
    <r>
      <rPr>
        <sz val="10"/>
        <rFont val="WenQuanYi Zen Hei"/>
        <family val="2"/>
      </rPr>
      <t xml:space="preserve">뇌의 특정염증성질환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엔테로바이러스뇌염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아데노바이러스뇌염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</si>
  <si>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A83-A86 (A85.0†, A85.1†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</si>
  <si>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바이러스간염</t>
  </si>
  <si>
    <t xml:space="preserve">B15∼B19</t>
  </si>
  <si>
    <t xml:space="preserve">간의질환</t>
  </si>
  <si>
    <t xml:space="preserve">K70∼K77</t>
  </si>
  <si>
    <r>
      <rPr>
        <sz val="10"/>
        <rFont val="WenQuanYi Zen Hei"/>
        <family val="2"/>
      </rPr>
      <t xml:space="preserve">거대세포바이러스간염</t>
    </r>
    <r>
      <rPr>
        <sz val="10"/>
        <rFont val="Arial"/>
        <family val="0"/>
        <charset val="1"/>
      </rPr>
      <t xml:space="preserve">(K77.0*)</t>
    </r>
  </si>
  <si>
    <t xml:space="preserve">B25.1†</t>
  </si>
  <si>
    <r>
      <rPr>
        <sz val="10"/>
        <rFont val="WenQuanYi Zen Hei"/>
        <family val="2"/>
      </rPr>
      <t xml:space="preserve">톡소포자충간염</t>
    </r>
    <r>
      <rPr>
        <sz val="10"/>
        <rFont val="Arial"/>
        <family val="0"/>
        <charset val="1"/>
      </rPr>
      <t xml:space="preserve">(K77.0*)</t>
    </r>
  </si>
  <si>
    <t xml:space="preserve">B58.1†</t>
  </si>
  <si>
    <r>
      <rPr>
        <sz val="10"/>
        <rFont val="WenQuanYi Zen Hei"/>
        <family val="2"/>
      </rPr>
      <t xml:space="preserve">본태성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원발성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고혈압</t>
    </r>
  </si>
  <si>
    <t xml:space="preserve">I10</t>
  </si>
  <si>
    <t xml:space="preserve">고혈압성 심장병</t>
  </si>
  <si>
    <t xml:space="preserve">I11</t>
  </si>
  <si>
    <t xml:space="preserve">고혈압성 신장병</t>
  </si>
  <si>
    <t xml:space="preserve">I12</t>
  </si>
  <si>
    <t xml:space="preserve">고혈압성 심장 및 신장병</t>
  </si>
  <si>
    <t xml:space="preserve">I13</t>
  </si>
  <si>
    <t xml:space="preserve">이차성 고혈압</t>
  </si>
  <si>
    <t xml:space="preserve">I15</t>
  </si>
  <si>
    <r>
      <rPr>
        <sz val="10"/>
        <rFont val="WenQuanYi Zen Hei"/>
        <family val="2"/>
      </rPr>
      <t xml:space="preserve">고혈압성 망막병증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이외의 배경 망막병증 및 망막혈관변화는 제외</t>
    </r>
    <r>
      <rPr>
        <sz val="10"/>
        <rFont val="Arial"/>
        <family val="0"/>
        <charset val="1"/>
      </rPr>
      <t xml:space="preserve">)</t>
    </r>
  </si>
  <si>
    <t xml:space="preserve">H35.0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</si>
  <si>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형 당뇨병</t>
    </r>
  </si>
  <si>
    <t xml:space="preserve">E10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</si>
  <si>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형 당뇨병</t>
    </r>
  </si>
  <si>
    <t xml:space="preserve">E11</t>
  </si>
  <si>
    <r>
      <rPr>
        <sz val="10"/>
        <rFont val="WenQuanYi Zen Hei"/>
        <family val="2"/>
      </rPr>
      <t xml:space="preserve">영양실조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관련 당뇨병</t>
    </r>
  </si>
  <si>
    <t xml:space="preserve">E12</t>
  </si>
  <si>
    <t xml:space="preserve">기타 명시된 당뇨병</t>
  </si>
  <si>
    <t xml:space="preserve">E13</t>
  </si>
  <si>
    <t xml:space="preserve">상세불명의 당뇨병</t>
  </si>
  <si>
    <t xml:space="preserve">E14</t>
  </si>
  <si>
    <t xml:space="preserve">당뇨병성 단일신경병증</t>
  </si>
  <si>
    <t xml:space="preserve">G59.0*</t>
  </si>
  <si>
    <r>
      <rPr>
        <sz val="10"/>
        <rFont val="WenQuanYi Zen Hei"/>
        <family val="2"/>
      </rPr>
      <t xml:space="preserve">신경계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척추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신경</t>
    </r>
    <r>
      <rPr>
        <sz val="10"/>
        <rFont val="Arial"/>
        <family val="0"/>
        <charset val="1"/>
      </rPr>
      <t xml:space="preserve">)</t>
    </r>
  </si>
  <si>
    <t xml:space="preserve">당뇨병성 다발신경병증</t>
  </si>
  <si>
    <t xml:space="preserve">G63.2*</t>
  </si>
  <si>
    <t xml:space="preserve">당뇨병성 백내장</t>
  </si>
  <si>
    <t xml:space="preserve">H28.0*</t>
  </si>
  <si>
    <t xml:space="preserve">당뇨병성 망막병증</t>
  </si>
  <si>
    <t xml:space="preserve">H36.0*</t>
  </si>
  <si>
    <t xml:space="preserve">당뇨병성 관절병증</t>
  </si>
  <si>
    <t xml:space="preserve">M14.2*</t>
  </si>
  <si>
    <t xml:space="preserve">당뇨병에서의 사구체장애</t>
  </si>
  <si>
    <t xml:space="preserve">N08.3*</t>
  </si>
  <si>
    <r>
      <rPr>
        <sz val="10"/>
        <rFont val="WenQuanYi Zen Hei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생식기</t>
    </r>
  </si>
  <si>
    <t xml:space="preserve">조로증</t>
  </si>
  <si>
    <t xml:space="preserve">E34.8</t>
  </si>
  <si>
    <t xml:space="preserve">급성인지 만성인지 명시되지 않은 기관지염</t>
  </si>
  <si>
    <t xml:space="preserve">J40</t>
  </si>
  <si>
    <t xml:space="preserve">단순성 및 점액화농성 만성 기관 지염</t>
  </si>
  <si>
    <t xml:space="preserve">J41</t>
  </si>
  <si>
    <t xml:space="preserve">상세불명의 만성 기관지염</t>
  </si>
  <si>
    <t xml:space="preserve">J42</t>
  </si>
  <si>
    <t xml:space="preserve">천식</t>
  </si>
  <si>
    <t xml:space="preserve">J45</t>
  </si>
  <si>
    <t xml:space="preserve">천식지속상태</t>
  </si>
  <si>
    <t xml:space="preserve">J46</t>
  </si>
  <si>
    <t xml:space="preserve">위궤양</t>
  </si>
  <si>
    <t xml:space="preserve">K25</t>
  </si>
  <si>
    <t xml:space="preserve">십이지장궤양</t>
  </si>
  <si>
    <t xml:space="preserve">K26</t>
  </si>
  <si>
    <t xml:space="preserve">상세불명 부위의 소화성 궤양</t>
  </si>
  <si>
    <t xml:space="preserve">K27</t>
  </si>
  <si>
    <t xml:space="preserve">결핵</t>
  </si>
  <si>
    <t xml:space="preserve">A15-A19</t>
  </si>
  <si>
    <t xml:space="preserve">결핵의 후유증</t>
  </si>
  <si>
    <t xml:space="preserve">B90</t>
  </si>
  <si>
    <r>
      <rPr>
        <sz val="10"/>
        <rFont val="WenQuanYi Zen Hei"/>
        <family val="2"/>
      </rPr>
      <t xml:space="preserve">결핵성 복막염</t>
    </r>
    <r>
      <rPr>
        <sz val="10"/>
        <rFont val="Arial"/>
        <family val="0"/>
        <charset val="1"/>
      </rPr>
      <t xml:space="preserve">(A18.30+)</t>
    </r>
  </si>
  <si>
    <t xml:space="preserve">K67.3*</t>
  </si>
  <si>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복막 및 장간막 림프절의 결핵성 장애</t>
    </r>
    <r>
      <rPr>
        <sz val="10"/>
        <rFont val="Arial"/>
        <family val="0"/>
        <charset val="1"/>
      </rPr>
      <t xml:space="preserve">(A18.3-*)</t>
    </r>
  </si>
  <si>
    <t xml:space="preserve">K93.0*</t>
  </si>
  <si>
    <r>
      <rPr>
        <sz val="10"/>
        <rFont val="WenQuanYi Zen Hei"/>
        <family val="2"/>
      </rPr>
      <t xml:space="preserve">기타 관절의 결핵성 관절염 </t>
    </r>
    <r>
      <rPr>
        <sz val="10"/>
        <rFont val="Arial"/>
        <family val="0"/>
        <charset val="1"/>
      </rPr>
      <t xml:space="preserve">(A18.01+)</t>
    </r>
  </si>
  <si>
    <t xml:space="preserve">M01.1*</t>
  </si>
  <si>
    <r>
      <rPr>
        <sz val="10"/>
        <rFont val="WenQuanYi Zen Hei"/>
        <family val="2"/>
      </rPr>
      <t xml:space="preserve">척추의 결핵</t>
    </r>
    <r>
      <rPr>
        <sz val="10"/>
        <rFont val="Arial"/>
        <family val="0"/>
        <charset val="1"/>
      </rPr>
      <t xml:space="preserve">(A18.00+)</t>
    </r>
  </si>
  <si>
    <t xml:space="preserve">M49.0*</t>
  </si>
  <si>
    <r>
      <rPr>
        <sz val="10"/>
        <rFont val="WenQuanYi Zen Hei"/>
        <family val="2"/>
      </rPr>
      <t xml:space="preserve">뼈의 결핵</t>
    </r>
    <r>
      <rPr>
        <sz val="10"/>
        <rFont val="Arial"/>
        <family val="0"/>
        <charset val="1"/>
      </rPr>
      <t xml:space="preserve">(A18.02+)</t>
    </r>
  </si>
  <si>
    <t xml:space="preserve">M90.0*</t>
  </si>
  <si>
    <r>
      <rPr>
        <sz val="10"/>
        <rFont val="WenQuanYi Zen Hei"/>
        <family val="2"/>
      </rPr>
      <t xml:space="preserve">방광의 결핵</t>
    </r>
    <r>
      <rPr>
        <sz val="10"/>
        <rFont val="Arial"/>
        <family val="0"/>
        <charset val="1"/>
      </rPr>
      <t xml:space="preserve">(A18.11+)</t>
    </r>
  </si>
  <si>
    <t xml:space="preserve">N33.0*</t>
  </si>
  <si>
    <r>
      <rPr>
        <sz val="10"/>
        <rFont val="WenQuanYi Zen Hei"/>
        <family val="2"/>
      </rPr>
      <t xml:space="preserve">자궁경부의 결핵</t>
    </r>
    <r>
      <rPr>
        <sz val="10"/>
        <rFont val="Arial"/>
        <family val="0"/>
        <charset val="1"/>
      </rPr>
      <t xml:space="preserve">(A18.17+)</t>
    </r>
  </si>
  <si>
    <t xml:space="preserve">N74.0*</t>
  </si>
  <si>
    <r>
      <rPr>
        <sz val="10"/>
        <rFont val="WenQuanYi Zen Hei"/>
        <family val="2"/>
      </rPr>
      <t xml:space="preserve">여성생식기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산과</t>
    </r>
  </si>
  <si>
    <r>
      <rPr>
        <sz val="10"/>
        <rFont val="WenQuanYi Zen Hei"/>
        <family val="2"/>
      </rPr>
      <t xml:space="preserve">결핵성 여성골반염증질환</t>
    </r>
    <r>
      <rPr>
        <sz val="10"/>
        <rFont val="Arial"/>
        <family val="0"/>
        <charset val="1"/>
      </rPr>
      <t xml:space="preserve">(A18.17+)</t>
    </r>
  </si>
  <si>
    <t xml:space="preserve">N74.1*</t>
  </si>
  <si>
    <t xml:space="preserve">연쇄알균패혈증</t>
  </si>
  <si>
    <t xml:space="preserve">A40</t>
  </si>
  <si>
    <t xml:space="preserve">기타 패혈증</t>
  </si>
  <si>
    <t xml:space="preserve">A41</t>
  </si>
  <si>
    <t xml:space="preserve">달리 분류되지 않은 세균성 수막염</t>
  </si>
  <si>
    <t xml:space="preserve">G00</t>
  </si>
  <si>
    <t xml:space="preserve">달리 분류된 세균성 질환에서의 수막염</t>
  </si>
  <si>
    <t xml:space="preserve">G01</t>
  </si>
  <si>
    <r>
      <rPr>
        <sz val="10"/>
        <rFont val="WenQuanYi Zen Hei"/>
        <family val="2"/>
      </rPr>
      <t xml:space="preserve">수막알균수막염</t>
    </r>
    <r>
      <rPr>
        <sz val="10"/>
        <rFont val="Arial"/>
        <family val="0"/>
        <charset val="1"/>
      </rPr>
      <t xml:space="preserve">(G01*)</t>
    </r>
  </si>
  <si>
    <t xml:space="preserve">A39.0†</t>
  </si>
  <si>
    <t xml:space="preserve">달리 분류된 기타 감염성 및 기생 충 질환에서의 수막염</t>
  </si>
  <si>
    <t xml:space="preserve">G02</t>
  </si>
  <si>
    <r>
      <rPr>
        <sz val="10"/>
        <rFont val="WenQuanYi Zen Hei"/>
        <family val="2"/>
      </rPr>
      <t xml:space="preserve">아데노바이러스수막염 </t>
    </r>
    <r>
      <rPr>
        <sz val="10"/>
        <rFont val="Arial"/>
        <family val="0"/>
        <charset val="1"/>
      </rPr>
      <t xml:space="preserve">(G02.0*)</t>
    </r>
  </si>
  <si>
    <t xml:space="preserve">A87.1†</t>
  </si>
  <si>
    <r>
      <rPr>
        <sz val="10"/>
        <rFont val="WenQuanYi Zen Hei"/>
        <family val="2"/>
      </rPr>
      <t xml:space="preserve">엔테로바이러스수막염 </t>
    </r>
    <r>
      <rPr>
        <sz val="10"/>
        <rFont val="Arial"/>
        <family val="0"/>
        <charset val="1"/>
      </rPr>
      <t xml:space="preserve">(G02.0*)</t>
    </r>
  </si>
  <si>
    <t xml:space="preserve">A87.0†</t>
  </si>
  <si>
    <r>
      <rPr>
        <sz val="10"/>
        <rFont val="WenQuanYi Zen Hei"/>
        <family val="2"/>
      </rPr>
      <t xml:space="preserve">헤르페스바이러스수막염 </t>
    </r>
    <r>
      <rPr>
        <sz val="10"/>
        <rFont val="Arial"/>
        <family val="0"/>
        <charset val="1"/>
      </rPr>
      <t xml:space="preserve">(G02.0*)</t>
    </r>
  </si>
  <si>
    <t xml:space="preserve">B00.3†</t>
  </si>
  <si>
    <r>
      <rPr>
        <sz val="10"/>
        <rFont val="WenQuanYi Zen Hei"/>
        <family val="2"/>
      </rPr>
      <t xml:space="preserve">수두수막염</t>
    </r>
    <r>
      <rPr>
        <sz val="10"/>
        <rFont val="Arial"/>
        <family val="0"/>
        <charset val="1"/>
      </rPr>
      <t xml:space="preserve">(G02.0*)</t>
    </r>
  </si>
  <si>
    <t xml:space="preserve">B01.0†</t>
  </si>
  <si>
    <r>
      <rPr>
        <sz val="10"/>
        <rFont val="WenQuanYi Zen Hei"/>
        <family val="2"/>
      </rPr>
      <t xml:space="preserve">대상포진수막염</t>
    </r>
    <r>
      <rPr>
        <sz val="10"/>
        <rFont val="Arial"/>
        <family val="0"/>
        <charset val="1"/>
      </rPr>
      <t xml:space="preserve">(G02.0*)</t>
    </r>
  </si>
  <si>
    <t xml:space="preserve">B02.1†</t>
  </si>
  <si>
    <r>
      <rPr>
        <sz val="10"/>
        <rFont val="WenQuanYi Zen Hei"/>
        <family val="2"/>
      </rPr>
      <t xml:space="preserve">수막염이 합병된 홍역 </t>
    </r>
    <r>
      <rPr>
        <sz val="10"/>
        <rFont val="Arial"/>
        <family val="0"/>
        <charset val="1"/>
      </rPr>
      <t xml:space="preserve">(G02.0*)</t>
    </r>
  </si>
  <si>
    <t xml:space="preserve">B05.1†</t>
  </si>
  <si>
    <r>
      <rPr>
        <sz val="10"/>
        <rFont val="WenQuanYi Zen Hei"/>
        <family val="2"/>
      </rPr>
      <t xml:space="preserve">볼거리수막염</t>
    </r>
    <r>
      <rPr>
        <sz val="10"/>
        <rFont val="Arial"/>
        <family val="0"/>
        <charset val="1"/>
      </rPr>
      <t xml:space="preserve">(G02.0*)</t>
    </r>
  </si>
  <si>
    <t xml:space="preserve">B26.1†</t>
  </si>
  <si>
    <r>
      <rPr>
        <sz val="10"/>
        <rFont val="WenQuanYi Zen Hei"/>
        <family val="2"/>
      </rPr>
      <t xml:space="preserve">칸디다수막염</t>
    </r>
    <r>
      <rPr>
        <sz val="10"/>
        <rFont val="Arial"/>
        <family val="0"/>
        <charset val="1"/>
      </rPr>
      <t xml:space="preserve">(G02.1*)</t>
    </r>
  </si>
  <si>
    <t xml:space="preserve">B37.5†</t>
  </si>
  <si>
    <r>
      <rPr>
        <sz val="10"/>
        <rFont val="WenQuanYi Zen Hei"/>
        <family val="2"/>
      </rPr>
      <t xml:space="preserve">콕시디오이데스진균수막염 </t>
    </r>
    <r>
      <rPr>
        <sz val="10"/>
        <rFont val="Arial"/>
        <family val="0"/>
        <charset val="1"/>
      </rPr>
      <t xml:space="preserve">(G02.1*)</t>
    </r>
  </si>
  <si>
    <t xml:space="preserve">B38.4†</t>
  </si>
  <si>
    <t xml:space="preserve">기타 및 상세불명의 원인에 의한 수막염</t>
  </si>
  <si>
    <t xml:space="preserve">G03</t>
  </si>
  <si>
    <r>
      <rPr>
        <sz val="10"/>
        <rFont val="WenQuanYi Zen Hei"/>
        <family val="2"/>
      </rPr>
      <t xml:space="preserve">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및 뇌척수염</t>
    </r>
  </si>
  <si>
    <t xml:space="preserve">G04</t>
  </si>
  <si>
    <r>
      <rPr>
        <sz val="10"/>
        <rFont val="WenQuanYi Zen Hei"/>
        <family val="2"/>
      </rPr>
      <t xml:space="preserve">달리 분류된 질환에서의 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 수염 및 뇌척수염</t>
    </r>
  </si>
  <si>
    <t xml:space="preserve">G05</t>
  </si>
  <si>
    <r>
      <rPr>
        <sz val="10"/>
        <rFont val="WenQuanYi Zen Hei"/>
        <family val="2"/>
      </rPr>
      <t xml:space="preserve">아데노바이러스뇌염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 는 뇌척수염</t>
    </r>
    <r>
      <rPr>
        <sz val="10"/>
        <rFont val="Arial"/>
        <family val="0"/>
        <charset val="1"/>
      </rPr>
      <t xml:space="preserve">(G05.1*)</t>
    </r>
  </si>
  <si>
    <t xml:space="preserve">A85.1†</t>
  </si>
  <si>
    <r>
      <rPr>
        <sz val="10"/>
        <rFont val="WenQuanYi Zen Hei"/>
        <family val="2"/>
      </rPr>
      <t xml:space="preserve">엔테로바이러스뇌염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 는 뇌척수염</t>
    </r>
    <r>
      <rPr>
        <sz val="10"/>
        <rFont val="Arial"/>
        <family val="0"/>
        <charset val="1"/>
      </rPr>
      <t xml:space="preserve">(G05.1*)</t>
    </r>
  </si>
  <si>
    <t xml:space="preserve">A85.0†</t>
  </si>
  <si>
    <r>
      <rPr>
        <sz val="10"/>
        <rFont val="WenQuanYi Zen Hei"/>
        <family val="2"/>
      </rPr>
      <t xml:space="preserve">헤르페스바이러스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또는 뇌척수염뇌염 </t>
    </r>
    <r>
      <rPr>
        <sz val="10"/>
        <rFont val="Arial"/>
        <family val="0"/>
        <charset val="1"/>
      </rPr>
      <t xml:space="preserve">(G05.1*)</t>
    </r>
  </si>
  <si>
    <t xml:space="preserve">B00.4†</t>
  </si>
  <si>
    <r>
      <rPr>
        <sz val="10"/>
        <rFont val="WenQuanYi Zen Hei"/>
        <family val="2"/>
      </rPr>
      <t xml:space="preserve">수두후에서의 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 는 뇌척수염</t>
    </r>
    <r>
      <rPr>
        <sz val="10"/>
        <rFont val="Arial"/>
        <family val="0"/>
        <charset val="1"/>
      </rPr>
      <t xml:space="preserve">(G05.1*)</t>
    </r>
  </si>
  <si>
    <t xml:space="preserve">B01.1†</t>
  </si>
  <si>
    <r>
      <rPr>
        <sz val="10"/>
        <rFont val="WenQuanYi Zen Hei"/>
        <family val="2"/>
      </rPr>
      <t xml:space="preserve">대상포진에서의 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또는 뇌척수염</t>
    </r>
    <r>
      <rPr>
        <sz val="10"/>
        <rFont val="Arial"/>
        <family val="0"/>
        <charset val="1"/>
      </rPr>
      <t xml:space="preserve">(G05.1*)</t>
    </r>
  </si>
  <si>
    <t xml:space="preserve">B02.0†</t>
  </si>
  <si>
    <r>
      <rPr>
        <sz val="10"/>
        <rFont val="WenQuanYi Zen Hei"/>
        <family val="2"/>
      </rPr>
      <t xml:space="preserve">홍역에서의 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또는 뇌척수염</t>
    </r>
    <r>
      <rPr>
        <sz val="10"/>
        <rFont val="Arial"/>
        <family val="0"/>
        <charset val="1"/>
      </rPr>
      <t xml:space="preserve">(G05.1*)</t>
    </r>
  </si>
  <si>
    <t xml:space="preserve">B05.0†</t>
  </si>
  <si>
    <r>
      <rPr>
        <sz val="10"/>
        <rFont val="WenQuanYi Zen Hei"/>
        <family val="2"/>
      </rPr>
      <t xml:space="preserve">볼거리에서의 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또 는 뇌척수염</t>
    </r>
    <r>
      <rPr>
        <sz val="10"/>
        <rFont val="Arial"/>
        <family val="0"/>
        <charset val="1"/>
      </rPr>
      <t xml:space="preserve">(G05.1*)</t>
    </r>
  </si>
  <si>
    <t xml:space="preserve">B26.2†</t>
  </si>
  <si>
    <t xml:space="preserve">두개내 및 척추내 농양 및 육아종</t>
  </si>
  <si>
    <t xml:space="preserve">G06</t>
  </si>
  <si>
    <t xml:space="preserve">달리 분류된 질환에서의 두개내 및 척추내 농양 및 육아종</t>
  </si>
  <si>
    <t xml:space="preserve">G07</t>
  </si>
  <si>
    <r>
      <rPr>
        <sz val="10"/>
        <rFont val="WenQuanYi Zen Hei"/>
        <family val="2"/>
      </rPr>
      <t xml:space="preserve">아메바성 뇌의 농양</t>
    </r>
    <r>
      <rPr>
        <sz val="10"/>
        <rFont val="Arial"/>
        <family val="0"/>
        <charset val="1"/>
      </rPr>
      <t xml:space="preserve">(G07*)</t>
    </r>
  </si>
  <si>
    <t xml:space="preserve">A06.6†</t>
  </si>
  <si>
    <t xml:space="preserve">두개내 및 척추내 정맥염 및 혈전 정맥염</t>
  </si>
  <si>
    <t xml:space="preserve">G08</t>
  </si>
  <si>
    <t xml:space="preserve">중추신경계통의 염증성 질환의 후유증</t>
  </si>
  <si>
    <t xml:space="preserve">G09</t>
  </si>
  <si>
    <t xml:space="preserve">파킨슨병</t>
  </si>
  <si>
    <t xml:space="preserve">G20</t>
  </si>
  <si>
    <t xml:space="preserve">이차성 파키슨증</t>
  </si>
  <si>
    <t xml:space="preserve">G21</t>
  </si>
  <si>
    <t xml:space="preserve">다발경화증</t>
  </si>
  <si>
    <t xml:space="preserve">G35</t>
  </si>
  <si>
    <t xml:space="preserve">뇌전증</t>
  </si>
  <si>
    <t xml:space="preserve">G40</t>
  </si>
  <si>
    <t xml:space="preserve">뇌전증지속상태</t>
  </si>
  <si>
    <t xml:space="preserve">G41</t>
  </si>
  <si>
    <t xml:space="preserve">중증근무력증 및 기타 근신경장애</t>
  </si>
  <si>
    <t xml:space="preserve">G70</t>
  </si>
  <si>
    <t xml:space="preserve">뇌성마비</t>
  </si>
  <si>
    <t xml:space="preserve">G80</t>
  </si>
  <si>
    <t xml:space="preserve">편마비</t>
  </si>
  <si>
    <t xml:space="preserve">G81</t>
  </si>
  <si>
    <t xml:space="preserve">하반신마비 및 사지마비</t>
  </si>
  <si>
    <t xml:space="preserve">G82</t>
  </si>
  <si>
    <t xml:space="preserve">기타 마비증후군</t>
  </si>
  <si>
    <t xml:space="preserve">G83</t>
  </si>
  <si>
    <t xml:space="preserve">자율신경계통의 장애</t>
  </si>
  <si>
    <t xml:space="preserve">G90</t>
  </si>
  <si>
    <t xml:space="preserve">수두증</t>
  </si>
  <si>
    <t xml:space="preserve">G91</t>
  </si>
  <si>
    <t xml:space="preserve">녹내장</t>
  </si>
  <si>
    <t xml:space="preserve">H40</t>
  </si>
  <si>
    <t xml:space="preserve">달리 분류된 질환에서의 녹내장</t>
  </si>
  <si>
    <t xml:space="preserve">H42</t>
  </si>
  <si>
    <t xml:space="preserve">죽상경화증</t>
  </si>
  <si>
    <t xml:space="preserve">I70</t>
  </si>
  <si>
    <t xml:space="preserve">대동맥동맥류 및 박리</t>
  </si>
  <si>
    <t xml:space="preserve">I71</t>
  </si>
  <si>
    <t xml:space="preserve">기타 동맥류 및 박리</t>
  </si>
  <si>
    <t xml:space="preserve">I72</t>
  </si>
  <si>
    <t xml:space="preserve">달리 분류되지 않은 바이러스폐렴</t>
  </si>
  <si>
    <t xml:space="preserve">J12</t>
  </si>
  <si>
    <t xml:space="preserve">폐렴연쇄알균에 의한 폐렴</t>
  </si>
  <si>
    <t xml:space="preserve">J13</t>
  </si>
  <si>
    <t xml:space="preserve">인플루엔자균에 의한 폐렴</t>
  </si>
  <si>
    <t xml:space="preserve">J14</t>
  </si>
  <si>
    <t xml:space="preserve">달리 분류되지 않은 세균성 폐렴</t>
  </si>
  <si>
    <t xml:space="preserve">J15</t>
  </si>
  <si>
    <t xml:space="preserve">달리 분류되지 않은 기타 감염성 병원체에 의한 폐렴</t>
  </si>
  <si>
    <t xml:space="preserve">J16</t>
  </si>
  <si>
    <t xml:space="preserve">달리 분류된 질환에서의 폐렴</t>
  </si>
  <si>
    <t xml:space="preserve">J17</t>
  </si>
  <si>
    <t xml:space="preserve">상세불명 병원체의 폐렴</t>
  </si>
  <si>
    <t xml:space="preserve">J18</t>
  </si>
  <si>
    <t xml:space="preserve">레지오넬라병</t>
  </si>
  <si>
    <t xml:space="preserve">A48.1</t>
  </si>
  <si>
    <r>
      <rPr>
        <sz val="10"/>
        <rFont val="WenQuanYi Zen Hei"/>
        <family val="2"/>
      </rPr>
      <t xml:space="preserve">수두폐렴</t>
    </r>
    <r>
      <rPr>
        <sz val="10"/>
        <rFont val="Arial"/>
        <family val="0"/>
        <charset val="1"/>
      </rPr>
      <t xml:space="preserve">(J17.1*)</t>
    </r>
  </si>
  <si>
    <t xml:space="preserve">B01.2†</t>
  </si>
  <si>
    <r>
      <rPr>
        <sz val="10"/>
        <rFont val="WenQuanYi Zen Hei"/>
        <family val="2"/>
      </rPr>
      <t xml:space="preserve">폐렴이 합병된 홍역</t>
    </r>
    <r>
      <rPr>
        <sz val="10"/>
        <rFont val="Arial"/>
        <family val="0"/>
        <charset val="1"/>
      </rPr>
      <t xml:space="preserve">(J17.1*)</t>
    </r>
  </si>
  <si>
    <t xml:space="preserve">B05.2†</t>
  </si>
  <si>
    <r>
      <rPr>
        <sz val="10"/>
        <rFont val="WenQuanYi Zen Hei"/>
        <family val="2"/>
      </rPr>
      <t xml:space="preserve">거대세포바이러스병에서의 폐렴 </t>
    </r>
    <r>
      <rPr>
        <sz val="10"/>
        <rFont val="Arial"/>
        <family val="0"/>
        <charset val="1"/>
      </rPr>
      <t xml:space="preserve">(J17.1*)</t>
    </r>
  </si>
  <si>
    <t xml:space="preserve">B25.0†</t>
  </si>
  <si>
    <r>
      <rPr>
        <sz val="10"/>
        <rFont val="WenQuanYi Zen Hei"/>
        <family val="2"/>
      </rPr>
      <t xml:space="preserve">톡소포자충증에서의 폐렴 </t>
    </r>
    <r>
      <rPr>
        <sz val="10"/>
        <rFont val="Arial"/>
        <family val="0"/>
        <charset val="1"/>
      </rPr>
      <t xml:space="preserve">(J17.3*)</t>
    </r>
  </si>
  <si>
    <t xml:space="preserve">B58.3†</t>
  </si>
  <si>
    <t xml:space="preserve">폐기종</t>
  </si>
  <si>
    <t xml:space="preserve">J43</t>
  </si>
  <si>
    <t xml:space="preserve">기타 만성 폐쇄성 폐질환</t>
  </si>
  <si>
    <t xml:space="preserve">J44</t>
  </si>
  <si>
    <t xml:space="preserve">기관지확장증</t>
  </si>
  <si>
    <t xml:space="preserve">J47</t>
  </si>
  <si>
    <t xml:space="preserve">하기도의 화농성 및 괴사성 병태</t>
  </si>
  <si>
    <t xml:space="preserve">J85~J86</t>
  </si>
  <si>
    <t xml:space="preserve">흉막의 기타 질환</t>
  </si>
  <si>
    <t xml:space="preserve">J90~J94</t>
  </si>
  <si>
    <t xml:space="preserve">외부요인에 의한 폐질환</t>
  </si>
  <si>
    <t xml:space="preserve">J60~J70</t>
  </si>
  <si>
    <t xml:space="preserve">폐부종</t>
  </si>
  <si>
    <t xml:space="preserve">J81</t>
  </si>
  <si>
    <t xml:space="preserve">달리 분류되지 않은 폐호산구증가</t>
  </si>
  <si>
    <t xml:space="preserve">J82</t>
  </si>
  <si>
    <t xml:space="preserve">기타 간질성 폐질환</t>
  </si>
  <si>
    <t xml:space="preserve">J84</t>
  </si>
  <si>
    <t xml:space="preserve">급성 췌장염</t>
  </si>
  <si>
    <t xml:space="preserve">K85</t>
  </si>
  <si>
    <t xml:space="preserve">췌장의 기타 질환</t>
  </si>
  <si>
    <t xml:space="preserve">K86</t>
  </si>
  <si>
    <r>
      <rPr>
        <sz val="10"/>
        <rFont val="WenQuanYi Zen Hei"/>
        <family val="2"/>
      </rPr>
      <t xml:space="preserve">달리 분류된 질환에서의 담낭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담도 및 췌장의 장애</t>
    </r>
  </si>
  <si>
    <t xml:space="preserve">K87</t>
  </si>
  <si>
    <r>
      <rPr>
        <sz val="10"/>
        <rFont val="WenQuanYi Zen Hei"/>
        <family val="2"/>
      </rPr>
      <t xml:space="preserve">거대세포바이러스췌장염 </t>
    </r>
    <r>
      <rPr>
        <sz val="10"/>
        <rFont val="Arial"/>
        <family val="0"/>
        <charset val="1"/>
      </rPr>
      <t xml:space="preserve">(K87.1*)</t>
    </r>
  </si>
  <si>
    <t xml:space="preserve">B25.2+</t>
  </si>
  <si>
    <r>
      <rPr>
        <sz val="10"/>
        <rFont val="WenQuanYi Zen Hei"/>
        <family val="2"/>
      </rPr>
      <t xml:space="preserve">볼거리췌장염</t>
    </r>
    <r>
      <rPr>
        <sz val="10"/>
        <rFont val="Arial"/>
        <family val="0"/>
        <charset val="1"/>
      </rPr>
      <t xml:space="preserve">(K87.1*)</t>
    </r>
  </si>
  <si>
    <t xml:space="preserve">B26.3+</t>
  </si>
  <si>
    <t xml:space="preserve">신부전</t>
  </si>
  <si>
    <t xml:space="preserve">N17-N19</t>
  </si>
  <si>
    <r>
      <rPr>
        <sz val="10"/>
        <rFont val="WenQuanYi Zen Hei"/>
        <family val="2"/>
      </rPr>
      <t xml:space="preserve">다빈도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대질병</t>
    </r>
  </si>
  <si>
    <t xml:space="preserve">주침샘의 양성신생물</t>
  </si>
  <si>
    <t xml:space="preserve">D11</t>
  </si>
  <si>
    <r>
      <rPr>
        <sz val="10"/>
        <rFont val="WenQuanYi Zen Hei"/>
        <family val="2"/>
      </rPr>
      <t xml:space="preserve">이비인후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청각기</t>
    </r>
  </si>
  <si>
    <t xml:space="preserve">기타 및 부위불명 소화계 통의 양성 신생물</t>
  </si>
  <si>
    <t xml:space="preserve">D13</t>
  </si>
  <si>
    <t xml:space="preserve">중이 및 호흡계통의 양성 신생물</t>
  </si>
  <si>
    <t xml:space="preserve">D14</t>
  </si>
  <si>
    <t xml:space="preserve">기타 및 상세불명의 흉곽 내기관의 양성 신생물</t>
  </si>
  <si>
    <t xml:space="preserve">D15</t>
  </si>
  <si>
    <t xml:space="preserve">골 및 관절연골의 양성 신 생물</t>
  </si>
  <si>
    <t xml:space="preserve">D16</t>
  </si>
  <si>
    <t xml:space="preserve">중피조직의 양성 신생물</t>
  </si>
  <si>
    <t xml:space="preserve">D19</t>
  </si>
  <si>
    <t xml:space="preserve">후복막 및 복막 연조직의 양성 신생물</t>
  </si>
  <si>
    <t xml:space="preserve">D20</t>
  </si>
  <si>
    <t xml:space="preserve">결합조직 및 기타 연조직 의 기타 양성 신생물</t>
  </si>
  <si>
    <t xml:space="preserve">D21</t>
  </si>
  <si>
    <t xml:space="preserve">자궁의 평활근종</t>
  </si>
  <si>
    <t xml:space="preserve">D25</t>
  </si>
  <si>
    <t xml:space="preserve">자궁의 기타 양성 신생물</t>
  </si>
  <si>
    <t xml:space="preserve">D26</t>
  </si>
  <si>
    <t xml:space="preserve">난소의 양성 신생물</t>
  </si>
  <si>
    <t xml:space="preserve">D27</t>
  </si>
  <si>
    <t xml:space="preserve">기타 및 상세불명의 여성 생식기관의 양성 신생물</t>
  </si>
  <si>
    <t xml:space="preserve">D28</t>
  </si>
  <si>
    <t xml:space="preserve">남성생식기관의 양성 신생 물</t>
  </si>
  <si>
    <t xml:space="preserve">D29</t>
  </si>
  <si>
    <t xml:space="preserve">비뇨기관의 양성 신생물</t>
  </si>
  <si>
    <t xml:space="preserve">D30</t>
  </si>
  <si>
    <t xml:space="preserve">눈 및 부속기관의 양성종양</t>
  </si>
  <si>
    <t xml:space="preserve">D31</t>
  </si>
  <si>
    <t xml:space="preserve">수막의 양성신생물</t>
  </si>
  <si>
    <t xml:space="preserve">D32</t>
  </si>
  <si>
    <t xml:space="preserve">뇌 및 중추신경계통의 양성신생물</t>
  </si>
  <si>
    <t xml:space="preserve">D33</t>
  </si>
  <si>
    <t xml:space="preserve">갑상선 및 내분비선의 양성신생물</t>
  </si>
  <si>
    <t xml:space="preserve">D34</t>
  </si>
  <si>
    <t xml:space="preserve">기타 및 상세불명의 내분 비선의 양성 신생물</t>
  </si>
  <si>
    <t xml:space="preserve">D35</t>
  </si>
  <si>
    <r>
      <rPr>
        <sz val="10"/>
        <rFont val="WenQuanYi Zen Hei"/>
        <family val="2"/>
      </rPr>
      <t xml:space="preserve">용혈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요독증후군</t>
    </r>
  </si>
  <si>
    <t xml:space="preserve">D59.3</t>
  </si>
  <si>
    <t xml:space="preserve">비장의 질환</t>
  </si>
  <si>
    <t xml:space="preserve">D73</t>
  </si>
  <si>
    <t xml:space="preserve">갑상선의 장애</t>
  </si>
  <si>
    <t xml:space="preserve">E00-E07</t>
  </si>
  <si>
    <r>
      <rPr>
        <sz val="10"/>
        <rFont val="WenQuanYi Zen Hei"/>
        <family val="2"/>
      </rPr>
      <t xml:space="preserve">갑상선이상성 안구돌출 </t>
    </r>
    <r>
      <rPr>
        <sz val="10"/>
        <rFont val="Arial"/>
        <family val="0"/>
        <charset val="1"/>
      </rPr>
      <t xml:space="preserve">(E05.0+)</t>
    </r>
  </si>
  <si>
    <t xml:space="preserve">H06.2*</t>
  </si>
  <si>
    <t xml:space="preserve">처치후 갑상선기능저하증 방사선조사후 갑상선기능저하증 수술후 갑상선기능저하증</t>
  </si>
  <si>
    <t xml:space="preserve">E89.0</t>
  </si>
  <si>
    <t xml:space="preserve">부갑상선기능저하증</t>
  </si>
  <si>
    <t xml:space="preserve">E20</t>
  </si>
  <si>
    <t xml:space="preserve">부갑상선기능항진증 및 부갑상선의 기타 장애</t>
  </si>
  <si>
    <t xml:space="preserve">E21</t>
  </si>
  <si>
    <t xml:space="preserve">뇌하수체의 기능항진</t>
  </si>
  <si>
    <t xml:space="preserve">E22</t>
  </si>
  <si>
    <t xml:space="preserve">뇌하수체의 기능저하 및 기타 장애</t>
  </si>
  <si>
    <t xml:space="preserve">E23</t>
  </si>
  <si>
    <t xml:space="preserve">쿠싱증후군</t>
  </si>
  <si>
    <t xml:space="preserve">E24</t>
  </si>
  <si>
    <t xml:space="preserve">부신생식기장애</t>
  </si>
  <si>
    <t xml:space="preserve">E25</t>
  </si>
  <si>
    <t xml:space="preserve">고알도스테론증</t>
  </si>
  <si>
    <t xml:space="preserve">E26</t>
  </si>
  <si>
    <t xml:space="preserve">부신의 기타 장애</t>
  </si>
  <si>
    <t xml:space="preserve">E27</t>
  </si>
  <si>
    <r>
      <rPr>
        <sz val="10"/>
        <rFont val="WenQuanYi Zen Hei"/>
        <family val="2"/>
      </rPr>
      <t xml:space="preserve">폐색혈전혈관염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버거병</t>
    </r>
    <r>
      <rPr>
        <sz val="10"/>
        <rFont val="Arial"/>
        <family val="0"/>
        <charset val="1"/>
      </rPr>
      <t xml:space="preserve">]</t>
    </r>
  </si>
  <si>
    <t xml:space="preserve">I73.1</t>
  </si>
  <si>
    <t xml:space="preserve">동맥색전증 및 혈전증</t>
  </si>
  <si>
    <t xml:space="preserve">I74</t>
  </si>
  <si>
    <t xml:space="preserve">동맥 및 세동맥의 기타 장애</t>
  </si>
  <si>
    <t xml:space="preserve">I77</t>
  </si>
  <si>
    <t xml:space="preserve">문맥혈전증</t>
  </si>
  <si>
    <t xml:space="preserve">I81</t>
  </si>
  <si>
    <t xml:space="preserve">비특이성 림프절염</t>
  </si>
  <si>
    <t xml:space="preserve">I88</t>
  </si>
  <si>
    <t xml:space="preserve">림프관 및 림프절의 기타 비감염성 장애</t>
  </si>
  <si>
    <t xml:space="preserve">I89</t>
  </si>
  <si>
    <t xml:space="preserve">달리 분류된 질환에서의 출혈을 동반하지 않은 식도정맥류</t>
  </si>
  <si>
    <t xml:space="preserve">I98.2</t>
  </si>
  <si>
    <t xml:space="preserve">달리 분류된 질환에서의 출혈을 동반한 식도정맥류</t>
  </si>
  <si>
    <t xml:space="preserve">I98.3</t>
  </si>
  <si>
    <t xml:space="preserve">급성 상기도감염</t>
  </si>
  <si>
    <t xml:space="preserve">J00-J06</t>
  </si>
  <si>
    <t xml:space="preserve">확인된 동물매개 또는 범 유행 인플루엔자바이러스 에 의한 인플루엔자</t>
  </si>
  <si>
    <t xml:space="preserve">J09</t>
  </si>
  <si>
    <t xml:space="preserve">확인된 계절성 인플루엔자 바이러스에 의한 인플루엔 자</t>
  </si>
  <si>
    <t xml:space="preserve">J10</t>
  </si>
  <si>
    <t xml:space="preserve">바이러스가 확인되지 않은 인플루엔자</t>
  </si>
  <si>
    <t xml:space="preserve">J11</t>
  </si>
  <si>
    <t xml:space="preserve">상세불명의 급성 하기도감염</t>
  </si>
  <si>
    <t xml:space="preserve">J22</t>
  </si>
  <si>
    <t xml:space="preserve">만성 부비동염</t>
  </si>
  <si>
    <t xml:space="preserve">J32</t>
  </si>
  <si>
    <t xml:space="preserve">편도염</t>
  </si>
  <si>
    <t xml:space="preserve">편도 및 아데노이드의 만성 질환</t>
  </si>
  <si>
    <t xml:space="preserve">J35</t>
  </si>
  <si>
    <t xml:space="preserve">편도주위농양</t>
  </si>
  <si>
    <t xml:space="preserve">J36</t>
  </si>
  <si>
    <t xml:space="preserve">만성 후두염 및 후두기관염</t>
  </si>
  <si>
    <t xml:space="preserve">J37</t>
  </si>
  <si>
    <t xml:space="preserve">달리 분류되지 않은 성대 및 후두의 질환</t>
  </si>
  <si>
    <t xml:space="preserve">J38</t>
  </si>
  <si>
    <t xml:space="preserve">상기도의 기타 질환</t>
  </si>
  <si>
    <t xml:space="preserve">J39</t>
  </si>
  <si>
    <t xml:space="preserve">성인호흡곤란증후군</t>
  </si>
  <si>
    <t xml:space="preserve">J80</t>
  </si>
  <si>
    <t xml:space="preserve">외이의 질환</t>
  </si>
  <si>
    <t xml:space="preserve">H60~H62</t>
  </si>
  <si>
    <t xml:space="preserve">중이 및 유돌의 질환</t>
  </si>
  <si>
    <t xml:space="preserve">H65-H75</t>
  </si>
  <si>
    <r>
      <rPr>
        <sz val="10"/>
        <rFont val="WenQuanYi Zen Hei"/>
        <family val="2"/>
      </rPr>
      <t xml:space="preserve">중이염이 합병된 홍역 </t>
    </r>
    <r>
      <rPr>
        <sz val="10"/>
        <rFont val="Arial"/>
        <family val="0"/>
        <charset val="1"/>
      </rPr>
      <t xml:space="preserve">(H67.1*)</t>
    </r>
  </si>
  <si>
    <t xml:space="preserve">B05.3+</t>
  </si>
  <si>
    <r>
      <rPr>
        <sz val="10"/>
        <rFont val="WenQuanYi Zen Hei"/>
        <family val="2"/>
      </rPr>
      <t xml:space="preserve">홍역후 중이염 </t>
    </r>
    <r>
      <rPr>
        <sz val="10"/>
        <rFont val="Arial"/>
        <family val="0"/>
        <charset val="1"/>
      </rPr>
      <t xml:space="preserve">(H67.1*)</t>
    </r>
  </si>
  <si>
    <t xml:space="preserve">내이의 질환</t>
  </si>
  <si>
    <t xml:space="preserve">H80-H83</t>
  </si>
  <si>
    <t xml:space="preserve">귀의 기타장애</t>
  </si>
  <si>
    <t xml:space="preserve">H90-H95</t>
  </si>
  <si>
    <t xml:space="preserve">황반 및 후극부의 변성</t>
  </si>
  <si>
    <t xml:space="preserve">H35.3</t>
  </si>
  <si>
    <r>
      <rPr>
        <sz val="10"/>
        <rFont val="WenQuanYi Zen Hei"/>
        <family val="2"/>
      </rPr>
      <t xml:space="preserve">공막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홍채 및 섬모체의 장애</t>
    </r>
  </si>
  <si>
    <t xml:space="preserve">H15-H22</t>
  </si>
  <si>
    <r>
      <rPr>
        <sz val="10"/>
        <rFont val="WenQuanYi Zen Hei"/>
        <family val="2"/>
      </rPr>
      <t xml:space="preserve">홍채섬모체염</t>
    </r>
    <r>
      <rPr>
        <sz val="10"/>
        <rFont val="Arial"/>
        <family val="0"/>
        <charset val="1"/>
      </rPr>
      <t xml:space="preserve">(H22.0*)</t>
    </r>
  </si>
  <si>
    <t xml:space="preserve">B00.50+</t>
  </si>
  <si>
    <r>
      <rPr>
        <sz val="10"/>
        <rFont val="WenQuanYi Zen Hei"/>
        <family val="2"/>
      </rPr>
      <t xml:space="preserve">홍채염</t>
    </r>
    <r>
      <rPr>
        <sz val="10"/>
        <rFont val="Arial"/>
        <family val="0"/>
        <charset val="1"/>
      </rPr>
      <t xml:space="preserve">(H22.0*)</t>
    </r>
  </si>
  <si>
    <r>
      <rPr>
        <sz val="10"/>
        <rFont val="WenQuanYi Zen Hei"/>
        <family val="2"/>
      </rPr>
      <t xml:space="preserve">전방포도막염</t>
    </r>
    <r>
      <rPr>
        <sz val="10"/>
        <rFont val="Arial"/>
        <family val="0"/>
        <charset val="1"/>
      </rPr>
      <t xml:space="preserve">(H22.0*)</t>
    </r>
  </si>
  <si>
    <r>
      <rPr>
        <sz val="10"/>
        <rFont val="WenQuanYi Zen Hei"/>
        <family val="2"/>
      </rPr>
      <t xml:space="preserve">각막염</t>
    </r>
    <r>
      <rPr>
        <sz val="10"/>
        <rFont val="Arial"/>
        <family val="0"/>
        <charset val="1"/>
      </rPr>
      <t xml:space="preserve">(H19.1*)</t>
    </r>
  </si>
  <si>
    <t xml:space="preserve">B00.51+</t>
  </si>
  <si>
    <r>
      <rPr>
        <sz val="10"/>
        <rFont val="WenQuanYi Zen Hei"/>
        <family val="2"/>
      </rPr>
      <t xml:space="preserve">각막결막염</t>
    </r>
    <r>
      <rPr>
        <sz val="10"/>
        <rFont val="Arial"/>
        <family val="0"/>
        <charset val="1"/>
      </rPr>
      <t xml:space="preserve">(H19.1*)</t>
    </r>
  </si>
  <si>
    <r>
      <rPr>
        <sz val="10"/>
        <rFont val="WenQuanYi Zen Hei"/>
        <family val="2"/>
      </rPr>
      <t xml:space="preserve">각막상피염</t>
    </r>
    <r>
      <rPr>
        <sz val="10"/>
        <rFont val="Arial"/>
        <family val="0"/>
        <charset val="1"/>
      </rPr>
      <t xml:space="preserve">(H19.1*)</t>
    </r>
  </si>
  <si>
    <r>
      <rPr>
        <sz val="10"/>
        <rFont val="WenQuanYi Zen Hei"/>
        <family val="2"/>
      </rPr>
      <t xml:space="preserve">간질각막염</t>
    </r>
    <r>
      <rPr>
        <sz val="10"/>
        <rFont val="Arial"/>
        <family val="0"/>
        <charset val="1"/>
      </rPr>
      <t xml:space="preserve">(H19.1*)</t>
    </r>
  </si>
  <si>
    <r>
      <rPr>
        <sz val="10"/>
        <rFont val="WenQuanYi Zen Hei"/>
        <family val="2"/>
      </rPr>
      <t xml:space="preserve">각막내피염</t>
    </r>
    <r>
      <rPr>
        <sz val="10"/>
        <rFont val="Arial"/>
        <family val="0"/>
        <charset val="1"/>
      </rPr>
      <t xml:space="preserve">(H19.1*)</t>
    </r>
  </si>
  <si>
    <r>
      <rPr>
        <sz val="10"/>
        <rFont val="WenQuanYi Zen Hei"/>
        <family val="2"/>
      </rPr>
      <t xml:space="preserve">아데노바이러스에 의한 각막결막염</t>
    </r>
    <r>
      <rPr>
        <sz val="10"/>
        <rFont val="Arial"/>
        <family val="0"/>
        <charset val="1"/>
      </rPr>
      <t xml:space="preserve">(H19.2*)</t>
    </r>
  </si>
  <si>
    <t xml:space="preserve">B30.0+</t>
  </si>
  <si>
    <r>
      <rPr>
        <sz val="10"/>
        <rFont val="WenQuanYi Zen Hei"/>
        <family val="2"/>
      </rPr>
      <t xml:space="preserve">유행성 각막결막염 </t>
    </r>
    <r>
      <rPr>
        <sz val="10"/>
        <rFont val="Arial"/>
        <family val="0"/>
        <charset val="1"/>
      </rPr>
      <t xml:space="preserve">(H19.2*)</t>
    </r>
  </si>
  <si>
    <r>
      <rPr>
        <sz val="10"/>
        <rFont val="WenQuanYi Zen Hei"/>
        <family val="2"/>
      </rPr>
      <t xml:space="preserve">조선소눈병</t>
    </r>
    <r>
      <rPr>
        <sz val="10"/>
        <rFont val="Arial"/>
        <family val="0"/>
        <charset val="1"/>
      </rPr>
      <t xml:space="preserve">(H19.2*)</t>
    </r>
  </si>
  <si>
    <r>
      <rPr>
        <sz val="10"/>
        <rFont val="WenQuanYi Zen Hei"/>
        <family val="2"/>
      </rPr>
      <t xml:space="preserve">맥락막 및 망막의 장애 — 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아래 질병은 제외 ① 배경망막병증 및 망막혈관변화 중 고혈압성 망막병증</t>
    </r>
    <r>
      <rPr>
        <sz val="10"/>
        <rFont val="Arial"/>
        <family val="0"/>
        <charset val="1"/>
      </rPr>
      <t xml:space="preserve">(H35.0 </t>
    </r>
    <r>
      <rPr>
        <sz val="10"/>
        <rFont val="WenQuanYi Zen Hei"/>
        <family val="2"/>
      </rPr>
      <t xml:space="preserve">중 해당 상병 → 특정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 ② </t>
    </r>
    <r>
      <rPr>
        <sz val="10"/>
        <rFont val="WenQuanYi Zen Hei"/>
        <family val="2"/>
      </rPr>
      <t xml:space="preserve">황반 및 후극부의 변성</t>
    </r>
    <r>
      <rPr>
        <sz val="10"/>
        <rFont val="Arial"/>
        <family val="0"/>
        <charset val="1"/>
      </rPr>
      <t xml:space="preserve">(H35.3 → </t>
    </r>
    <r>
      <rPr>
        <sz val="10"/>
        <rFont val="WenQuanYi Zen Hei"/>
        <family val="2"/>
      </rPr>
      <t xml:space="preserve">위 「황반 및 후극부의 변성」 줄로 보장</t>
    </r>
    <r>
      <rPr>
        <sz val="10"/>
        <rFont val="Arial"/>
        <family val="0"/>
        <charset val="1"/>
      </rPr>
      <t xml:space="preserve">) ③ </t>
    </r>
    <r>
      <rPr>
        <sz val="10"/>
        <rFont val="WenQuanYi Zen Hei"/>
        <family val="2"/>
      </rPr>
      <t xml:space="preserve">당뇨병의 망막병증</t>
    </r>
    <r>
      <rPr>
        <sz val="10"/>
        <rFont val="Arial"/>
        <family val="0"/>
        <charset val="1"/>
      </rPr>
      <t xml:space="preserve">(H36.0 → </t>
    </r>
    <r>
      <rPr>
        <sz val="10"/>
        <rFont val="WenQuanYi Zen Hei"/>
        <family val="2"/>
      </rPr>
      <t xml:space="preserve">특정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</si>
  <si>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H30-H36 (H35.0 </t>
    </r>
    <r>
      <rPr>
        <sz val="10"/>
        <rFont val="WenQuanYi Zen Hei"/>
        <family val="2"/>
      </rPr>
      <t xml:space="preserve">일부 </t>
    </r>
    <r>
      <rPr>
        <sz val="10"/>
        <rFont val="Arial"/>
        <family val="0"/>
        <charset val="1"/>
      </rPr>
      <t xml:space="preserve">· H35.3 · H36.0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</si>
  <si>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시신경 및 시각경로의 장애</t>
  </si>
  <si>
    <t xml:space="preserve">H46-H48</t>
  </si>
  <si>
    <t xml:space="preserve">미만성 층판성 각막염</t>
  </si>
  <si>
    <t xml:space="preserve">H59.8</t>
  </si>
  <si>
    <t xml:space="preserve">급성 신염증후군</t>
  </si>
  <si>
    <t xml:space="preserve">N00</t>
  </si>
  <si>
    <t xml:space="preserve">급속 진행성 신염증후군</t>
  </si>
  <si>
    <t xml:space="preserve">N01</t>
  </si>
  <si>
    <t xml:space="preserve">재발성 및 지속성 혈뇨</t>
  </si>
  <si>
    <t xml:space="preserve">N02</t>
  </si>
  <si>
    <t xml:space="preserve">만성 신염증후군</t>
  </si>
  <si>
    <t xml:space="preserve">N03</t>
  </si>
  <si>
    <t xml:space="preserve">신증후군</t>
  </si>
  <si>
    <t xml:space="preserve">N04</t>
  </si>
  <si>
    <t xml:space="preserve">상세불명의 신염증후군</t>
  </si>
  <si>
    <t xml:space="preserve">N05</t>
  </si>
  <si>
    <t xml:space="preserve">명시된 형태학적 병변을 동반한 고립된 단백뇨</t>
  </si>
  <si>
    <t xml:space="preserve">N06</t>
  </si>
  <si>
    <t xml:space="preserve">달리 분류되지 않은 유전 성 신장병증</t>
  </si>
  <si>
    <t xml:space="preserve">N07</t>
  </si>
  <si>
    <r>
      <rPr>
        <sz val="10"/>
        <rFont val="WenQuanYi Zen Hei"/>
        <family val="2"/>
      </rPr>
      <t xml:space="preserve">달리 분류된 질환에서의 사구체장애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당뇨병에서의 사구체장애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</si>
  <si>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N08 (N08.3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</si>
  <si>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급성 세뇨관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간질신장염</t>
    </r>
  </si>
  <si>
    <t xml:space="preserve">N10</t>
  </si>
  <si>
    <r>
      <rPr>
        <sz val="10"/>
        <rFont val="WenQuanYi Zen Hei"/>
        <family val="2"/>
      </rPr>
      <t xml:space="preserve">만성 세뇨관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간질신장염</t>
    </r>
  </si>
  <si>
    <t xml:space="preserve">N11</t>
  </si>
  <si>
    <r>
      <rPr>
        <sz val="10"/>
        <rFont val="WenQuanYi Zen Hei"/>
        <family val="2"/>
      </rPr>
      <t xml:space="preserve">급성 또는 만성으로 명시되지 않은 세뇨관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간질신장염</t>
    </r>
  </si>
  <si>
    <t xml:space="preserve">N12</t>
  </si>
  <si>
    <t xml:space="preserve">폐색성 및 역류성 요로병 증</t>
  </si>
  <si>
    <t xml:space="preserve">N13</t>
  </si>
  <si>
    <r>
      <rPr>
        <sz val="10"/>
        <rFont val="WenQuanYi Zen Hei"/>
        <family val="2"/>
      </rPr>
      <t xml:space="preserve">약물 및 중금속 유발 세뇨 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 및 세뇨관 병태</t>
    </r>
  </si>
  <si>
    <t xml:space="preserve">N14</t>
  </si>
  <si>
    <r>
      <rPr>
        <sz val="10"/>
        <rFont val="WenQuanYi Zen Hei"/>
        <family val="2"/>
      </rPr>
      <t xml:space="preserve">기타 신세뇨관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간질질환</t>
    </r>
  </si>
  <si>
    <t xml:space="preserve">N15</t>
  </si>
  <si>
    <r>
      <rPr>
        <sz val="10"/>
        <rFont val="WenQuanYi Zen Hei"/>
        <family val="2"/>
      </rPr>
      <t xml:space="preserve">달리 분류된 질환에서의 신세뇨관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간질장애</t>
    </r>
  </si>
  <si>
    <t xml:space="preserve">N16</t>
  </si>
  <si>
    <t xml:space="preserve">방광의 결석</t>
  </si>
  <si>
    <t xml:space="preserve">N21.0</t>
  </si>
  <si>
    <t xml:space="preserve">신세뇨관기능손상으로 인 한 장애</t>
  </si>
  <si>
    <t xml:space="preserve">N25</t>
  </si>
  <si>
    <t xml:space="preserve">상세불명의 신장위축</t>
  </si>
  <si>
    <t xml:space="preserve">N26</t>
  </si>
  <si>
    <t xml:space="preserve">원인불명의 작은 신장</t>
  </si>
  <si>
    <t xml:space="preserve">N27</t>
  </si>
  <si>
    <t xml:space="preserve">달리 분류되지 않은 신장 및 요관의 기타 장애</t>
  </si>
  <si>
    <t xml:space="preserve">N28</t>
  </si>
  <si>
    <t xml:space="preserve">달리 분류된 질환에서의 신장 및 요관의 기타 장애</t>
  </si>
  <si>
    <t xml:space="preserve">N29</t>
  </si>
  <si>
    <t xml:space="preserve">방광염</t>
  </si>
  <si>
    <t xml:space="preserve">N30</t>
  </si>
  <si>
    <t xml:space="preserve">달리 분류되지 않은 방광 의 신경근육기능장애</t>
  </si>
  <si>
    <t xml:space="preserve">N31</t>
  </si>
  <si>
    <t xml:space="preserve">방광의 기타 장애</t>
  </si>
  <si>
    <t xml:space="preserve">N32</t>
  </si>
  <si>
    <t xml:space="preserve">달리 분류된 질환에서의 방광장애</t>
  </si>
  <si>
    <t xml:space="preserve">N33</t>
  </si>
  <si>
    <t xml:space="preserve">달리 분류된 질환에서의 요도장애</t>
  </si>
  <si>
    <t xml:space="preserve">N37</t>
  </si>
  <si>
    <r>
      <rPr>
        <sz val="10"/>
        <rFont val="WenQuanYi Zen Hei"/>
        <family val="2"/>
      </rPr>
      <t xml:space="preserve">칸디다요도염</t>
    </r>
    <r>
      <rPr>
        <sz val="10"/>
        <rFont val="Arial"/>
        <family val="0"/>
        <charset val="1"/>
      </rPr>
      <t xml:space="preserve">(N37.0*)</t>
    </r>
  </si>
  <si>
    <t xml:space="preserve">B37.40+</t>
  </si>
  <si>
    <r>
      <rPr>
        <sz val="10"/>
        <rFont val="WenQuanYi Zen Hei"/>
        <family val="2"/>
      </rPr>
      <t xml:space="preserve">비뇨계통의 기타 장애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방광의 결핵</t>
    </r>
    <r>
      <rPr>
        <sz val="10"/>
        <rFont val="Arial"/>
        <family val="0"/>
        <charset val="1"/>
      </rPr>
      <t xml:space="preserve">(A18.11†)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 (</t>
    </r>
    <r>
      <rPr>
        <sz val="10"/>
        <rFont val="WenQuanYi Zen Hei"/>
        <family val="2"/>
      </rPr>
      <t xml:space="preserve">스트레스요실금 제외</t>
    </r>
    <r>
      <rPr>
        <sz val="10"/>
        <rFont val="Arial"/>
        <family val="0"/>
        <charset val="1"/>
      </rPr>
      <t xml:space="preserve">) (</t>
    </r>
    <r>
      <rPr>
        <sz val="10"/>
        <rFont val="WenQuanYi Zen Hei"/>
        <family val="2"/>
      </rPr>
      <t xml:space="preserve">기타 명시된 요실금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</si>
  <si>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N39 (N33.0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 (N39.3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 (N39.4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</si>
  <si>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요도염 및 요도증후군</t>
  </si>
  <si>
    <t xml:space="preserve">N34</t>
  </si>
  <si>
    <t xml:space="preserve">요도협착</t>
  </si>
  <si>
    <t xml:space="preserve">N35</t>
  </si>
  <si>
    <t xml:space="preserve">요도의 기타 장애</t>
  </si>
  <si>
    <t xml:space="preserve">N36</t>
  </si>
  <si>
    <t xml:space="preserve">유방의장애</t>
  </si>
  <si>
    <t xml:space="preserve">양성 유방형성이상</t>
  </si>
  <si>
    <t xml:space="preserve">N60</t>
  </si>
  <si>
    <t xml:space="preserve">유방의 염증성 장애</t>
  </si>
  <si>
    <t xml:space="preserve">N61</t>
  </si>
  <si>
    <t xml:space="preserve">유방의 비대</t>
  </si>
  <si>
    <t xml:space="preserve">N62</t>
  </si>
  <si>
    <t xml:space="preserve">유방의 상세불명의 덩이</t>
  </si>
  <si>
    <t xml:space="preserve">N63</t>
  </si>
  <si>
    <t xml:space="preserve">유방의 기타 장애</t>
  </si>
  <si>
    <t xml:space="preserve">N64</t>
  </si>
  <si>
    <t xml:space="preserve">침샘의 질환</t>
  </si>
  <si>
    <t xml:space="preserve">K11</t>
  </si>
  <si>
    <t xml:space="preserve">식도염</t>
  </si>
  <si>
    <t xml:space="preserve">K20</t>
  </si>
  <si>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식도역류병</t>
    </r>
  </si>
  <si>
    <t xml:space="preserve">K21</t>
  </si>
  <si>
    <t xml:space="preserve">식도의 기타 질환</t>
  </si>
  <si>
    <t xml:space="preserve">K22</t>
  </si>
  <si>
    <r>
      <rPr>
        <sz val="10"/>
        <rFont val="WenQuanYi Zen Hei"/>
        <family val="2"/>
      </rPr>
      <t xml:space="preserve">달리 분류된 질환에서의 식도의 장애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식도의 결핵</t>
    </r>
    <r>
      <rPr>
        <sz val="10"/>
        <rFont val="Arial"/>
        <family val="0"/>
        <charset val="1"/>
      </rPr>
      <t xml:space="preserve">(A18.82†)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</si>
  <si>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K23 (K23.0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</si>
  <si>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위공장궤양</t>
  </si>
  <si>
    <t xml:space="preserve">K28</t>
  </si>
  <si>
    <t xml:space="preserve">위염 및 십이지장염</t>
  </si>
  <si>
    <t xml:space="preserve">K29</t>
  </si>
  <si>
    <t xml:space="preserve">기능성 소화불량</t>
  </si>
  <si>
    <t xml:space="preserve">K30</t>
  </si>
  <si>
    <t xml:space="preserve">사타구니탈장</t>
  </si>
  <si>
    <t xml:space="preserve">K40</t>
  </si>
  <si>
    <t xml:space="preserve">대퇴탈장</t>
  </si>
  <si>
    <t xml:space="preserve">K41</t>
  </si>
  <si>
    <t xml:space="preserve">배꼽탈장</t>
  </si>
  <si>
    <t xml:space="preserve">K42</t>
  </si>
  <si>
    <t xml:space="preserve">복벽탈장</t>
  </si>
  <si>
    <t xml:space="preserve">K43</t>
  </si>
  <si>
    <t xml:space="preserve">횡격막탈장</t>
  </si>
  <si>
    <t xml:space="preserve">K44</t>
  </si>
  <si>
    <t xml:space="preserve">기타 복부탈장</t>
  </si>
  <si>
    <t xml:space="preserve">K45</t>
  </si>
  <si>
    <t xml:space="preserve">상세불명의 복부탈장</t>
  </si>
  <si>
    <t xml:space="preserve">K46</t>
  </si>
  <si>
    <r>
      <rPr>
        <sz val="10"/>
        <rFont val="WenQuanYi Zen Hei"/>
        <family val="2"/>
      </rPr>
      <t xml:space="preserve">크론병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국소성 장염</t>
    </r>
    <r>
      <rPr>
        <sz val="10"/>
        <rFont val="Arial"/>
        <family val="0"/>
        <charset val="1"/>
      </rPr>
      <t xml:space="preserve">]</t>
    </r>
  </si>
  <si>
    <t xml:space="preserve">K50</t>
  </si>
  <si>
    <t xml:space="preserve">궤양성 대장염</t>
  </si>
  <si>
    <t xml:space="preserve">K51</t>
  </si>
  <si>
    <t xml:space="preserve">기타 비감염성 위장염 및 결장염</t>
  </si>
  <si>
    <t xml:space="preserve">K52</t>
  </si>
  <si>
    <t xml:space="preserve">장의 혈관장애</t>
  </si>
  <si>
    <t xml:space="preserve">K55</t>
  </si>
  <si>
    <t xml:space="preserve">탈장이 없는 마비성 장폐 색증 및 장폐색</t>
  </si>
  <si>
    <t xml:space="preserve">K56</t>
  </si>
  <si>
    <t xml:space="preserve">장의 게실병</t>
  </si>
  <si>
    <t xml:space="preserve">K57</t>
  </si>
  <si>
    <r>
      <rPr>
        <sz val="10"/>
        <rFont val="WenQuanYi Zen Hei"/>
        <family val="2"/>
      </rPr>
      <t xml:space="preserve">복막의 질환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결핵성 복막염</t>
    </r>
    <r>
      <rPr>
        <sz val="10"/>
        <rFont val="Arial"/>
        <family val="0"/>
        <charset val="1"/>
      </rPr>
      <t xml:space="preserve">(A18.30†)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</si>
  <si>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K65-K67 (K67.3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</si>
  <si>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담석증</t>
  </si>
  <si>
    <t xml:space="preserve">K80</t>
  </si>
  <si>
    <t xml:space="preserve">담낭염</t>
  </si>
  <si>
    <t xml:space="preserve">K81</t>
  </si>
  <si>
    <t xml:space="preserve">담낭의 기타 질환</t>
  </si>
  <si>
    <t xml:space="preserve">K82</t>
  </si>
  <si>
    <t xml:space="preserve">담도의 기타 질환</t>
  </si>
  <si>
    <t xml:space="preserve">K83</t>
  </si>
  <si>
    <t xml:space="preserve">장흡수장애</t>
  </si>
  <si>
    <t xml:space="preserve">K90</t>
  </si>
  <si>
    <t xml:space="preserve">결절성 다발동맥염 및 관 련 병태</t>
  </si>
  <si>
    <t xml:space="preserve">M30</t>
  </si>
  <si>
    <t xml:space="preserve">기타 괴사성 혈관병증</t>
  </si>
  <si>
    <t xml:space="preserve">M31</t>
  </si>
  <si>
    <t xml:space="preserve">결합조직의 기타 전신침범</t>
  </si>
  <si>
    <t xml:space="preserve">M35</t>
  </si>
  <si>
    <r>
      <rPr>
        <sz val="10"/>
        <rFont val="WenQuanYi Zen Hei"/>
        <family val="2"/>
      </rPr>
      <t xml:space="preserve">각막결막염을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를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동반한 쉐그렌증후군</t>
    </r>
    <r>
      <rPr>
        <sz val="10"/>
        <rFont val="Arial"/>
        <family val="0"/>
        <charset val="1"/>
      </rPr>
      <t xml:space="preserve">(M35.0+)</t>
    </r>
  </si>
  <si>
    <t xml:space="preserve">H19.3*</t>
  </si>
  <si>
    <t xml:space="preserve">척주후만증 및 척주전만증</t>
  </si>
  <si>
    <t xml:space="preserve">M40</t>
  </si>
  <si>
    <t xml:space="preserve">척주측만증</t>
  </si>
  <si>
    <t xml:space="preserve">M41</t>
  </si>
  <si>
    <t xml:space="preserve">척추골연골증</t>
  </si>
  <si>
    <t xml:space="preserve">M42</t>
  </si>
  <si>
    <t xml:space="preserve">기타 변형성 등병증</t>
  </si>
  <si>
    <t xml:space="preserve">M43</t>
  </si>
  <si>
    <t xml:space="preserve">강직척추염</t>
  </si>
  <si>
    <t xml:space="preserve">M45</t>
  </si>
  <si>
    <t xml:space="preserve">기타 염증성 척추병증</t>
  </si>
  <si>
    <t xml:space="preserve">M46</t>
  </si>
  <si>
    <t xml:space="preserve">척추증</t>
  </si>
  <si>
    <t xml:space="preserve">M47</t>
  </si>
  <si>
    <t xml:space="preserve">기타 척추병증</t>
  </si>
  <si>
    <t xml:space="preserve">M48</t>
  </si>
  <si>
    <t xml:space="preserve">경추간판장애</t>
  </si>
  <si>
    <t xml:space="preserve">M50</t>
  </si>
  <si>
    <t xml:space="preserve">기타 추간판장애</t>
  </si>
  <si>
    <t xml:space="preserve">M51</t>
  </si>
  <si>
    <t xml:space="preserve">병적 골절을 동반한 골다공증</t>
  </si>
  <si>
    <t xml:space="preserve">M80</t>
  </si>
  <si>
    <t xml:space="preserve">병적 골절이 없는 골다공증</t>
  </si>
  <si>
    <t xml:space="preserve">M81</t>
  </si>
  <si>
    <t xml:space="preserve">달리 분류된 질환에서의 골다공증</t>
  </si>
  <si>
    <t xml:space="preserve">M82</t>
  </si>
  <si>
    <t xml:space="preserve">골연속성의 장애</t>
  </si>
  <si>
    <t xml:space="preserve">M84</t>
  </si>
  <si>
    <t xml:space="preserve">삼차신경의 장애</t>
  </si>
  <si>
    <t xml:space="preserve">G50</t>
  </si>
  <si>
    <t xml:space="preserve">안면신경장애</t>
  </si>
  <si>
    <t xml:space="preserve">G51</t>
  </si>
  <si>
    <t xml:space="preserve">기타 뇌신경의 장애</t>
  </si>
  <si>
    <t xml:space="preserve">G52</t>
  </si>
  <si>
    <t xml:space="preserve">팔의 단일신경병증</t>
  </si>
  <si>
    <t xml:space="preserve">G56</t>
  </si>
  <si>
    <t xml:space="preserve">다리의 단일신경병증</t>
  </si>
  <si>
    <t xml:space="preserve">G57</t>
  </si>
  <si>
    <t xml:space="preserve">기타 단일신경병증</t>
  </si>
  <si>
    <t xml:space="preserve">G58</t>
  </si>
  <si>
    <r>
      <rPr>
        <sz val="10"/>
        <rFont val="WenQuanYi Zen Hei"/>
        <family val="2"/>
      </rPr>
      <t xml:space="preserve">달리 분류된 질환에서의 단일신경병증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당뇨병성 단일신경병증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</si>
  <si>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G59 (G59.0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</si>
  <si>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특정다빈도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대질병 </t>
    </r>
    <r>
      <rPr>
        <sz val="10"/>
        <rFont val="Arial"/>
        <family val="0"/>
        <charset val="1"/>
      </rPr>
      <t xml:space="preserve">(29</t>
    </r>
    <r>
      <rPr>
        <sz val="10"/>
        <rFont val="WenQuanYi Zen Hei"/>
        <family val="2"/>
      </rPr>
      <t xml:space="preserve">대 추가</t>
    </r>
    <r>
      <rPr>
        <sz val="10"/>
        <rFont val="Arial"/>
        <family val="0"/>
        <charset val="1"/>
      </rPr>
      <t xml:space="preserve">)</t>
    </r>
  </si>
  <si>
    <t xml:space="preserve">혀의 질환</t>
  </si>
  <si>
    <t xml:space="preserve">K14</t>
  </si>
  <si>
    <t xml:space="preserve">유방의 양성 신생물</t>
  </si>
  <si>
    <t xml:space="preserve">D24</t>
  </si>
  <si>
    <t xml:space="preserve">다낭성 난소증후군</t>
  </si>
  <si>
    <t xml:space="preserve">E28.2</t>
  </si>
  <si>
    <t xml:space="preserve">수면무호흡</t>
  </si>
  <si>
    <t xml:space="preserve">G47.3</t>
  </si>
  <si>
    <t xml:space="preserve">신생물질환에서의 신경근 및 신경총 압박</t>
  </si>
  <si>
    <t xml:space="preserve">G55.0</t>
  </si>
  <si>
    <t xml:space="preserve">추간판 장애에서의 신경근 및 신경총 압박</t>
  </si>
  <si>
    <t xml:space="preserve">G55.1</t>
  </si>
  <si>
    <t xml:space="preserve">척추증에서의 신경근 및 신경총 압박</t>
  </si>
  <si>
    <t xml:space="preserve">G55.2</t>
  </si>
  <si>
    <t xml:space="preserve">기타 등병증에서의 신경근 및 신경총 압박</t>
  </si>
  <si>
    <t xml:space="preserve">G55.3</t>
  </si>
  <si>
    <t xml:space="preserve">안와의 장애</t>
  </si>
  <si>
    <t xml:space="preserve">H05</t>
  </si>
  <si>
    <t xml:space="preserve">결막의 장애</t>
  </si>
  <si>
    <t xml:space="preserve">H10-H13</t>
  </si>
  <si>
    <t xml:space="preserve">정맥염 및 혈전정맥염</t>
  </si>
  <si>
    <t xml:space="preserve">I80</t>
  </si>
  <si>
    <t xml:space="preserve">기타 정맥의 색전증 및 혈전증</t>
  </si>
  <si>
    <t xml:space="preserve">I82</t>
  </si>
  <si>
    <t xml:space="preserve">식도정맥류</t>
  </si>
  <si>
    <t xml:space="preserve">I85</t>
  </si>
  <si>
    <t xml:space="preserve">음낭정맥류</t>
  </si>
  <si>
    <t xml:space="preserve">I86.1</t>
  </si>
  <si>
    <t xml:space="preserve">급성 기관지염</t>
  </si>
  <si>
    <t xml:space="preserve">J20</t>
  </si>
  <si>
    <t xml:space="preserve">급성 세기관지염</t>
  </si>
  <si>
    <t xml:space="preserve">J21</t>
  </si>
  <si>
    <t xml:space="preserve">위 및 십이지장의 기타 질환</t>
  </si>
  <si>
    <t xml:space="preserve">K31</t>
  </si>
  <si>
    <t xml:space="preserve">과민대장증후군</t>
  </si>
  <si>
    <t xml:space="preserve">K58</t>
  </si>
  <si>
    <t xml:space="preserve">기타 기능성 장장애</t>
  </si>
  <si>
    <t xml:space="preserve">K59</t>
  </si>
  <si>
    <t xml:space="preserve">항문 및 직장부의 열창 및 누공</t>
  </si>
  <si>
    <t xml:space="preserve">K60</t>
  </si>
  <si>
    <t xml:space="preserve">항문 및 직장부의 농양</t>
  </si>
  <si>
    <t xml:space="preserve">K61</t>
  </si>
  <si>
    <t xml:space="preserve">소화계통의 기타 질환</t>
  </si>
  <si>
    <t xml:space="preserve">K92</t>
  </si>
  <si>
    <r>
      <rPr>
        <sz val="10"/>
        <rFont val="WenQuanYi Zen Hei"/>
        <family val="2"/>
      </rPr>
      <t xml:space="preserve">달리 분류된 질환에서의 기타 소화기관장애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복막 및 장간막림프절의 결핵성 장애</t>
    </r>
    <r>
      <rPr>
        <sz val="10"/>
        <rFont val="Arial"/>
        <family val="0"/>
        <charset val="1"/>
      </rPr>
      <t xml:space="preserve">(A18.3-*)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</si>
  <si>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K93 (K93.0*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</si>
  <si>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전산홍반루푸스</t>
  </si>
  <si>
    <t xml:space="preserve">M32</t>
  </si>
  <si>
    <t xml:space="preserve">피부다발근염</t>
  </si>
  <si>
    <t xml:space="preserve">M33</t>
  </si>
  <si>
    <t xml:space="preserve">전신경화증</t>
  </si>
  <si>
    <t xml:space="preserve">M34</t>
  </si>
  <si>
    <r>
      <rPr>
        <sz val="10"/>
        <rFont val="WenQuanYi Zen Hei"/>
        <family val="2"/>
      </rPr>
      <t xml:space="preserve">달리 분류된 질환에서의 척추병증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척추의 결핵</t>
    </r>
    <r>
      <rPr>
        <sz val="10"/>
        <rFont val="Arial"/>
        <family val="0"/>
        <charset val="1"/>
      </rPr>
      <t xml:space="preserve">(A18.00†)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</si>
  <si>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M49 (M49.0*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</si>
  <si>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달리 분류되지 않은 기타 등병증</t>
  </si>
  <si>
    <t xml:space="preserve">M53</t>
  </si>
  <si>
    <t xml:space="preserve">등통증</t>
  </si>
  <si>
    <t xml:space="preserve">M54</t>
  </si>
  <si>
    <t xml:space="preserve">근육 장애</t>
  </si>
  <si>
    <t xml:space="preserve">M60~M63</t>
  </si>
  <si>
    <t xml:space="preserve">기타 연조직장애</t>
  </si>
  <si>
    <r>
      <rPr>
        <sz val="10"/>
        <rFont val="Arial"/>
        <family val="0"/>
        <charset val="1"/>
      </rPr>
      <t xml:space="preserve">M70~M79 (M74, M78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</si>
  <si>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골수염</t>
  </si>
  <si>
    <t xml:space="preserve">M86</t>
  </si>
  <si>
    <t xml:space="preserve">골괴사</t>
  </si>
  <si>
    <t xml:space="preserve">M87</t>
  </si>
  <si>
    <t xml:space="preserve">뼈의 파젯병</t>
  </si>
  <si>
    <t xml:space="preserve">M88</t>
  </si>
  <si>
    <t xml:space="preserve">뼈의 기타 장애</t>
  </si>
  <si>
    <t xml:space="preserve">M89</t>
  </si>
  <si>
    <t xml:space="preserve">연골병증</t>
  </si>
  <si>
    <t xml:space="preserve">M91-M94</t>
  </si>
  <si>
    <t xml:space="preserve">상세불명의 신장 급통증</t>
  </si>
  <si>
    <t xml:space="preserve">N23</t>
  </si>
  <si>
    <t xml:space="preserve">다한증</t>
  </si>
  <si>
    <t xml:space="preserve">R61</t>
  </si>
  <si>
    <t xml:space="preserve">후각특정질환</t>
  </si>
  <si>
    <t xml:space="preserve">혈관운동성 및 알레르기성 비염</t>
  </si>
  <si>
    <t xml:space="preserve">J30</t>
  </si>
  <si>
    <r>
      <rPr>
        <sz val="10"/>
        <rFont val="WenQuanYi Zen Hei"/>
        <family val="2"/>
      </rPr>
      <t xml:space="preserve">만성 비염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비인두염 및 인두염</t>
    </r>
  </si>
  <si>
    <t xml:space="preserve">J31</t>
  </si>
  <si>
    <t xml:space="preserve">코폴립</t>
  </si>
  <si>
    <t xml:space="preserve">J33</t>
  </si>
  <si>
    <t xml:space="preserve">코 및 비동의 기타 장애</t>
  </si>
  <si>
    <t xml:space="preserve">J34</t>
  </si>
  <si>
    <t xml:space="preserve">관절염․생식기질환</t>
  </si>
  <si>
    <r>
      <rPr>
        <sz val="10"/>
        <rFont val="WenQuanYi Zen Hei"/>
        <family val="2"/>
      </rPr>
      <t xml:space="preserve">감염성 관절병증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결핵관절염</t>
    </r>
    <r>
      <rPr>
        <sz val="10"/>
        <rFont val="Arial"/>
        <family val="0"/>
        <charset val="1"/>
      </rPr>
      <t xml:space="preserve">(A18.01†)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</si>
  <si>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M00~M03 (M01.1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</si>
  <si>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염증성 다발관절병증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당뇨병성 관절병증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</si>
  <si>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M05~M14 (M14.2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</si>
  <si>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류마티스폐질환</t>
    </r>
    <r>
      <rPr>
        <sz val="10"/>
        <rFont val="Arial"/>
        <family val="0"/>
        <charset val="1"/>
      </rPr>
      <t xml:space="preserve">(M05.1†)</t>
    </r>
  </si>
  <si>
    <t xml:space="preserve">J99.0*</t>
  </si>
  <si>
    <t xml:space="preserve">관절증</t>
  </si>
  <si>
    <t xml:space="preserve">M15~M19</t>
  </si>
  <si>
    <t xml:space="preserve">기타 관절장애</t>
  </si>
  <si>
    <t xml:space="preserve">M20~M25</t>
  </si>
  <si>
    <r>
      <rPr>
        <sz val="10"/>
        <rFont val="WenQuanYi Zen Hei"/>
        <family val="2"/>
      </rPr>
      <t xml:space="preserve">남성생식기관의 질환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남성 불임 제외</t>
    </r>
    <r>
      <rPr>
        <sz val="10"/>
        <rFont val="Arial"/>
        <family val="0"/>
        <charset val="1"/>
      </rPr>
      <t xml:space="preserve">)</t>
    </r>
  </si>
  <si>
    <t xml:space="preserve">N40~N45, N47~N51</t>
  </si>
  <si>
    <r>
      <rPr>
        <sz val="10"/>
        <rFont val="WenQuanYi Zen Hei"/>
        <family val="2"/>
      </rPr>
      <t xml:space="preserve">편모충성 전립선염</t>
    </r>
    <r>
      <rPr>
        <sz val="10"/>
        <rFont val="Arial"/>
        <family val="0"/>
        <charset val="1"/>
      </rPr>
      <t xml:space="preserve">(N51.0*)</t>
    </r>
  </si>
  <si>
    <t xml:space="preserve">A59.08†</t>
  </si>
  <si>
    <r>
      <rPr>
        <sz val="10"/>
        <rFont val="WenQuanYi Zen Hei"/>
        <family val="2"/>
      </rPr>
      <t xml:space="preserve">볼거리고환염</t>
    </r>
    <r>
      <rPr>
        <sz val="10"/>
        <rFont val="Arial"/>
        <family val="0"/>
        <charset val="1"/>
      </rPr>
      <t xml:space="preserve">(N51.1*)</t>
    </r>
  </si>
  <si>
    <t xml:space="preserve">B26.0†</t>
  </si>
  <si>
    <r>
      <rPr>
        <sz val="10"/>
        <rFont val="WenQuanYi Zen Hei"/>
        <family val="2"/>
      </rPr>
      <t xml:space="preserve">여성골반내기관의 염증성 질환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자궁경부의 결핵감염</t>
    </r>
    <r>
      <rPr>
        <sz val="10"/>
        <rFont val="Arial"/>
        <family val="0"/>
        <charset val="1"/>
      </rPr>
      <t xml:space="preserve">(A18.17†)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 (</t>
    </r>
    <r>
      <rPr>
        <sz val="10"/>
        <rFont val="WenQuanYi Zen Hei"/>
        <family val="2"/>
      </rPr>
      <t xml:space="preserve">여성 결핵성 골반염증질환</t>
    </r>
    <r>
      <rPr>
        <sz val="10"/>
        <rFont val="Arial"/>
        <family val="0"/>
        <charset val="1"/>
      </rPr>
      <t xml:space="preserve">(A18.17†) 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</si>
  <si>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N70~N77 (N74.0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 (N74.1</t>
    </r>
    <r>
      <rPr>
        <sz val="10"/>
        <rFont val="WenQuanYi Zen Hei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</si>
  <si>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여성 생식관의 비염증성 장애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습관적 유산자 제외</t>
    </r>
    <r>
      <rPr>
        <sz val="10"/>
        <rFont val="Arial"/>
        <family val="0"/>
        <charset val="1"/>
      </rPr>
      <t xml:space="preserve">) (</t>
    </r>
    <r>
      <rPr>
        <sz val="10"/>
        <rFont val="WenQuanYi Zen Hei"/>
        <family val="2"/>
      </rPr>
      <t xml:space="preserve">여성불임 제외</t>
    </r>
    <r>
      <rPr>
        <sz val="10"/>
        <rFont val="Arial"/>
        <family val="0"/>
        <charset val="1"/>
      </rPr>
      <t xml:space="preserve">) (</t>
    </r>
    <r>
      <rPr>
        <sz val="10"/>
        <rFont val="WenQuanYi Zen Hei"/>
        <family val="2"/>
      </rPr>
      <t xml:space="preserve">인공수정과 관련된 합병증 제외</t>
    </r>
    <r>
      <rPr>
        <sz val="10"/>
        <rFont val="Arial"/>
        <family val="0"/>
        <charset val="1"/>
      </rPr>
      <t xml:space="preserve">)</t>
    </r>
  </si>
  <si>
    <t xml:space="preserve">N80~N95</t>
  </si>
  <si>
    <t xml:space="preserve">달리 분류되지 않은 비뇨생식계통의 처치후 장애</t>
  </si>
  <si>
    <t xml:space="preserve">N99</t>
  </si>
  <si>
    <t xml:space="preserve">치핵</t>
  </si>
  <si>
    <r>
      <rPr>
        <sz val="10"/>
        <rFont val="WenQuanYi Zen Hei"/>
        <family val="2"/>
      </rPr>
      <t xml:space="preserve">포함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치질 제외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합병증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합병된 출산 및 산후기</t>
    </r>
    <r>
      <rPr>
        <sz val="10"/>
        <rFont val="Arial"/>
        <family val="0"/>
        <charset val="1"/>
      </rPr>
      <t xml:space="preserve">(O87.2), </t>
    </r>
    <r>
      <rPr>
        <sz val="10"/>
        <rFont val="WenQuanYi Zen Hei"/>
        <family val="2"/>
      </rPr>
      <t xml:space="preserve">합병된 임신</t>
    </r>
    <r>
      <rPr>
        <sz val="10"/>
        <rFont val="Arial"/>
        <family val="0"/>
        <charset val="1"/>
      </rPr>
      <t xml:space="preserve">(O22.4)</t>
    </r>
  </si>
  <si>
    <t xml:space="preserve">K64</t>
  </si>
  <si>
    <t xml:space="preserve">백내장</t>
  </si>
  <si>
    <t xml:space="preserve">노년성 백내장</t>
  </si>
  <si>
    <t xml:space="preserve">H25</t>
  </si>
  <si>
    <t xml:space="preserve">기타 백내장</t>
  </si>
  <si>
    <t xml:space="preserve">H26</t>
  </si>
  <si>
    <t xml:space="preserve">수정체의 기타 장애</t>
  </si>
  <si>
    <t xml:space="preserve">H27</t>
  </si>
  <si>
    <r>
      <rPr>
        <i val="true"/>
        <sz val="10"/>
        <color rgb="FF46536B"/>
        <rFont val="WenQuanYi Zen Hei"/>
        <family val="2"/>
      </rPr>
      <t xml:space="preserve">특약 마스터</t>
    </r>
    <r>
      <rPr>
        <i val="true"/>
        <sz val="10"/>
        <color rgb="FF46536B"/>
        <rFont val="Arial"/>
        <family val="0"/>
        <charset val="1"/>
      </rPr>
      <t xml:space="preserve">(</t>
    </r>
    <r>
      <rPr>
        <i val="true"/>
        <sz val="10"/>
        <color rgb="FF46536B"/>
        <rFont val="WenQuanYi Zen Hei"/>
        <family val="2"/>
      </rPr>
      <t xml:space="preserve">영업지원도구 케</t>
    </r>
    <r>
      <rPr>
        <i val="true"/>
        <sz val="10"/>
        <color rgb="FF46536B"/>
        <rFont val="Arial"/>
        <family val="0"/>
        <charset val="1"/>
      </rPr>
      <t xml:space="preserve">219 · </t>
    </r>
    <r>
      <rPr>
        <i val="true"/>
        <sz val="10"/>
        <color rgb="FF46536B"/>
        <rFont val="WenQuanYi Zen Hei"/>
        <family val="2"/>
      </rPr>
      <t xml:space="preserve">통</t>
    </r>
    <r>
      <rPr>
        <i val="true"/>
        <sz val="10"/>
        <color rgb="FF46536B"/>
        <rFont val="Arial"/>
        <family val="0"/>
        <charset val="1"/>
      </rPr>
      <t xml:space="preserve">123) </t>
    </r>
    <r>
      <rPr>
        <i val="true"/>
        <sz val="10"/>
        <color rgb="FF46536B"/>
        <rFont val="WenQuanYi Zen Hei"/>
        <family val="2"/>
      </rPr>
      <t xml:space="preserve">기준 </t>
    </r>
    <r>
      <rPr>
        <i val="true"/>
        <sz val="10"/>
        <color rgb="FF46536B"/>
        <rFont val="Arial"/>
        <family val="0"/>
        <charset val="1"/>
      </rPr>
      <t xml:space="preserve">KCD </t>
    </r>
    <r>
      <rPr>
        <i val="true"/>
        <sz val="10"/>
        <color rgb="FF46536B"/>
        <rFont val="WenQuanYi Zen Hei"/>
        <family val="2"/>
      </rPr>
      <t xml:space="preserve">목록</t>
    </r>
    <r>
      <rPr>
        <i val="true"/>
        <sz val="10"/>
        <color rgb="FF46536B"/>
        <rFont val="Arial"/>
        <family val="0"/>
        <charset val="1"/>
      </rPr>
      <t xml:space="preserve">. </t>
    </r>
    <r>
      <rPr>
        <i val="true"/>
        <sz val="10"/>
        <color rgb="FF46536B"/>
        <rFont val="WenQuanYi Zen Hei"/>
        <family val="2"/>
      </rPr>
      <t xml:space="preserve">「제외」는 해당 세부보장에서 빼는 코드 — 다른 세부보장</t>
    </r>
    <r>
      <rPr>
        <i val="true"/>
        <sz val="10"/>
        <color rgb="FF46536B"/>
        <rFont val="Arial"/>
        <family val="0"/>
        <charset val="1"/>
      </rPr>
      <t xml:space="preserve">(</t>
    </r>
    <r>
      <rPr>
        <i val="true"/>
        <sz val="10"/>
        <color rgb="FF46536B"/>
        <rFont val="WenQuanYi Zen Hei"/>
        <family val="2"/>
      </rPr>
      <t xml:space="preserve">예 </t>
    </r>
    <r>
      <rPr>
        <i val="true"/>
        <sz val="10"/>
        <color rgb="FF46536B"/>
        <rFont val="Arial"/>
        <family val="0"/>
        <charset val="1"/>
      </rPr>
      <t xml:space="preserve">: </t>
    </r>
    <r>
      <rPr>
        <i val="true"/>
        <sz val="10"/>
        <color rgb="FF46536B"/>
        <rFont val="WenQuanYi Zen Hei"/>
        <family val="2"/>
      </rPr>
      <t xml:space="preserve">특정</t>
    </r>
    <r>
      <rPr>
        <i val="true"/>
        <sz val="10"/>
        <color rgb="FF46536B"/>
        <rFont val="Arial"/>
        <family val="0"/>
        <charset val="1"/>
      </rPr>
      <t xml:space="preserve">31</t>
    </r>
    <r>
      <rPr>
        <i val="true"/>
        <sz val="10"/>
        <color rgb="FF46536B"/>
        <rFont val="WenQuanYi Zen Hei"/>
        <family val="2"/>
      </rPr>
      <t xml:space="preserve">대</t>
    </r>
    <r>
      <rPr>
        <i val="true"/>
        <sz val="10"/>
        <color rgb="FF46536B"/>
        <rFont val="Arial"/>
        <family val="0"/>
        <charset val="1"/>
      </rPr>
      <t xml:space="preserve">)</t>
    </r>
    <r>
      <rPr>
        <i val="true"/>
        <sz val="10"/>
        <color rgb="FF46536B"/>
        <rFont val="WenQuanYi Zen Hei"/>
        <family val="2"/>
      </rPr>
      <t xml:space="preserve">에서 보장될 수 있음</t>
    </r>
    <r>
      <rPr>
        <i val="true"/>
        <sz val="10"/>
        <color rgb="FF46536B"/>
        <rFont val="Arial"/>
        <family val="0"/>
        <charset val="1"/>
      </rPr>
      <t xml:space="preserve">. 130</t>
    </r>
    <r>
      <rPr>
        <i val="true"/>
        <sz val="10"/>
        <color rgb="FF46536B"/>
        <rFont val="WenQuanYi Zen Hei"/>
        <family val="2"/>
      </rPr>
      <t xml:space="preserve">대 미보장 </t>
    </r>
    <r>
      <rPr>
        <i val="true"/>
        <sz val="10"/>
        <color rgb="FF46536B"/>
        <rFont val="Arial"/>
        <family val="0"/>
        <charset val="1"/>
      </rPr>
      <t xml:space="preserve">= M50 · M51</t>
    </r>
  </si>
  <si>
    <t xml:space="preserve">세부보장</t>
  </si>
  <si>
    <t xml:space="preserve">질병명</t>
  </si>
  <si>
    <r>
      <rPr>
        <b val="true"/>
        <sz val="11"/>
        <color rgb="FFFFFFFF"/>
        <rFont val="Arial"/>
        <family val="0"/>
        <charset val="1"/>
      </rPr>
      <t xml:space="preserve">131</t>
    </r>
    <r>
      <rPr>
        <b val="true"/>
        <sz val="11"/>
        <color rgb="FFFFFFFF"/>
        <rFont val="WenQuanYi Zen Hei"/>
        <family val="2"/>
      </rPr>
      <t xml:space="preserve">대</t>
    </r>
  </si>
  <si>
    <r>
      <rPr>
        <b val="true"/>
        <sz val="11"/>
        <color rgb="FFFFFFFF"/>
        <rFont val="Arial"/>
        <family val="0"/>
        <charset val="1"/>
      </rPr>
      <t xml:space="preserve">130</t>
    </r>
    <r>
      <rPr>
        <b val="true"/>
        <sz val="11"/>
        <color rgb="FFFFFFFF"/>
        <rFont val="WenQuanYi Zen Hei"/>
        <family val="2"/>
      </rPr>
      <t xml:space="preserve">대</t>
    </r>
  </si>
  <si>
    <t xml:space="preserve">거미막하 출혈</t>
  </si>
  <si>
    <t xml:space="preserve">보장</t>
  </si>
  <si>
    <t xml:space="preserve">뇌내 출혈</t>
  </si>
  <si>
    <t xml:space="preserve">기타 비외상성 머리내 출혈</t>
  </si>
  <si>
    <t xml:space="preserve">출혈 또는 경색증으로 명시되지 않은 뇌졸중</t>
  </si>
  <si>
    <t xml:space="preserve">I00</t>
  </si>
  <si>
    <t xml:space="preserve">심장침범에 대한 언급이 없는 류마티스열</t>
  </si>
  <si>
    <t xml:space="preserve">I01</t>
  </si>
  <si>
    <t xml:space="preserve">심장 침범이 있는 류마티스열</t>
  </si>
  <si>
    <t xml:space="preserve">I02</t>
  </si>
  <si>
    <t xml:space="preserve">류마티스무도병</t>
  </si>
  <si>
    <t xml:space="preserve">I05</t>
  </si>
  <si>
    <t xml:space="preserve">류마티스성 승모판질환</t>
  </si>
  <si>
    <t xml:space="preserve">I06</t>
  </si>
  <si>
    <t xml:space="preserve">류마티스성 대동맥판질환</t>
  </si>
  <si>
    <t xml:space="preserve">I07</t>
  </si>
  <si>
    <t xml:space="preserve">류마티스성 삼첨판질환</t>
  </si>
  <si>
    <t xml:space="preserve">I08</t>
  </si>
  <si>
    <t xml:space="preserve">다발판막질환</t>
  </si>
  <si>
    <t xml:space="preserve">I09</t>
  </si>
  <si>
    <t xml:space="preserve">기타 류마티스심장질환</t>
  </si>
  <si>
    <t xml:space="preserve">I20</t>
  </si>
  <si>
    <t xml:space="preserve">협심증</t>
  </si>
  <si>
    <t xml:space="preserve">I21</t>
  </si>
  <si>
    <t xml:space="preserve">급성 심근경색증</t>
  </si>
  <si>
    <t xml:space="preserve">I22</t>
  </si>
  <si>
    <t xml:space="preserve">후속심근경색증</t>
  </si>
  <si>
    <t xml:space="preserve">I23</t>
  </si>
  <si>
    <t xml:space="preserve">급성 심근경색증 후 특정 현존 합병증</t>
  </si>
  <si>
    <t xml:space="preserve">I24</t>
  </si>
  <si>
    <t xml:space="preserve">기타 급성 허혈심장질환</t>
  </si>
  <si>
    <t xml:space="preserve">I25</t>
  </si>
  <si>
    <t xml:space="preserve">만성 허혈심장병</t>
  </si>
  <si>
    <t xml:space="preserve">I26</t>
  </si>
  <si>
    <t xml:space="preserve">폐색전증</t>
  </si>
  <si>
    <t xml:space="preserve">I27</t>
  </si>
  <si>
    <t xml:space="preserve">기타 폐성 심장질환</t>
  </si>
  <si>
    <t xml:space="preserve">I28</t>
  </si>
  <si>
    <t xml:space="preserve">폐혈관의 기타 질환</t>
  </si>
  <si>
    <t xml:space="preserve">I30</t>
  </si>
  <si>
    <t xml:space="preserve">급성 심장막염</t>
  </si>
  <si>
    <t xml:space="preserve">I31</t>
  </si>
  <si>
    <t xml:space="preserve">심장막의 기타 질환</t>
  </si>
  <si>
    <t xml:space="preserve">I32</t>
  </si>
  <si>
    <t xml:space="preserve">달리 분류된 질환에서의 심장막염</t>
  </si>
  <si>
    <t xml:space="preserve">I33</t>
  </si>
  <si>
    <t xml:space="preserve">급성 및 아급성 심내막염</t>
  </si>
  <si>
    <t xml:space="preserve">I34</t>
  </si>
  <si>
    <t xml:space="preserve">비류마티스성 승모판장애</t>
  </si>
  <si>
    <t xml:space="preserve">I35</t>
  </si>
  <si>
    <t xml:space="preserve">비류마티스성 대동맥판장애</t>
  </si>
  <si>
    <t xml:space="preserve">I36</t>
  </si>
  <si>
    <t xml:space="preserve">비류마티스성 삼첨판장애</t>
  </si>
  <si>
    <t xml:space="preserve">I37</t>
  </si>
  <si>
    <t xml:space="preserve">폐동맥판장애</t>
  </si>
  <si>
    <t xml:space="preserve">I38</t>
  </si>
  <si>
    <t xml:space="preserve">상세불명 판막의 심내막염</t>
  </si>
  <si>
    <t xml:space="preserve">I39</t>
  </si>
  <si>
    <t xml:space="preserve">달리 분류된 질환에서의 심내막염 및 심장판막장애</t>
  </si>
  <si>
    <t xml:space="preserve">I40</t>
  </si>
  <si>
    <t xml:space="preserve">급성 심근염</t>
  </si>
  <si>
    <t xml:space="preserve">I41</t>
  </si>
  <si>
    <t xml:space="preserve">달리 분류된 질환에서의 심근염</t>
  </si>
  <si>
    <t xml:space="preserve">I42</t>
  </si>
  <si>
    <t xml:space="preserve">심근병증</t>
  </si>
  <si>
    <t xml:space="preserve">I43</t>
  </si>
  <si>
    <t xml:space="preserve">달리 분류된 질환에서의 심근병증</t>
  </si>
  <si>
    <t xml:space="preserve">I44</t>
  </si>
  <si>
    <t xml:space="preserve">방실차단 및 좌각차단</t>
  </si>
  <si>
    <t xml:space="preserve">I45</t>
  </si>
  <si>
    <t xml:space="preserve">기타 전도장애</t>
  </si>
  <si>
    <t xml:space="preserve">I46</t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</si>
  <si>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기타 형태의 심장병</t>
    </r>
  </si>
  <si>
    <t xml:space="preserve">I47</t>
  </si>
  <si>
    <t xml:space="preserve">발작성 빈맥</t>
  </si>
  <si>
    <t xml:space="preserve">I48</t>
  </si>
  <si>
    <t xml:space="preserve">심방세동 및 조동</t>
  </si>
  <si>
    <t xml:space="preserve">I49</t>
  </si>
  <si>
    <t xml:space="preserve">기타 심장부정맥</t>
  </si>
  <si>
    <t xml:space="preserve">I50</t>
  </si>
  <si>
    <t xml:space="preserve">심부전</t>
  </si>
  <si>
    <t xml:space="preserve">I51</t>
  </si>
  <si>
    <t xml:space="preserve">심장병의 불명확한 기록 및 합병증</t>
  </si>
  <si>
    <t xml:space="preserve">I52</t>
  </si>
  <si>
    <t xml:space="preserve">달리 분류된 질환에서의 기타 심장장애</t>
  </si>
  <si>
    <t xml:space="preserve">I41.0</t>
  </si>
  <si>
    <t xml:space="preserve">수막알균성 심근염</t>
  </si>
  <si>
    <t xml:space="preserve">A39.5</t>
  </si>
  <si>
    <t xml:space="preserve">수막알균성 심장병</t>
  </si>
  <si>
    <t xml:space="preserve">I39.8</t>
  </si>
  <si>
    <t xml:space="preserve">달리 분류된 질환에서의 상세불명 판막의 심내막염</t>
  </si>
  <si>
    <t xml:space="preserve">I32.0</t>
  </si>
  <si>
    <t xml:space="preserve">수막알균성 심장막염</t>
  </si>
  <si>
    <t xml:space="preserve">I52.0</t>
  </si>
  <si>
    <t xml:space="preserve">수막알균성 심장염</t>
  </si>
  <si>
    <t xml:space="preserve">B37.6</t>
  </si>
  <si>
    <r>
      <rPr>
        <sz val="10"/>
        <rFont val="WenQuanYi Zen Hei"/>
        <family val="2"/>
      </rPr>
      <t xml:space="preserve">특정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대질병</t>
    </r>
  </si>
  <si>
    <t xml:space="preserve">A83</t>
  </si>
  <si>
    <t xml:space="preserve">뇌의 특정염증성질환</t>
  </si>
  <si>
    <t xml:space="preserve">A84</t>
  </si>
  <si>
    <t xml:space="preserve">A85</t>
  </si>
  <si>
    <t xml:space="preserve">A86</t>
  </si>
  <si>
    <t xml:space="preserve">A85.0</t>
  </si>
  <si>
    <r>
      <rPr>
        <sz val="10"/>
        <rFont val="WenQuanYi Zen Hei"/>
        <family val="2"/>
      </rPr>
      <t xml:space="preserve">엔테로바이러스뇌염</t>
    </r>
    <r>
      <rPr>
        <sz val="10"/>
        <rFont val="Arial"/>
        <family val="0"/>
        <charset val="1"/>
      </rPr>
      <t xml:space="preserve">(G05.1*)</t>
    </r>
  </si>
  <si>
    <t xml:space="preserve">B15</t>
  </si>
  <si>
    <r>
      <rPr>
        <sz val="10"/>
        <rFont val="WenQuanYi Zen Hei"/>
        <family val="2"/>
      </rPr>
      <t xml:space="preserve">급성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형간염</t>
    </r>
  </si>
  <si>
    <t xml:space="preserve">B16</t>
  </si>
  <si>
    <r>
      <rPr>
        <sz val="10"/>
        <rFont val="WenQuanYi Zen Hei"/>
        <family val="2"/>
      </rPr>
      <t xml:space="preserve">급성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형간염</t>
    </r>
  </si>
  <si>
    <t xml:space="preserve">B17</t>
  </si>
  <si>
    <t xml:space="preserve">B18</t>
  </si>
  <si>
    <t xml:space="preserve">B19</t>
  </si>
  <si>
    <t xml:space="preserve">상세불명의 바이러스간염</t>
  </si>
  <si>
    <t xml:space="preserve">K70</t>
  </si>
  <si>
    <t xml:space="preserve">알코올성 간질환</t>
  </si>
  <si>
    <t xml:space="preserve">K71</t>
  </si>
  <si>
    <t xml:space="preserve">간의 질환</t>
  </si>
  <si>
    <t xml:space="preserve">K72</t>
  </si>
  <si>
    <t xml:space="preserve">K73</t>
  </si>
  <si>
    <t xml:space="preserve">K74</t>
  </si>
  <si>
    <t xml:space="preserve">간의 섬유증 및 경변증</t>
  </si>
  <si>
    <t xml:space="preserve">K75</t>
  </si>
  <si>
    <t xml:space="preserve">K76</t>
  </si>
  <si>
    <t xml:space="preserve">K77</t>
  </si>
  <si>
    <t xml:space="preserve">달리 분류된 질환에서의 간장애</t>
  </si>
  <si>
    <t xml:space="preserve">K77.0</t>
  </si>
  <si>
    <t xml:space="preserve">달리 분류된 감염성 질환에서의 간장애</t>
  </si>
  <si>
    <t xml:space="preserve">B25.1</t>
  </si>
  <si>
    <t xml:space="preserve">B58.1</t>
  </si>
  <si>
    <t xml:space="preserve">배경망막병증 및 망막혈관변화</t>
  </si>
  <si>
    <r>
      <rPr>
        <sz val="10"/>
        <rFont val="WenQuanYi Zen Hei"/>
        <family val="2"/>
      </rPr>
      <t xml:space="preserve">영양실조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관련 당뇨병</t>
    </r>
  </si>
  <si>
    <t xml:space="preserve">G59.0</t>
  </si>
  <si>
    <r>
      <rPr>
        <sz val="10"/>
        <rFont val="WenQuanYi Zen Hei"/>
        <family val="2"/>
      </rPr>
      <t xml:space="preserve">당뇨병성 단일신경병증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.40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</t>
    </r>
  </si>
  <si>
    <t xml:space="preserve">G63.2</t>
  </si>
  <si>
    <r>
      <rPr>
        <sz val="10"/>
        <rFont val="WenQuanYi Zen Hei"/>
        <family val="2"/>
      </rPr>
      <t xml:space="preserve">당뇨병성 다발신경병증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.41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</t>
    </r>
  </si>
  <si>
    <t xml:space="preserve">H28.0</t>
  </si>
  <si>
    <r>
      <rPr>
        <sz val="10"/>
        <rFont val="WenQuanYi Zen Hei"/>
        <family val="2"/>
      </rPr>
      <t xml:space="preserve">당뇨병성 백내장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.34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</t>
    </r>
  </si>
  <si>
    <t xml:space="preserve">H36.0</t>
  </si>
  <si>
    <r>
      <rPr>
        <sz val="10"/>
        <rFont val="WenQuanYi Zen Hei"/>
        <family val="2"/>
      </rPr>
      <t xml:space="preserve">당뇨병성 망막병증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.30, .31, .32, .33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</t>
    </r>
  </si>
  <si>
    <t xml:space="preserve">M14.2</t>
  </si>
  <si>
    <r>
      <rPr>
        <sz val="10"/>
        <rFont val="WenQuanYi Zen Hei"/>
        <family val="2"/>
      </rPr>
      <t xml:space="preserve">당뇨병성 관절병증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.60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</t>
    </r>
  </si>
  <si>
    <t xml:space="preserve">N08.3</t>
  </si>
  <si>
    <r>
      <rPr>
        <sz val="10"/>
        <rFont val="WenQuanYi Zen Hei"/>
        <family val="2"/>
      </rPr>
      <t xml:space="preserve">당뇨병에서의 사구체장애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</t>
    </r>
    <r>
      <rPr>
        <sz val="10"/>
        <rFont val="Arial"/>
        <family val="0"/>
        <charset val="1"/>
      </rPr>
      <t xml:space="preserve">.2-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</t>
    </r>
  </si>
  <si>
    <t xml:space="preserve">기타 명시된 내분비장애</t>
  </si>
  <si>
    <t xml:space="preserve">단순성 및 점액화농성 만성 기관지염</t>
  </si>
  <si>
    <t xml:space="preserve">A15</t>
  </si>
  <si>
    <t xml:space="preserve">세균학적 및 조직학적으로 확인된 호흡기결핵</t>
  </si>
  <si>
    <t xml:space="preserve">A16</t>
  </si>
  <si>
    <t xml:space="preserve">세균학적으로나 조직학적으로 확인되지 않은 호흡기결핵</t>
  </si>
  <si>
    <t xml:space="preserve">A17</t>
  </si>
  <si>
    <t xml:space="preserve">신경계통의 결핵</t>
  </si>
  <si>
    <t xml:space="preserve">A18</t>
  </si>
  <si>
    <t xml:space="preserve">기타 기관의 결핵</t>
  </si>
  <si>
    <t xml:space="preserve">A19</t>
  </si>
  <si>
    <t xml:space="preserve">좁쌀결핵</t>
  </si>
  <si>
    <t xml:space="preserve">A18.30</t>
  </si>
  <si>
    <t xml:space="preserve">결핵성 복막염</t>
  </si>
  <si>
    <t xml:space="preserve">K67.3</t>
  </si>
  <si>
    <r>
      <rPr>
        <sz val="10"/>
        <rFont val="WenQuanYi Zen Hei"/>
        <family val="2"/>
      </rPr>
      <t xml:space="preserve">결핵성 복막염</t>
    </r>
    <r>
      <rPr>
        <sz val="10"/>
        <rFont val="Arial"/>
        <family val="0"/>
        <charset val="1"/>
      </rPr>
      <t xml:space="preserve">(A18.30†)</t>
    </r>
  </si>
  <si>
    <t xml:space="preserve">K93.0</t>
  </si>
  <si>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복막 및 장간막림프절의 결핵성 장애</t>
    </r>
    <r>
      <rPr>
        <sz val="10"/>
        <rFont val="Arial"/>
        <family val="0"/>
        <charset val="1"/>
      </rPr>
      <t xml:space="preserve">(A18.3-†)</t>
    </r>
  </si>
  <si>
    <t xml:space="preserve">A18.3</t>
  </si>
  <si>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복막 및 창자간막림프절의 결핵</t>
    </r>
  </si>
  <si>
    <t xml:space="preserve">M01.1</t>
  </si>
  <si>
    <t xml:space="preserve">결핵 관절염</t>
  </si>
  <si>
    <t xml:space="preserve">A18.01</t>
  </si>
  <si>
    <t xml:space="preserve">결핵관절염</t>
  </si>
  <si>
    <t xml:space="preserve">M49.0</t>
  </si>
  <si>
    <t xml:space="preserve">척추의 결핵</t>
  </si>
  <si>
    <t xml:space="preserve">A18.00</t>
  </si>
  <si>
    <t xml:space="preserve">M90.0</t>
  </si>
  <si>
    <t xml:space="preserve">뼈의 결핵</t>
  </si>
  <si>
    <t xml:space="preserve">A18.02</t>
  </si>
  <si>
    <t xml:space="preserve">N33.0</t>
  </si>
  <si>
    <r>
      <rPr>
        <sz val="10"/>
        <rFont val="WenQuanYi Zen Hei"/>
        <family val="2"/>
      </rPr>
      <t xml:space="preserve">결핵성 방광염</t>
    </r>
    <r>
      <rPr>
        <sz val="10"/>
        <rFont val="Arial"/>
        <family val="0"/>
        <charset val="1"/>
      </rPr>
      <t xml:space="preserve">(A18.11†)</t>
    </r>
  </si>
  <si>
    <t xml:space="preserve">A18.11</t>
  </si>
  <si>
    <t xml:space="preserve">결핵성 방광염</t>
  </si>
  <si>
    <t xml:space="preserve">N74.0</t>
  </si>
  <si>
    <r>
      <rPr>
        <sz val="10"/>
        <rFont val="WenQuanYi Zen Hei"/>
        <family val="2"/>
      </rPr>
      <t xml:space="preserve">자궁경부의 결핵감염</t>
    </r>
    <r>
      <rPr>
        <sz val="10"/>
        <rFont val="Arial"/>
        <family val="0"/>
        <charset val="1"/>
      </rPr>
      <t xml:space="preserve">(A18.17†)</t>
    </r>
  </si>
  <si>
    <t xml:space="preserve">A18.17</t>
  </si>
  <si>
    <t xml:space="preserve">자궁경부의 결핵감염</t>
  </si>
  <si>
    <t xml:space="preserve">N74.1</t>
  </si>
  <si>
    <r>
      <rPr>
        <sz val="10"/>
        <rFont val="WenQuanYi Zen Hei"/>
        <family val="2"/>
      </rPr>
      <t xml:space="preserve">여성 결핵성 골반염증질환</t>
    </r>
    <r>
      <rPr>
        <sz val="10"/>
        <rFont val="Arial"/>
        <family val="0"/>
        <charset val="1"/>
      </rPr>
      <t xml:space="preserve">(A18.17†)</t>
    </r>
  </si>
  <si>
    <t xml:space="preserve">A39.0</t>
  </si>
  <si>
    <t xml:space="preserve">달리 분류된 기타 감염성 및 기생충 질환에서의 수막염</t>
  </si>
  <si>
    <t xml:space="preserve">A87.1</t>
  </si>
  <si>
    <r>
      <rPr>
        <sz val="10"/>
        <rFont val="WenQuanYi Zen Hei"/>
        <family val="2"/>
      </rPr>
      <t xml:space="preserve">아데노바이러스수막염</t>
    </r>
    <r>
      <rPr>
        <sz val="10"/>
        <rFont val="Arial"/>
        <family val="0"/>
        <charset val="1"/>
      </rPr>
      <t xml:space="preserve">(G02.0*)</t>
    </r>
  </si>
  <si>
    <t xml:space="preserve">G02.0</t>
  </si>
  <si>
    <t xml:space="preserve">달리 분류된 바이러스질환에서의 수막염</t>
  </si>
  <si>
    <t xml:space="preserve">A87.0</t>
  </si>
  <si>
    <r>
      <rPr>
        <sz val="10"/>
        <rFont val="WenQuanYi Zen Hei"/>
        <family val="2"/>
      </rPr>
      <t xml:space="preserve">엔테로바이러스수막염</t>
    </r>
    <r>
      <rPr>
        <sz val="10"/>
        <rFont val="Arial"/>
        <family val="0"/>
        <charset val="1"/>
      </rPr>
      <t xml:space="preserve">(G02.0*)</t>
    </r>
  </si>
  <si>
    <t xml:space="preserve">B00.3</t>
  </si>
  <si>
    <r>
      <rPr>
        <sz val="10"/>
        <rFont val="WenQuanYi Zen Hei"/>
        <family val="2"/>
      </rPr>
      <t xml:space="preserve">헤르페스바이러스수막염</t>
    </r>
    <r>
      <rPr>
        <sz val="10"/>
        <rFont val="Arial"/>
        <family val="0"/>
        <charset val="1"/>
      </rPr>
      <t xml:space="preserve">(G02.0*)</t>
    </r>
  </si>
  <si>
    <t xml:space="preserve">B01.0</t>
  </si>
  <si>
    <t xml:space="preserve">수두수막염</t>
  </si>
  <si>
    <t xml:space="preserve">B02.1</t>
  </si>
  <si>
    <t xml:space="preserve">대상포진수막염</t>
  </si>
  <si>
    <t xml:space="preserve">B05.1</t>
  </si>
  <si>
    <r>
      <rPr>
        <sz val="10"/>
        <rFont val="WenQuanYi Zen Hei"/>
        <family val="2"/>
      </rPr>
      <t xml:space="preserve">수막염이 합병된 홍역</t>
    </r>
    <r>
      <rPr>
        <sz val="10"/>
        <rFont val="Arial"/>
        <family val="0"/>
        <charset val="1"/>
      </rPr>
      <t xml:space="preserve">(G02.0*)</t>
    </r>
  </si>
  <si>
    <t xml:space="preserve">B26.1</t>
  </si>
  <si>
    <t xml:space="preserve">볼거리수막염</t>
  </si>
  <si>
    <t xml:space="preserve">G02.1</t>
  </si>
  <si>
    <t xml:space="preserve">진균증에서의 수막염</t>
  </si>
  <si>
    <t xml:space="preserve">B37.5</t>
  </si>
  <si>
    <t xml:space="preserve">칸디다수막염</t>
  </si>
  <si>
    <t xml:space="preserve">B38.4</t>
  </si>
  <si>
    <r>
      <rPr>
        <sz val="10"/>
        <rFont val="WenQuanYi Zen Hei"/>
        <family val="2"/>
      </rPr>
      <t xml:space="preserve">콕시디오이데스진균수막염</t>
    </r>
    <r>
      <rPr>
        <sz val="10"/>
        <rFont val="Arial"/>
        <family val="0"/>
        <charset val="1"/>
      </rPr>
      <t xml:space="preserve">(G02.1*)</t>
    </r>
  </si>
  <si>
    <r>
      <rPr>
        <sz val="10"/>
        <rFont val="WenQuanYi Zen Hei"/>
        <family val="2"/>
      </rPr>
      <t xml:space="preserve">달리 분류된 질환에서의 뇌염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척수염 및 뇌척수염</t>
    </r>
  </si>
  <si>
    <t xml:space="preserve">A85.1</t>
  </si>
  <si>
    <r>
      <rPr>
        <sz val="10"/>
        <rFont val="WenQuanYi Zen Hei"/>
        <family val="2"/>
      </rPr>
      <t xml:space="preserve">아데노바이러스뇌염</t>
    </r>
    <r>
      <rPr>
        <sz val="10"/>
        <rFont val="Arial"/>
        <family val="0"/>
        <charset val="1"/>
      </rPr>
      <t xml:space="preserve">(G05.1*)</t>
    </r>
  </si>
  <si>
    <t xml:space="preserve">G05.1</t>
  </si>
  <si>
    <r>
      <rPr>
        <sz val="10"/>
        <rFont val="WenQuanYi Zen Hei"/>
        <family val="2"/>
      </rPr>
      <t xml:space="preserve">바이러스질환에서의 뇌염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척수염 및 뇌척수염</t>
    </r>
  </si>
  <si>
    <t xml:space="preserve">B00.4</t>
  </si>
  <si>
    <r>
      <rPr>
        <sz val="10"/>
        <rFont val="WenQuanYi Zen Hei"/>
        <family val="2"/>
      </rPr>
      <t xml:space="preserve">헤르페스바이러스뇌염</t>
    </r>
    <r>
      <rPr>
        <sz val="10"/>
        <rFont val="Arial"/>
        <family val="0"/>
        <charset val="1"/>
      </rPr>
      <t xml:space="preserve">(G05.1*)</t>
    </r>
  </si>
  <si>
    <t xml:space="preserve">B01.1</t>
  </si>
  <si>
    <r>
      <rPr>
        <sz val="10"/>
        <rFont val="WenQuanYi Zen Hei"/>
        <family val="2"/>
      </rPr>
      <t xml:space="preserve">수두뇌염</t>
    </r>
    <r>
      <rPr>
        <sz val="10"/>
        <rFont val="Arial"/>
        <family val="0"/>
        <charset val="1"/>
      </rPr>
      <t xml:space="preserve">(G05.1*)</t>
    </r>
  </si>
  <si>
    <t xml:space="preserve">B02.0</t>
  </si>
  <si>
    <r>
      <rPr>
        <sz val="10"/>
        <rFont val="WenQuanYi Zen Hei"/>
        <family val="2"/>
      </rPr>
      <t xml:space="preserve">대상포진뇌염</t>
    </r>
    <r>
      <rPr>
        <sz val="10"/>
        <rFont val="Arial"/>
        <family val="0"/>
        <charset val="1"/>
      </rPr>
      <t xml:space="preserve">(G05.1*)</t>
    </r>
  </si>
  <si>
    <t xml:space="preserve">B05.0</t>
  </si>
  <si>
    <r>
      <rPr>
        <sz val="10"/>
        <rFont val="WenQuanYi Zen Hei"/>
        <family val="2"/>
      </rPr>
      <t xml:space="preserve">뇌염이 합병된 홍역</t>
    </r>
    <r>
      <rPr>
        <sz val="10"/>
        <rFont val="Arial"/>
        <family val="0"/>
        <charset val="1"/>
      </rPr>
      <t xml:space="preserve">(G05.1*)</t>
    </r>
  </si>
  <si>
    <t xml:space="preserve">B26.2</t>
  </si>
  <si>
    <r>
      <rPr>
        <sz val="10"/>
        <rFont val="WenQuanYi Zen Hei"/>
        <family val="2"/>
      </rPr>
      <t xml:space="preserve">볼거리뇌염</t>
    </r>
    <r>
      <rPr>
        <sz val="10"/>
        <rFont val="Arial"/>
        <family val="0"/>
        <charset val="1"/>
      </rPr>
      <t xml:space="preserve">(G05.1*)</t>
    </r>
  </si>
  <si>
    <t xml:space="preserve">A06.6</t>
  </si>
  <si>
    <t xml:space="preserve">아메바성 뇌농양</t>
  </si>
  <si>
    <t xml:space="preserve">두개내 및 척추내 정맥염 및 혈전정맥염</t>
  </si>
  <si>
    <t xml:space="preserve">이차성 파킨슨증</t>
  </si>
  <si>
    <t xml:space="preserve">J17.1</t>
  </si>
  <si>
    <t xml:space="preserve">달리 분류된 바이러스질환에서의 폐렴</t>
  </si>
  <si>
    <t xml:space="preserve">B01.2</t>
  </si>
  <si>
    <t xml:space="preserve">수두폐렴</t>
  </si>
  <si>
    <t xml:space="preserve">B05.2</t>
  </si>
  <si>
    <t xml:space="preserve">B25.0</t>
  </si>
  <si>
    <r>
      <rPr>
        <sz val="10"/>
        <rFont val="WenQuanYi Zen Hei"/>
        <family val="2"/>
      </rPr>
      <t xml:space="preserve">거대세포바이러스폐렴</t>
    </r>
    <r>
      <rPr>
        <sz val="10"/>
        <rFont val="Arial"/>
        <family val="0"/>
        <charset val="1"/>
      </rPr>
      <t xml:space="preserve">(J17.1*)</t>
    </r>
  </si>
  <si>
    <t xml:space="preserve">J17.3</t>
  </si>
  <si>
    <t xml:space="preserve">기생충질환에서의 폐렴</t>
  </si>
  <si>
    <t xml:space="preserve">B58.3</t>
  </si>
  <si>
    <r>
      <rPr>
        <sz val="10"/>
        <rFont val="WenQuanYi Zen Hei"/>
        <family val="2"/>
      </rPr>
      <t xml:space="preserve">폐톡소포자충증</t>
    </r>
    <r>
      <rPr>
        <sz val="10"/>
        <rFont val="Arial"/>
        <family val="0"/>
        <charset val="1"/>
      </rPr>
      <t xml:space="preserve">(J17.3*)</t>
    </r>
  </si>
  <si>
    <t xml:space="preserve">J85</t>
  </si>
  <si>
    <t xml:space="preserve">J86</t>
  </si>
  <si>
    <t xml:space="preserve">J90</t>
  </si>
  <si>
    <t xml:space="preserve">달리 분류되지 않은 흉막삼출액</t>
  </si>
  <si>
    <t xml:space="preserve">J91</t>
  </si>
  <si>
    <t xml:space="preserve">달리 분류된 병태에서의 흉막삼출액</t>
  </si>
  <si>
    <t xml:space="preserve">J92</t>
  </si>
  <si>
    <t xml:space="preserve">J93</t>
  </si>
  <si>
    <t xml:space="preserve">J94</t>
  </si>
  <si>
    <t xml:space="preserve">J60</t>
  </si>
  <si>
    <t xml:space="preserve">탄광부진폐증</t>
  </si>
  <si>
    <t xml:space="preserve">J61</t>
  </si>
  <si>
    <t xml:space="preserve">석면 및 기타 광섬유에 의한 진폐증</t>
  </si>
  <si>
    <t xml:space="preserve">J62</t>
  </si>
  <si>
    <t xml:space="preserve">실리카를 함유한 먼지에 의한 진폐증</t>
  </si>
  <si>
    <t xml:space="preserve">J63</t>
  </si>
  <si>
    <t xml:space="preserve">기타 무기물먼지에 의한 진폐증</t>
  </si>
  <si>
    <t xml:space="preserve">J64</t>
  </si>
  <si>
    <t xml:space="preserve">상세불명의 진폐증</t>
  </si>
  <si>
    <t xml:space="preserve">J65</t>
  </si>
  <si>
    <t xml:space="preserve">결핵과 연관된 진폐증</t>
  </si>
  <si>
    <t xml:space="preserve">J66</t>
  </si>
  <si>
    <t xml:space="preserve">J67</t>
  </si>
  <si>
    <t xml:space="preserve">J68</t>
  </si>
  <si>
    <t xml:space="preserve">J69</t>
  </si>
  <si>
    <t xml:space="preserve">J70</t>
  </si>
  <si>
    <t xml:space="preserve">B25.2</t>
  </si>
  <si>
    <r>
      <rPr>
        <sz val="10"/>
        <rFont val="WenQuanYi Zen Hei"/>
        <family val="2"/>
      </rPr>
      <t xml:space="preserve">거대세포바이러스췌장염</t>
    </r>
    <r>
      <rPr>
        <sz val="10"/>
        <rFont val="Arial"/>
        <family val="0"/>
        <charset val="1"/>
      </rPr>
      <t xml:space="preserve">(K87.1*)</t>
    </r>
  </si>
  <si>
    <t xml:space="preserve">K87.1</t>
  </si>
  <si>
    <t xml:space="preserve">달리 분류된 질환에서의 췌장장애</t>
  </si>
  <si>
    <t xml:space="preserve">B26.3</t>
  </si>
  <si>
    <t xml:space="preserve">볼거리췌장염</t>
  </si>
  <si>
    <t xml:space="preserve">N17</t>
  </si>
  <si>
    <r>
      <rPr>
        <sz val="10"/>
        <rFont val="WenQuanYi Zen Hei"/>
        <family val="2"/>
      </rPr>
      <t xml:space="preserve">급성 콩팥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신장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기능상실</t>
    </r>
  </si>
  <si>
    <t xml:space="preserve">N18</t>
  </si>
  <si>
    <t xml:space="preserve">만성 콩팥병</t>
  </si>
  <si>
    <t xml:space="preserve">N19</t>
  </si>
  <si>
    <t xml:space="preserve">상세불명의 콩팥기능상실</t>
  </si>
  <si>
    <r>
      <rPr>
        <sz val="10"/>
        <rFont val="WenQuanYi Zen Hei"/>
        <family val="2"/>
      </rPr>
      <t xml:space="preserve">다빈도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/62</t>
    </r>
    <r>
      <rPr>
        <sz val="10"/>
        <rFont val="WenQuanYi Zen Hei"/>
        <family val="2"/>
      </rPr>
      <t xml:space="preserve">대질병</t>
    </r>
  </si>
  <si>
    <t xml:space="preserve">주침샘의 양성 신생물</t>
  </si>
  <si>
    <t xml:space="preserve">기타 및 부위불명의 소화계통의 양성 신생물</t>
  </si>
  <si>
    <t xml:space="preserve">기타 및 상세불명의 흉곽내기관의 양성 신생물</t>
  </si>
  <si>
    <t xml:space="preserve">골 및 관절연골의 양성 신생물</t>
  </si>
  <si>
    <t xml:space="preserve">결합조직 및 기타 연조직의 기타 양성 신생물</t>
  </si>
  <si>
    <t xml:space="preserve">기타 및 상세불명의 여성생식기관의 양성 신생물</t>
  </si>
  <si>
    <t xml:space="preserve">남성생식기관의 양성 신생물</t>
  </si>
  <si>
    <t xml:space="preserve">눈 및 부속기의 양성 신생물</t>
  </si>
  <si>
    <t xml:space="preserve">수막의 양성 신생물</t>
  </si>
  <si>
    <t xml:space="preserve">뇌 및 중추신경계통의 기타 부분의 양성 신생물</t>
  </si>
  <si>
    <t xml:space="preserve">갑상선의 양성 신생물</t>
  </si>
  <si>
    <t xml:space="preserve">기타 및 상세불명의 내분비선의 양성 신생물</t>
  </si>
  <si>
    <t xml:space="preserve">처치후 갑상선기능저하증</t>
  </si>
  <si>
    <t xml:space="preserve">확인된 동물매개 또는 범유행 인플루엔자바이러스에 의한 인플루엔자</t>
  </si>
  <si>
    <t xml:space="preserve">확인된 계절성 인플루엔자바이러스에 의한 인플루엔자</t>
  </si>
  <si>
    <t xml:space="preserve">편도주위농양만성 후두염 및 후두기관염달리 분류되지 않은 성대및 후두의 질환상기도의 기타 질환</t>
  </si>
  <si>
    <t xml:space="preserve">외이의 질환 외이의 질환</t>
  </si>
  <si>
    <t xml:space="preserve">황반변성 황반 및 후극부의 변성</t>
  </si>
  <si>
    <t xml:space="preserve">눈 및 눈부속기의 기타 처치후 장애</t>
  </si>
  <si>
    <t xml:space="preserve">달리 분류되지 않은 유전성 신장병증</t>
  </si>
  <si>
    <t xml:space="preserve">폐색성 및 역류성 요로병증</t>
  </si>
  <si>
    <r>
      <rPr>
        <sz val="10"/>
        <rFont val="WenQuanYi Zen Hei"/>
        <family val="2"/>
      </rPr>
      <t xml:space="preserve">약물 및 중금속 유발 세뇨관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간질 및 세뇨관 병태</t>
    </r>
  </si>
  <si>
    <t xml:space="preserve">신세뇨관기능손상으로 인한 장애</t>
  </si>
  <si>
    <t xml:space="preserve">탈장이 없는 마비성 장폐색증 및 장폐쇄</t>
  </si>
  <si>
    <t xml:space="preserve">결절성 다발동맥염 및 관련 병태</t>
  </si>
  <si>
    <t xml:space="preserve">미보장</t>
  </si>
  <si>
    <t xml:space="preserve">E00~E07</t>
  </si>
  <si>
    <t xml:space="preserve">H06.2</t>
  </si>
  <si>
    <r>
      <rPr>
        <sz val="10"/>
        <rFont val="WenQuanYi Zen Hei"/>
        <family val="2"/>
      </rPr>
      <t xml:space="preserve">갑상선이상성 안구돌출</t>
    </r>
    <r>
      <rPr>
        <sz val="10"/>
        <rFont val="Arial"/>
        <family val="0"/>
        <charset val="1"/>
      </rPr>
      <t xml:space="preserve">(E05.0†)</t>
    </r>
  </si>
  <si>
    <t xml:space="preserve">J00~J06</t>
  </si>
  <si>
    <t xml:space="preserve">H65~H75</t>
  </si>
  <si>
    <t xml:space="preserve">H67.1</t>
  </si>
  <si>
    <t xml:space="preserve">바이러스질환에서의 중이염</t>
  </si>
  <si>
    <t xml:space="preserve">B05.3</t>
  </si>
  <si>
    <r>
      <rPr>
        <sz val="10"/>
        <rFont val="WenQuanYi Zen Hei"/>
        <family val="2"/>
      </rPr>
      <t xml:space="preserve">중이염이 합병된 홍역</t>
    </r>
    <r>
      <rPr>
        <sz val="10"/>
        <rFont val="Arial"/>
        <family val="0"/>
        <charset val="1"/>
      </rPr>
      <t xml:space="preserve">(H67.1*)</t>
    </r>
  </si>
  <si>
    <t xml:space="preserve">H80~H83</t>
  </si>
  <si>
    <t xml:space="preserve">내이의 질환 내이의 질환</t>
  </si>
  <si>
    <t xml:space="preserve">H90~H95</t>
  </si>
  <si>
    <t xml:space="preserve">귀의 기타 장애</t>
  </si>
  <si>
    <t xml:space="preserve">H15~H22</t>
  </si>
  <si>
    <r>
      <rPr>
        <sz val="10"/>
        <rFont val="WenQuanYi Zen Hei"/>
        <family val="2"/>
      </rPr>
      <t xml:space="preserve">공막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홍채 및</t>
    </r>
  </si>
  <si>
    <t xml:space="preserve">H19.1</t>
  </si>
  <si>
    <r>
      <rPr>
        <sz val="10"/>
        <rFont val="WenQuanYi Zen Hei"/>
        <family val="2"/>
      </rPr>
      <t xml:space="preserve">헤르페스바이러스 각막염 및 각막결막염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간질각막염</t>
    </r>
    <r>
      <rPr>
        <sz val="10"/>
        <rFont val="Arial"/>
        <family val="0"/>
        <charset val="1"/>
      </rPr>
      <t xml:space="preserve">)</t>
    </r>
  </si>
  <si>
    <t xml:space="preserve">H19.2</t>
  </si>
  <si>
    <t xml:space="preserve">감염성 질환에서의 각막염 및 각막결막염</t>
  </si>
  <si>
    <t xml:space="preserve">H19.3</t>
  </si>
  <si>
    <t xml:space="preserve">달리 분류된 기타 질환에서의 각막염 및 각막결막염</t>
  </si>
  <si>
    <t xml:space="preserve">H22.0</t>
  </si>
  <si>
    <t xml:space="preserve">감염성 질환에서의 홍채섬모체염</t>
  </si>
  <si>
    <t xml:space="preserve">B00.50</t>
  </si>
  <si>
    <t xml:space="preserve">헤르페스바이러스 홍채섬모체염</t>
  </si>
  <si>
    <t xml:space="preserve">B00.51</t>
  </si>
  <si>
    <t xml:space="preserve">헤르페스바이러스 간질각막염</t>
  </si>
  <si>
    <t xml:space="preserve">B30.0</t>
  </si>
  <si>
    <t xml:space="preserve">H30~H36</t>
  </si>
  <si>
    <t xml:space="preserve">맥락막 및 망막의 장애</t>
  </si>
  <si>
    <t xml:space="preserve">H46~H48</t>
  </si>
  <si>
    <t xml:space="preserve">N08</t>
  </si>
  <si>
    <t xml:space="preserve">달리 분류된 질환에서의 사구체장애</t>
  </si>
  <si>
    <t xml:space="preserve">달리 분류되지 않은 방광의 신경근육기능장애</t>
  </si>
  <si>
    <t xml:space="preserve">N37.0</t>
  </si>
  <si>
    <r>
      <rPr>
        <sz val="10"/>
        <rFont val="WenQuanYi Zen Hei"/>
        <family val="2"/>
      </rPr>
      <t xml:space="preserve">달리 분류된 질환에서의 요도염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칸디다요도염</t>
    </r>
    <r>
      <rPr>
        <sz val="10"/>
        <rFont val="Arial"/>
        <family val="0"/>
        <charset val="1"/>
      </rPr>
      <t xml:space="preserve">)</t>
    </r>
  </si>
  <si>
    <t xml:space="preserve">B37.40</t>
  </si>
  <si>
    <t xml:space="preserve">칸디다요도염</t>
  </si>
  <si>
    <t xml:space="preserve">N39</t>
  </si>
  <si>
    <t xml:space="preserve">비뇨계통의 기타 장애</t>
  </si>
  <si>
    <t xml:space="preserve">K23</t>
  </si>
  <si>
    <t xml:space="preserve">달리 분류된 질환에서의 식도의 장애</t>
  </si>
  <si>
    <t xml:space="preserve">K65~K67</t>
  </si>
  <si>
    <t xml:space="preserve">복막의 질환</t>
  </si>
  <si>
    <t xml:space="preserve">G59</t>
  </si>
  <si>
    <t xml:space="preserve">달리 분류된 질환에서의 단일신경병증</t>
  </si>
  <si>
    <r>
      <rPr>
        <sz val="10"/>
        <rFont val="WenQuanYi Zen Hei"/>
        <family val="2"/>
      </rPr>
      <t xml:space="preserve">당뇨병에서의 사구체장애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</t>
    </r>
    <r>
      <rPr>
        <sz val="10"/>
        <rFont val="Arial"/>
        <family val="0"/>
        <charset val="1"/>
      </rPr>
      <t xml:space="preserve">.2-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 ← </t>
    </r>
    <r>
      <rPr>
        <sz val="10"/>
        <rFont val="WenQuanYi Zen Hei"/>
        <family val="2"/>
      </rPr>
      <t xml:space="preserve">이 세부보장에서 제외</t>
    </r>
  </si>
  <si>
    <t xml:space="preserve">제외</t>
  </si>
  <si>
    <r>
      <rPr>
        <sz val="10"/>
        <rFont val="WenQuanYi Zen Hei"/>
        <family val="2"/>
      </rPr>
      <t xml:space="preserve">결핵성 방광염</t>
    </r>
    <r>
      <rPr>
        <sz val="10"/>
        <rFont val="Arial"/>
        <family val="0"/>
        <charset val="1"/>
      </rPr>
      <t xml:space="preserve">(A18.11†) ← </t>
    </r>
    <r>
      <rPr>
        <sz val="10"/>
        <rFont val="WenQuanYi Zen Hei"/>
        <family val="2"/>
      </rPr>
      <t xml:space="preserve">이 세부보장에서 제외</t>
    </r>
  </si>
  <si>
    <t xml:space="preserve">N39.3</t>
  </si>
  <si>
    <t xml:space="preserve">스트레스요실금 ← 이 세부보장에서 제외</t>
  </si>
  <si>
    <t xml:space="preserve">N39.4</t>
  </si>
  <si>
    <t xml:space="preserve">기타 명시된 요실금 ← 이 세부보장에서 제외</t>
  </si>
  <si>
    <t xml:space="preserve">K23.0</t>
  </si>
  <si>
    <t xml:space="preserve">결핵성 식도염 ← 이 세부보장에서 제외</t>
  </si>
  <si>
    <r>
      <rPr>
        <sz val="10"/>
        <rFont val="WenQuanYi Zen Hei"/>
        <family val="2"/>
      </rPr>
      <t xml:space="preserve">결핵성 복막염</t>
    </r>
    <r>
      <rPr>
        <sz val="10"/>
        <rFont val="Arial"/>
        <family val="0"/>
        <charset val="1"/>
      </rPr>
      <t xml:space="preserve">(A18.30†) ← </t>
    </r>
    <r>
      <rPr>
        <sz val="10"/>
        <rFont val="WenQuanYi Zen Hei"/>
        <family val="2"/>
      </rPr>
      <t xml:space="preserve">이 세부보장에서 제외</t>
    </r>
  </si>
  <si>
    <r>
      <rPr>
        <sz val="10"/>
        <rFont val="WenQuanYi Zen Hei"/>
        <family val="2"/>
      </rPr>
      <t xml:space="preserve">당뇨병성 단일신경병증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.40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 ← </t>
    </r>
    <r>
      <rPr>
        <sz val="10"/>
        <rFont val="WenQuanYi Zen Hei"/>
        <family val="2"/>
      </rPr>
      <t xml:space="preserve">이 세부보장에서 제외</t>
    </r>
  </si>
  <si>
    <r>
      <rPr>
        <sz val="10"/>
        <rFont val="WenQuanYi Zen Hei"/>
        <family val="2"/>
      </rPr>
      <t xml:space="preserve">당뇨병성 망막병증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.30, .31, .32, .33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 ← </t>
    </r>
    <r>
      <rPr>
        <sz val="10"/>
        <rFont val="WenQuanYi Zen Hei"/>
        <family val="2"/>
      </rPr>
      <t xml:space="preserve">이 세부보장에서 제외</t>
    </r>
  </si>
  <si>
    <t xml:space="preserve">코용종</t>
  </si>
  <si>
    <t xml:space="preserve">치핵 및 항문주위정맥혈전증</t>
  </si>
  <si>
    <t xml:space="preserve">노년백내장</t>
  </si>
  <si>
    <r>
      <rPr>
        <sz val="10"/>
        <rFont val="WenQuanYi Zen Hei"/>
        <family val="2"/>
      </rPr>
      <t xml:space="preserve">특정다빈도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대질병</t>
    </r>
  </si>
  <si>
    <t xml:space="preserve">수면무호흡 수면무호흡</t>
  </si>
  <si>
    <r>
      <rPr>
        <sz val="10"/>
        <rFont val="WenQuanYi Zen Hei"/>
        <family val="2"/>
      </rPr>
      <t xml:space="preserve">신생물질환에서의 신경근 및 신경총 압박</t>
    </r>
    <r>
      <rPr>
        <sz val="10"/>
        <rFont val="Arial"/>
        <family val="0"/>
        <charset val="1"/>
      </rPr>
      <t xml:space="preserve">(C00-D48†)</t>
    </r>
  </si>
  <si>
    <r>
      <rPr>
        <sz val="10"/>
        <rFont val="WenQuanYi Zen Hei"/>
        <family val="2"/>
      </rPr>
      <t xml:space="preserve">추간판 장애에서의 신경근 및 신경총 압박</t>
    </r>
    <r>
      <rPr>
        <sz val="10"/>
        <rFont val="Arial"/>
        <family val="0"/>
        <charset val="1"/>
      </rPr>
      <t xml:space="preserve">(M50-M51†)</t>
    </r>
  </si>
  <si>
    <r>
      <rPr>
        <sz val="10"/>
        <rFont val="WenQuanYi Zen Hei"/>
        <family val="2"/>
      </rPr>
      <t xml:space="preserve">척추증에서의 신경근 및 신경총 압박</t>
    </r>
    <r>
      <rPr>
        <sz val="10"/>
        <rFont val="Arial"/>
        <family val="0"/>
        <charset val="1"/>
      </rPr>
      <t xml:space="preserve">(M47.-†)</t>
    </r>
  </si>
  <si>
    <r>
      <rPr>
        <sz val="10"/>
        <rFont val="WenQuanYi Zen Hei"/>
        <family val="2"/>
      </rPr>
      <t xml:space="preserve">기타 등병증에서의 신경근 및 신경총 압박</t>
    </r>
    <r>
      <rPr>
        <sz val="10"/>
        <rFont val="Arial"/>
        <family val="0"/>
        <charset val="1"/>
      </rPr>
      <t xml:space="preserve">(M45-M46†, M48.-†, M53-M54†)</t>
    </r>
  </si>
  <si>
    <t xml:space="preserve">전신홍반루푸스</t>
  </si>
  <si>
    <t xml:space="preserve">근육 장애 근육 장애</t>
  </si>
  <si>
    <r>
      <rPr>
        <sz val="10"/>
        <rFont val="WenQuanYi Zen Hei"/>
        <family val="2"/>
      </rPr>
      <t xml:space="preserve">뼈의 파젯병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변형성 골염</t>
    </r>
    <r>
      <rPr>
        <sz val="10"/>
        <rFont val="Arial"/>
        <family val="0"/>
        <charset val="1"/>
      </rPr>
      <t xml:space="preserve">]</t>
    </r>
  </si>
  <si>
    <t xml:space="preserve">H10~H13</t>
  </si>
  <si>
    <t xml:space="preserve">결막장애 결막의 장애</t>
  </si>
  <si>
    <t xml:space="preserve">K93</t>
  </si>
  <si>
    <t xml:space="preserve">달리 분류된 질환에서의 기타 소화기관장애</t>
  </si>
  <si>
    <t xml:space="preserve">M49</t>
  </si>
  <si>
    <t xml:space="preserve">달리 분류된 질환에서의 척추병증</t>
  </si>
  <si>
    <t xml:space="preserve">M70~M79</t>
  </si>
  <si>
    <t xml:space="preserve">M91~M94</t>
  </si>
  <si>
    <t xml:space="preserve">연골병증 연골병증</t>
  </si>
  <si>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복막 및 장간막림프절의 결핵성 장애</t>
    </r>
    <r>
      <rPr>
        <sz val="10"/>
        <rFont val="Arial"/>
        <family val="0"/>
        <charset val="1"/>
      </rPr>
      <t xml:space="preserve">(A18.3-†) ← </t>
    </r>
    <r>
      <rPr>
        <sz val="10"/>
        <rFont val="WenQuanYi Zen Hei"/>
        <family val="2"/>
      </rPr>
      <t xml:space="preserve">이 세부보장에서 제외</t>
    </r>
  </si>
  <si>
    <t xml:space="preserve">척추의 결핵 ← 이 세부보장에서 제외</t>
  </si>
  <si>
    <t xml:space="preserve">M74</t>
  </si>
  <si>
    <t xml:space="preserve">기타 연조직장애 ← 이 세부보장에서 제외</t>
  </si>
  <si>
    <t xml:space="preserve">M78</t>
  </si>
  <si>
    <r>
      <rPr>
        <sz val="10"/>
        <rFont val="WenQuanYi Zen Hei"/>
        <family val="2"/>
      </rPr>
      <t xml:space="preserve">관절염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생식기질환</t>
    </r>
  </si>
  <si>
    <t xml:space="preserve">M00</t>
  </si>
  <si>
    <t xml:space="preserve">화농성 관절염</t>
  </si>
  <si>
    <t xml:space="preserve">M01</t>
  </si>
  <si>
    <t xml:space="preserve">달리 분류된 감염성 및 기생충성 질환에서의 관절의 직접감염</t>
  </si>
  <si>
    <t xml:space="preserve">M02</t>
  </si>
  <si>
    <t xml:space="preserve">반응성 관절병증</t>
  </si>
  <si>
    <t xml:space="preserve">M03</t>
  </si>
  <si>
    <t xml:space="preserve">달리 분류된 질환에서의 감염후 및 반응성 관절병증</t>
  </si>
  <si>
    <t xml:space="preserve">M05</t>
  </si>
  <si>
    <t xml:space="preserve">혈청검사양성 류마티스관절염</t>
  </si>
  <si>
    <t xml:space="preserve">M06</t>
  </si>
  <si>
    <t xml:space="preserve">염증성 다발관절병증</t>
  </si>
  <si>
    <t xml:space="preserve">M07</t>
  </si>
  <si>
    <t xml:space="preserve">건선성 및 장병성 관절병증</t>
  </si>
  <si>
    <t xml:space="preserve">M08</t>
  </si>
  <si>
    <t xml:space="preserve">M09</t>
  </si>
  <si>
    <t xml:space="preserve">M10</t>
  </si>
  <si>
    <t xml:space="preserve">통풍</t>
  </si>
  <si>
    <t xml:space="preserve">M11</t>
  </si>
  <si>
    <t xml:space="preserve">M12</t>
  </si>
  <si>
    <t xml:space="preserve">M13</t>
  </si>
  <si>
    <t xml:space="preserve">M14</t>
  </si>
  <si>
    <t xml:space="preserve">M05.1</t>
  </si>
  <si>
    <t xml:space="preserve">류마티스폐질환</t>
  </si>
  <si>
    <t xml:space="preserve">J99.0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</si>
  <si>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</si>
  <si>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</si>
  <si>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</si>
  <si>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</si>
  <si>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</si>
  <si>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</si>
  <si>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</si>
  <si>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</si>
  <si>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</si>
  <si>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</si>
  <si>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</si>
  <si>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N40</t>
  </si>
  <si>
    <t xml:space="preserve">남성 생식기관의 질환</t>
  </si>
  <si>
    <t xml:space="preserve">N41</t>
  </si>
  <si>
    <t xml:space="preserve">N42</t>
  </si>
  <si>
    <t xml:space="preserve">N43</t>
  </si>
  <si>
    <t xml:space="preserve">음낭수종 및 정액류</t>
  </si>
  <si>
    <t xml:space="preserve">N44</t>
  </si>
  <si>
    <t xml:space="preserve">고환의 염전</t>
  </si>
  <si>
    <t xml:space="preserve">N45</t>
  </si>
  <si>
    <t xml:space="preserve">고환염 및 부고환염</t>
  </si>
  <si>
    <t xml:space="preserve">N51.0</t>
  </si>
  <si>
    <t xml:space="preserve">달리 분류된 질환에서의 전립선장애</t>
  </si>
  <si>
    <t xml:space="preserve">A59.08</t>
  </si>
  <si>
    <t xml:space="preserve">편모충성 전립선염</t>
  </si>
  <si>
    <t xml:space="preserve">N51.1</t>
  </si>
  <si>
    <t xml:space="preserve">달리 분류된 질환에서의 고환 및 부고환 장애</t>
  </si>
  <si>
    <t xml:space="preserve">B26.0</t>
  </si>
  <si>
    <t xml:space="preserve">볼거리고환염</t>
  </si>
  <si>
    <t xml:space="preserve">N70</t>
  </si>
  <si>
    <t xml:space="preserve">여성 골반내 기관의 염증성 질환</t>
  </si>
  <si>
    <t xml:space="preserve">N71</t>
  </si>
  <si>
    <t xml:space="preserve">N72</t>
  </si>
  <si>
    <t xml:space="preserve">N73</t>
  </si>
  <si>
    <t xml:space="preserve">N74</t>
  </si>
  <si>
    <t xml:space="preserve">N75</t>
  </si>
  <si>
    <t xml:space="preserve">N76</t>
  </si>
  <si>
    <t xml:space="preserve">N77</t>
  </si>
  <si>
    <t xml:space="preserve">N80</t>
  </si>
  <si>
    <t xml:space="preserve">여성 생식관의 비염증성 장애</t>
  </si>
  <si>
    <t xml:space="preserve">N81</t>
  </si>
  <si>
    <t xml:space="preserve">N82</t>
  </si>
  <si>
    <t xml:space="preserve">N83</t>
  </si>
  <si>
    <t xml:space="preserve">N84</t>
  </si>
  <si>
    <t xml:space="preserve">N85</t>
  </si>
  <si>
    <t xml:space="preserve">N86</t>
  </si>
  <si>
    <t xml:space="preserve">N87</t>
  </si>
  <si>
    <t xml:space="preserve">N88</t>
  </si>
  <si>
    <t xml:space="preserve">N89</t>
  </si>
  <si>
    <t xml:space="preserve">N90</t>
  </si>
  <si>
    <t xml:space="preserve">N91</t>
  </si>
  <si>
    <t xml:space="preserve">N92</t>
  </si>
  <si>
    <t xml:space="preserve">N93</t>
  </si>
  <si>
    <t xml:space="preserve">N94</t>
  </si>
  <si>
    <t xml:space="preserve">N95</t>
  </si>
  <si>
    <t xml:space="preserve">N47~N51</t>
  </si>
  <si>
    <t xml:space="preserve">결핵 관절염 ← 이 세부보장에서 제외</t>
  </si>
  <si>
    <r>
      <rPr>
        <sz val="10"/>
        <rFont val="WenQuanYi Zen Hei"/>
        <family val="2"/>
      </rPr>
      <t xml:space="preserve">당뇨병성 관절병증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단위 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단위 숫자 </t>
    </r>
    <r>
      <rPr>
        <sz val="10"/>
        <rFont val="Arial"/>
        <family val="0"/>
        <charset val="1"/>
      </rPr>
      <t xml:space="preserve">.60</t>
    </r>
    <r>
      <rPr>
        <sz val="10"/>
        <rFont val="WenQuanYi Zen Hei"/>
        <family val="2"/>
      </rPr>
      <t xml:space="preserve">에 해당되는 </t>
    </r>
    <r>
      <rPr>
        <sz val="10"/>
        <rFont val="Arial"/>
        <family val="0"/>
        <charset val="1"/>
      </rPr>
      <t xml:space="preserve">E10-E14†) ← </t>
    </r>
    <r>
      <rPr>
        <sz val="10"/>
        <rFont val="WenQuanYi Zen Hei"/>
        <family val="2"/>
      </rPr>
      <t xml:space="preserve">이 세부보장에서 제외</t>
    </r>
  </si>
  <si>
    <r>
      <rPr>
        <sz val="10"/>
        <rFont val="WenQuanYi Zen Hei"/>
        <family val="2"/>
      </rPr>
      <t xml:space="preserve">자궁경부의 결핵감염</t>
    </r>
    <r>
      <rPr>
        <sz val="10"/>
        <rFont val="Arial"/>
        <family val="0"/>
        <charset val="1"/>
      </rPr>
      <t xml:space="preserve">(A18.17†) ← </t>
    </r>
    <r>
      <rPr>
        <sz val="10"/>
        <rFont val="WenQuanYi Zen Hei"/>
        <family val="2"/>
      </rPr>
      <t xml:space="preserve">이 세부보장에서 제외</t>
    </r>
  </si>
  <si>
    <r>
      <rPr>
        <sz val="10"/>
        <rFont val="WenQuanYi Zen Hei"/>
        <family val="2"/>
      </rPr>
      <t xml:space="preserve">여성 결핵성 골반염증질환</t>
    </r>
    <r>
      <rPr>
        <sz val="10"/>
        <rFont val="Arial"/>
        <family val="0"/>
        <charset val="1"/>
      </rPr>
      <t xml:space="preserve">(A18.17†) ← </t>
    </r>
    <r>
      <rPr>
        <sz val="10"/>
        <rFont val="WenQuanYi Zen Hei"/>
        <family val="2"/>
      </rPr>
      <t xml:space="preserve">이 세부보장에서 제외</t>
    </r>
  </si>
  <si>
    <r>
      <rPr>
        <sz val="10"/>
        <rFont val="Arial"/>
        <family val="0"/>
        <charset val="1"/>
      </rPr>
      <t xml:space="preserve">(131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·130</t>
    </r>
    <r>
      <rPr>
        <sz val="10"/>
        <rFont val="WenQuanYi Zen Hei"/>
        <family val="2"/>
      </rPr>
      <t xml:space="preserve">대 전체</t>
    </r>
    <r>
      <rPr>
        <sz val="10"/>
        <rFont val="Arial"/>
        <family val="0"/>
        <charset val="1"/>
      </rPr>
      <t xml:space="preserve">)</t>
    </r>
  </si>
  <si>
    <t xml:space="preserve">스트레스요실금 ← 약관 「…제외」 — 어느 세부보장에도 없음</t>
  </si>
  <si>
    <t xml:space="preserve">기타 명시된 요실금 ← 약관 「…제외」 — 어느 세부보장에도 없음</t>
  </si>
  <si>
    <t xml:space="preserve">결핵성 식도염 ← 약관 「…제외」 — 어느 세부보장에도 없음</t>
  </si>
  <si>
    <t xml:space="preserve">기타 연조직장애 ← 약관 「…제외」 — 어느 세부보장에도 없음</t>
  </si>
  <si>
    <t xml:space="preserve">수술비 종류</t>
  </si>
  <si>
    <t xml:space="preserve">상품</t>
  </si>
  <si>
    <t xml:space="preserve">특약명</t>
  </si>
  <si>
    <t xml:space="preserve">id</t>
  </si>
  <si>
    <r>
      <rPr>
        <sz val="10"/>
        <rFont val="Arial"/>
        <family val="0"/>
        <charset val="1"/>
      </rPr>
      <t xml:space="preserve">The</t>
    </r>
    <r>
      <rPr>
        <sz val="10"/>
        <rFont val="WenQuanYi Zen Hei"/>
        <family val="2"/>
      </rPr>
      <t xml:space="preserve">가벼운간편</t>
    </r>
    <r>
      <rPr>
        <sz val="10"/>
        <rFont val="Arial"/>
        <family val="0"/>
        <charset val="1"/>
      </rPr>
      <t xml:space="preserve">355</t>
    </r>
  </si>
  <si>
    <r>
      <rPr>
        <sz val="10"/>
        <rFont val="WenQuanYi Zen Hei"/>
        <family val="2"/>
      </rPr>
      <t xml:space="preserve">상해</t>
    </r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종수술비</t>
    </r>
    <r>
      <rPr>
        <sz val="10"/>
        <rFont val="Arial"/>
        <family val="0"/>
        <charset val="1"/>
      </rPr>
      <t xml:space="preserve">(plus)(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</si>
  <si>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가벼</t>
    </r>
    <r>
      <rPr>
        <sz val="10"/>
        <rFont val="Arial"/>
        <family val="0"/>
        <charset val="1"/>
      </rPr>
      <t xml:space="preserve">40</t>
    </r>
  </si>
  <si>
    <r>
      <rPr>
        <sz val="10"/>
        <rFont val="WenQuanYi Zen Hei"/>
        <family val="2"/>
      </rPr>
      <t xml:space="preserve">스마트 제안서 보강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약관 파싱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</si>
  <si>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질병</t>
    </r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종수술비</t>
    </r>
    <r>
      <rPr>
        <sz val="10"/>
        <rFont val="Arial"/>
        <family val="0"/>
        <charset val="1"/>
      </rPr>
      <t xml:space="preserve">(plus)(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</si>
  <si>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가벼</t>
    </r>
    <r>
      <rPr>
        <sz val="10"/>
        <rFont val="Arial"/>
        <family val="0"/>
        <charset val="1"/>
      </rPr>
      <t xml:space="preserve">145</t>
    </r>
  </si>
  <si>
    <r>
      <rPr>
        <sz val="10"/>
        <rFont val="Arial"/>
        <family val="0"/>
        <charset val="1"/>
      </rPr>
      <t xml:space="preserve">The</t>
    </r>
    <r>
      <rPr>
        <sz val="10"/>
        <rFont val="WenQuanYi Zen Hei"/>
        <family val="2"/>
      </rPr>
      <t xml:space="preserve">건강한</t>
    </r>
    <r>
      <rPr>
        <sz val="10"/>
        <rFont val="Arial"/>
        <family val="0"/>
        <charset val="1"/>
      </rPr>
      <t xml:space="preserve">5.10.5</t>
    </r>
  </si>
  <si>
    <r>
      <rPr>
        <sz val="10"/>
        <rFont val="WenQuanYi Zen Hei"/>
        <family val="2"/>
      </rPr>
      <t xml:space="preserve">건강</t>
    </r>
    <r>
      <rPr>
        <sz val="10"/>
        <rFont val="Arial"/>
        <family val="0"/>
        <charset val="1"/>
      </rPr>
      <t xml:space="preserve">43</t>
    </r>
  </si>
  <si>
    <r>
      <rPr>
        <sz val="10"/>
        <rFont val="WenQuanYi Zen Hei"/>
        <family val="2"/>
      </rPr>
      <t xml:space="preserve">수술비Ⅱ</t>
    </r>
    <r>
      <rPr>
        <sz val="10"/>
        <rFont val="Arial"/>
        <family val="0"/>
        <charset val="1"/>
      </rPr>
      <t xml:space="preserve">(1-5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</si>
  <si>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건강</t>
    </r>
    <r>
      <rPr>
        <sz val="10"/>
        <rFont val="Arial"/>
        <family val="0"/>
        <charset val="1"/>
      </rPr>
      <t xml:space="preserve">180</t>
    </r>
  </si>
  <si>
    <r>
      <rPr>
        <sz val="10"/>
        <rFont val="WenQuanYi Zen Hei"/>
        <family val="2"/>
      </rPr>
      <t xml:space="preserve">건강</t>
    </r>
    <r>
      <rPr>
        <sz val="10"/>
        <rFont val="Arial"/>
        <family val="0"/>
        <charset val="1"/>
      </rPr>
      <t xml:space="preserve">174</t>
    </r>
  </si>
  <si>
    <r>
      <rPr>
        <sz val="10"/>
        <rFont val="Arial"/>
        <family val="0"/>
        <charset val="1"/>
      </rPr>
      <t xml:space="preserve">The</t>
    </r>
    <r>
      <rPr>
        <sz val="10"/>
        <rFont val="WenQuanYi Zen Hei"/>
        <family val="2"/>
      </rPr>
      <t xml:space="preserve">건강한내</t>
    </r>
    <r>
      <rPr>
        <sz val="10"/>
        <rFont val="Arial"/>
        <family val="0"/>
        <charset val="1"/>
      </rPr>
      <t xml:space="preserve">Mom</t>
    </r>
    <r>
      <rPr>
        <sz val="10"/>
        <rFont val="WenQuanYi Zen Hei"/>
        <family val="2"/>
      </rPr>
      <t xml:space="preserve">대로</t>
    </r>
    <r>
      <rPr>
        <sz val="10"/>
        <rFont val="Arial"/>
        <family val="0"/>
        <charset val="1"/>
      </rPr>
      <t xml:space="preserve">5.10.5</t>
    </r>
  </si>
  <si>
    <r>
      <rPr>
        <sz val="10"/>
        <rFont val="WenQuanYi Zen Hei"/>
        <family val="2"/>
      </rPr>
      <t xml:space="preserve">건맘</t>
    </r>
    <r>
      <rPr>
        <sz val="10"/>
        <rFont val="Arial"/>
        <family val="0"/>
        <charset val="1"/>
      </rPr>
      <t xml:space="preserve">44</t>
    </r>
  </si>
  <si>
    <r>
      <rPr>
        <sz val="10"/>
        <rFont val="WenQuanYi Zen Hei"/>
        <family val="2"/>
      </rPr>
      <t xml:space="preserve">건맘</t>
    </r>
    <r>
      <rPr>
        <sz val="10"/>
        <rFont val="Arial"/>
        <family val="0"/>
        <charset val="1"/>
      </rPr>
      <t xml:space="preserve">153</t>
    </r>
  </si>
  <si>
    <r>
      <rPr>
        <sz val="10"/>
        <rFont val="WenQuanYi Zen Hei"/>
        <family val="2"/>
      </rPr>
      <t xml:space="preserve">건맘</t>
    </r>
    <r>
      <rPr>
        <sz val="10"/>
        <rFont val="Arial"/>
        <family val="0"/>
        <charset val="1"/>
      </rPr>
      <t xml:space="preserve">147</t>
    </r>
  </si>
  <si>
    <r>
      <rPr>
        <sz val="10"/>
        <rFont val="Arial"/>
        <family val="0"/>
        <charset val="1"/>
      </rPr>
      <t xml:space="preserve">The</t>
    </r>
    <r>
      <rPr>
        <sz val="10"/>
        <rFont val="WenQuanYi Zen Hei"/>
        <family val="2"/>
      </rPr>
      <t xml:space="preserve">좋은케어프리</t>
    </r>
  </si>
  <si>
    <r>
      <rPr>
        <sz val="10"/>
        <rFont val="WenQuanYi Zen Hei"/>
        <family val="2"/>
      </rPr>
      <t xml:space="preserve">갱신형상해</t>
    </r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종수술비</t>
    </r>
    <r>
      <rPr>
        <sz val="10"/>
        <rFont val="Arial"/>
        <family val="0"/>
        <charset val="1"/>
      </rPr>
      <t xml:space="preserve">(plus)(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</si>
  <si>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좋케</t>
    </r>
    <r>
      <rPr>
        <sz val="10"/>
        <rFont val="Arial"/>
        <family val="0"/>
        <charset val="1"/>
      </rPr>
      <t xml:space="preserve">44</t>
    </r>
  </si>
  <si>
    <r>
      <rPr>
        <sz val="10"/>
        <rFont val="WenQuanYi Zen Hei"/>
        <family val="2"/>
      </rPr>
      <t xml:space="preserve">갱신형수술비Ⅱ</t>
    </r>
    <r>
      <rPr>
        <sz val="10"/>
        <rFont val="Arial"/>
        <family val="0"/>
        <charset val="1"/>
      </rPr>
      <t xml:space="preserve">(1-5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</si>
  <si>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좋케</t>
    </r>
    <r>
      <rPr>
        <sz val="10"/>
        <rFont val="Arial"/>
        <family val="0"/>
        <charset val="1"/>
      </rPr>
      <t xml:space="preserve">186</t>
    </r>
  </si>
  <si>
    <r>
      <rPr>
        <sz val="10"/>
        <rFont val="WenQuanYi Zen Hei"/>
        <family val="2"/>
      </rPr>
      <t xml:space="preserve">갱신형질병</t>
    </r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종수술비</t>
    </r>
    <r>
      <rPr>
        <sz val="10"/>
        <rFont val="Arial"/>
        <family val="0"/>
        <charset val="1"/>
      </rPr>
      <t xml:space="preserve">(plus)(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</si>
  <si>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좋케</t>
    </r>
    <r>
      <rPr>
        <sz val="10"/>
        <rFont val="Arial"/>
        <family val="0"/>
        <charset val="1"/>
      </rPr>
      <t xml:space="preserve">181</t>
    </r>
  </si>
  <si>
    <r>
      <rPr>
        <sz val="10"/>
        <rFont val="WenQuanYi Zen Hei"/>
        <family val="2"/>
      </rPr>
      <t xml:space="preserve">간편</t>
    </r>
    <r>
      <rPr>
        <sz val="10"/>
        <rFont val="Arial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</si>
  <si>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간</t>
    </r>
    <r>
      <rPr>
        <sz val="10"/>
        <rFont val="Arial"/>
        <family val="0"/>
        <charset val="1"/>
      </rPr>
      <t xml:space="preserve">31124</t>
    </r>
  </si>
  <si>
    <r>
      <rPr>
        <sz val="10"/>
        <rFont val="WenQuanYi Zen Hei"/>
        <family val="2"/>
      </rPr>
      <t xml:space="preserve">내</t>
    </r>
    <r>
      <rPr>
        <sz val="10"/>
        <rFont val="Arial"/>
        <family val="0"/>
        <charset val="1"/>
      </rPr>
      <t xml:space="preserve">Mom</t>
    </r>
    <r>
      <rPr>
        <sz val="10"/>
        <rFont val="WenQuanYi Zen Hei"/>
        <family val="2"/>
      </rPr>
      <t xml:space="preserve">같은어린이</t>
    </r>
  </si>
  <si>
    <r>
      <rPr>
        <sz val="10"/>
        <rFont val="WenQuanYi Zen Hei"/>
        <family val="2"/>
      </rPr>
      <t xml:space="preserve">아</t>
    </r>
    <r>
      <rPr>
        <sz val="10"/>
        <rFont val="Arial"/>
        <family val="0"/>
        <charset val="1"/>
      </rPr>
      <t xml:space="preserve">178</t>
    </r>
  </si>
  <si>
    <r>
      <rPr>
        <sz val="10"/>
        <rFont val="WenQuanYi Zen Hei"/>
        <family val="2"/>
      </rPr>
      <t xml:space="preserve">아</t>
    </r>
    <r>
      <rPr>
        <sz val="10"/>
        <rFont val="Arial"/>
        <family val="0"/>
        <charset val="1"/>
      </rPr>
      <t xml:space="preserve">42</t>
    </r>
  </si>
  <si>
    <r>
      <rPr>
        <sz val="10"/>
        <rFont val="WenQuanYi Zen Hei"/>
        <family val="2"/>
      </rPr>
      <t xml:space="preserve">아</t>
    </r>
    <r>
      <rPr>
        <sz val="10"/>
        <rFont val="Arial"/>
        <family val="0"/>
        <charset val="1"/>
      </rPr>
      <t xml:space="preserve">169</t>
    </r>
  </si>
  <si>
    <r>
      <rPr>
        <sz val="10"/>
        <rFont val="WenQuanYi Zen Hei"/>
        <family val="2"/>
      </rPr>
      <t xml:space="preserve">내</t>
    </r>
    <r>
      <rPr>
        <sz val="10"/>
        <rFont val="Arial"/>
        <family val="0"/>
        <charset val="1"/>
      </rPr>
      <t xml:space="preserve">Mom</t>
    </r>
    <r>
      <rPr>
        <sz val="10"/>
        <rFont val="WenQuanYi Zen Hei"/>
        <family val="2"/>
      </rPr>
      <t xml:space="preserve">대로</t>
    </r>
  </si>
  <si>
    <r>
      <rPr>
        <sz val="10"/>
        <rFont val="WenQuanYi Zen Hei"/>
        <family val="2"/>
      </rPr>
      <t xml:space="preserve">맘</t>
    </r>
    <r>
      <rPr>
        <sz val="10"/>
        <rFont val="Arial"/>
        <family val="0"/>
        <charset val="1"/>
      </rPr>
      <t xml:space="preserve">163</t>
    </r>
  </si>
  <si>
    <r>
      <rPr>
        <sz val="10"/>
        <rFont val="WenQuanYi Zen Hei"/>
        <family val="2"/>
      </rPr>
      <t xml:space="preserve">맘</t>
    </r>
    <r>
      <rPr>
        <sz val="10"/>
        <rFont val="Arial"/>
        <family val="0"/>
        <charset val="1"/>
      </rPr>
      <t xml:space="preserve">37</t>
    </r>
  </si>
  <si>
    <r>
      <rPr>
        <sz val="10"/>
        <rFont val="WenQuanYi Zen Hei"/>
        <family val="2"/>
      </rPr>
      <t xml:space="preserve">맘</t>
    </r>
    <r>
      <rPr>
        <sz val="10"/>
        <rFont val="Arial"/>
        <family val="0"/>
        <charset val="1"/>
      </rPr>
      <t xml:space="preserve">154</t>
    </r>
  </si>
  <si>
    <t xml:space="preserve">케어프리</t>
  </si>
  <si>
    <r>
      <rPr>
        <sz val="10"/>
        <rFont val="WenQuanYi Zen Hei"/>
        <family val="2"/>
      </rPr>
      <t xml:space="preserve">갱신형 수술비Ⅱ</t>
    </r>
    <r>
      <rPr>
        <sz val="10"/>
        <rFont val="Arial"/>
        <family val="0"/>
        <charset val="1"/>
      </rPr>
      <t xml:space="preserve">(1-5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</si>
  <si>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312</t>
    </r>
  </si>
  <si>
    <t xml:space="preserve">영업지원도구</t>
  </si>
  <si>
    <r>
      <rPr>
        <sz val="10"/>
        <rFont val="WenQuanYi Zen Hei"/>
        <family val="2"/>
      </rPr>
      <t xml:space="preserve">상해 </t>
    </r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종수술비</t>
    </r>
    <r>
      <rPr>
        <sz val="10"/>
        <rFont val="Arial"/>
        <family val="0"/>
        <charset val="1"/>
      </rPr>
      <t xml:space="preserve">(plus)(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</si>
  <si>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397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</si>
  <si>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311</t>
    </r>
  </si>
  <si>
    <r>
      <rPr>
        <sz val="10"/>
        <rFont val="WenQuanYi Zen Hei"/>
        <family val="2"/>
      </rPr>
      <t xml:space="preserve">질병 </t>
    </r>
    <r>
      <rPr>
        <sz val="10"/>
        <rFont val="Arial"/>
        <family val="0"/>
        <charset val="1"/>
      </rPr>
      <t xml:space="preserve">1-5</t>
    </r>
    <r>
      <rPr>
        <sz val="10"/>
        <rFont val="WenQuanYi Zen Hei"/>
        <family val="2"/>
      </rPr>
      <t xml:space="preserve">종수술비</t>
    </r>
    <r>
      <rPr>
        <sz val="10"/>
        <rFont val="Arial"/>
        <family val="0"/>
        <charset val="1"/>
      </rPr>
      <t xml:space="preserve">(plus)(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</si>
  <si>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400</t>
    </r>
  </si>
  <si>
    <t xml:space="preserve">통합간편</t>
  </si>
  <si>
    <r>
      <rPr>
        <sz val="10"/>
        <rFont val="WenQuanYi Zen Hei"/>
        <family val="2"/>
      </rPr>
      <t xml:space="preserve">통</t>
    </r>
    <r>
      <rPr>
        <sz val="10"/>
        <rFont val="Arial"/>
        <family val="0"/>
        <charset val="1"/>
      </rPr>
      <t xml:space="preserve">271</t>
    </r>
  </si>
  <si>
    <r>
      <rPr>
        <sz val="10"/>
        <rFont val="WenQuanYi Zen Hei"/>
        <family val="2"/>
      </rPr>
      <t xml:space="preserve">통</t>
    </r>
    <r>
      <rPr>
        <sz val="10"/>
        <rFont val="Arial"/>
        <family val="0"/>
        <charset val="1"/>
      </rPr>
      <t xml:space="preserve">272</t>
    </r>
  </si>
  <si>
    <t xml:space="preserve">운전자</t>
  </si>
  <si>
    <r>
      <rPr>
        <sz val="10"/>
        <rFont val="WenQuanYi Zen Hei"/>
        <family val="2"/>
      </rPr>
      <t xml:space="preserve">수술비</t>
    </r>
    <r>
      <rPr>
        <sz val="10"/>
        <rFont val="Arial"/>
        <family val="0"/>
        <charset val="1"/>
      </rPr>
      <t xml:space="preserve">(1-7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회한</t>
    </r>
    <r>
      <rPr>
        <sz val="10"/>
        <rFont val="Arial"/>
        <family val="0"/>
        <charset val="1"/>
      </rPr>
      <t xml:space="preserve">)[</t>
    </r>
    <r>
      <rPr>
        <sz val="10"/>
        <rFont val="WenQuanYi Zen Hei"/>
        <family val="2"/>
      </rPr>
      <t xml:space="preserve">상해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</si>
  <si>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운</t>
    </r>
    <r>
      <rPr>
        <sz val="10"/>
        <rFont val="Arial"/>
        <family val="0"/>
        <charset val="1"/>
      </rPr>
      <t xml:space="preserve">61</t>
    </r>
  </si>
  <si>
    <r>
      <rPr>
        <sz val="10"/>
        <rFont val="WenQuanYi Zen Hei"/>
        <family val="2"/>
      </rPr>
      <t xml:space="preserve">갱신형 수술비 </t>
    </r>
    <r>
      <rPr>
        <sz val="10"/>
        <rFont val="Arial"/>
        <family val="0"/>
        <charset val="1"/>
      </rPr>
      <t xml:space="preserve">(1-7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회한</t>
    </r>
    <r>
      <rPr>
        <sz val="10"/>
        <rFont val="Arial"/>
        <family val="0"/>
        <charset val="1"/>
      </rPr>
      <t xml:space="preserve">)[</t>
    </r>
    <r>
      <rPr>
        <sz val="10"/>
        <rFont val="WenQuanYi Zen Hei"/>
        <family val="2"/>
      </rPr>
      <t xml:space="preserve">상해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</si>
  <si>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</si>
  <si>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갱신형 수술비</t>
    </r>
    <r>
      <rPr>
        <sz val="10"/>
        <rFont val="Arial"/>
        <family val="0"/>
        <charset val="1"/>
      </rPr>
      <t xml:space="preserve">(1-7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회한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질병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</si>
  <si>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95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</si>
  <si>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</si>
  <si>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수술비</t>
    </r>
    <r>
      <rPr>
        <sz val="10"/>
        <rFont val="Arial"/>
        <family val="0"/>
        <charset val="1"/>
      </rPr>
      <t xml:space="preserve">(1-7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회한</t>
    </r>
    <r>
      <rPr>
        <sz val="10"/>
        <rFont val="Arial"/>
        <family val="0"/>
        <charset val="1"/>
      </rPr>
      <t xml:space="preserve">)[</t>
    </r>
    <r>
      <rPr>
        <sz val="10"/>
        <rFont val="WenQuanYi Zen Hei"/>
        <family val="2"/>
      </rPr>
      <t xml:space="preserve">질병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</si>
  <si>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68</t>
    </r>
  </si>
  <si>
    <r>
      <rPr>
        <sz val="10"/>
        <rFont val="WenQuanYi Zen Hei"/>
        <family val="2"/>
      </rPr>
      <t xml:space="preserve">통</t>
    </r>
    <r>
      <rPr>
        <sz val="10"/>
        <rFont val="Arial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</si>
  <si>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통</t>
    </r>
    <r>
      <rPr>
        <sz val="10"/>
        <rFont val="Arial"/>
        <family val="0"/>
        <charset val="1"/>
      </rPr>
      <t xml:space="preserve">74</t>
    </r>
  </si>
  <si>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대</t>
    </r>
  </si>
  <si>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대질병수술비</t>
    </r>
  </si>
  <si>
    <r>
      <rPr>
        <sz val="10"/>
        <rFont val="WenQuanYi Zen Hei"/>
        <family val="2"/>
      </rPr>
      <t xml:space="preserve">가벼</t>
    </r>
    <r>
      <rPr>
        <sz val="10"/>
        <rFont val="Arial"/>
        <family val="0"/>
        <charset val="1"/>
      </rPr>
      <t xml:space="preserve">123</t>
    </r>
  </si>
  <si>
    <r>
      <rPr>
        <sz val="10"/>
        <rFont val="WenQuanYi Zen Hei"/>
        <family val="2"/>
      </rPr>
      <t xml:space="preserve">갱신형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대질병수술비</t>
    </r>
  </si>
  <si>
    <r>
      <rPr>
        <sz val="10"/>
        <rFont val="WenQuanYi Zen Hei"/>
        <family val="2"/>
      </rPr>
      <t xml:space="preserve">간</t>
    </r>
    <r>
      <rPr>
        <sz val="10"/>
        <rFont val="Arial"/>
        <family val="0"/>
        <charset val="1"/>
      </rPr>
      <t xml:space="preserve">31104</t>
    </r>
  </si>
  <si>
    <r>
      <rPr>
        <sz val="10"/>
        <rFont val="WenQuanYi Zen Hei"/>
        <family val="2"/>
      </rPr>
      <t xml:space="preserve">통</t>
    </r>
    <r>
      <rPr>
        <sz val="10"/>
        <rFont val="Arial"/>
        <family val="0"/>
        <charset val="1"/>
      </rPr>
      <t xml:space="preserve">123</t>
    </r>
  </si>
  <si>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</t>
    </r>
  </si>
  <si>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대질병수술비</t>
    </r>
  </si>
  <si>
    <r>
      <rPr>
        <sz val="10"/>
        <rFont val="WenQuanYi Zen Hei"/>
        <family val="2"/>
      </rPr>
      <t xml:space="preserve">건강</t>
    </r>
    <r>
      <rPr>
        <sz val="10"/>
        <rFont val="Arial"/>
        <family val="0"/>
        <charset val="1"/>
      </rPr>
      <t xml:space="preserve">122</t>
    </r>
  </si>
  <si>
    <r>
      <rPr>
        <sz val="10"/>
        <rFont val="WenQuanYi Zen Hei"/>
        <family val="2"/>
      </rPr>
      <t xml:space="preserve">건맘</t>
    </r>
    <r>
      <rPr>
        <sz val="10"/>
        <rFont val="Arial"/>
        <family val="0"/>
        <charset val="1"/>
      </rPr>
      <t xml:space="preserve">97</t>
    </r>
  </si>
  <si>
    <r>
      <rPr>
        <sz val="10"/>
        <rFont val="Arial"/>
        <family val="0"/>
        <charset val="1"/>
      </rPr>
      <t xml:space="preserve">The</t>
    </r>
    <r>
      <rPr>
        <sz val="10"/>
        <rFont val="WenQuanYi Zen Hei"/>
        <family val="2"/>
      </rPr>
      <t xml:space="preserve">좋은내</t>
    </r>
    <r>
      <rPr>
        <sz val="10"/>
        <rFont val="Arial"/>
        <family val="0"/>
        <charset val="1"/>
      </rPr>
      <t xml:space="preserve">Mom</t>
    </r>
    <r>
      <rPr>
        <sz val="10"/>
        <rFont val="WenQuanYi Zen Hei"/>
        <family val="2"/>
      </rPr>
      <t xml:space="preserve">대로</t>
    </r>
  </si>
  <si>
    <r>
      <rPr>
        <sz val="10"/>
        <rFont val="WenQuanYi Zen Hei"/>
        <family val="2"/>
      </rPr>
      <t xml:space="preserve">갱신형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대질병수술비</t>
    </r>
  </si>
  <si>
    <r>
      <rPr>
        <sz val="10"/>
        <rFont val="WenQuanYi Zen Hei"/>
        <family val="2"/>
      </rPr>
      <t xml:space="preserve">좋맘</t>
    </r>
    <r>
      <rPr>
        <sz val="10"/>
        <rFont val="Arial"/>
        <family val="0"/>
        <charset val="1"/>
      </rPr>
      <t xml:space="preserve">35</t>
    </r>
  </si>
  <si>
    <r>
      <rPr>
        <sz val="10"/>
        <rFont val="WenQuanYi Zen Hei"/>
        <family val="2"/>
      </rPr>
      <t xml:space="preserve">좋케</t>
    </r>
    <r>
      <rPr>
        <sz val="10"/>
        <rFont val="Arial"/>
        <family val="0"/>
        <charset val="1"/>
      </rPr>
      <t xml:space="preserve">82</t>
    </r>
  </si>
  <si>
    <r>
      <rPr>
        <sz val="10"/>
        <rFont val="WenQuanYi Zen Hei"/>
        <family val="2"/>
      </rPr>
      <t xml:space="preserve">아</t>
    </r>
    <r>
      <rPr>
        <sz val="10"/>
        <rFont val="Arial"/>
        <family val="0"/>
        <charset val="1"/>
      </rPr>
      <t xml:space="preserve">158</t>
    </r>
  </si>
  <si>
    <r>
      <rPr>
        <sz val="10"/>
        <rFont val="WenQuanYi Zen Hei"/>
        <family val="2"/>
      </rPr>
      <t xml:space="preserve">맘</t>
    </r>
    <r>
      <rPr>
        <sz val="10"/>
        <rFont val="Arial"/>
        <family val="0"/>
        <charset val="1"/>
      </rPr>
      <t xml:space="preserve">151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</si>
  <si>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219</t>
    </r>
  </si>
  <si>
    <r>
      <rPr>
        <sz val="10"/>
        <rFont val="WenQuanYi Zen Hei"/>
        <family val="2"/>
      </rPr>
      <t xml:space="preserve">갱신형 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대질병수술비</t>
    </r>
  </si>
  <si>
    <r>
      <rPr>
        <sz val="10"/>
        <rFont val="WenQuanYi Zen Hei"/>
        <family val="2"/>
      </rPr>
      <t xml:space="preserve">케</t>
    </r>
    <r>
      <rPr>
        <sz val="10"/>
        <rFont val="Arial"/>
        <family val="0"/>
        <charset val="1"/>
      </rPr>
      <t xml:space="preserve">220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</si>
</sst>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7C6F"/>
      <name val="WenQuanYi Zen Hei"/>
      <family val="2"/>
    </font>
    <font>
      <b val="true"/>
      <sz val="13"/>
      <color rgb="FF0B7C6F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0B7C6F"/>
      <name val="Arial"/>
      <family val="0"/>
      <charset val="1"/>
    </font>
    <font>
      <b val="true"/>
      <sz val="11"/>
      <color rgb="FF0B7C6F"/>
      <name val="WenQuanYi Zen Hei"/>
      <family val="2"/>
    </font>
    <font>
      <i val="true"/>
      <sz val="10"/>
      <color rgb="FF46536B"/>
      <name val="Arial"/>
      <family val="0"/>
      <charset val="1"/>
    </font>
    <font>
      <i val="true"/>
      <sz val="10"/>
      <color rgb="FF46536B"/>
      <name val="WenQuanYi Zen Hei"/>
      <family val="2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7C6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7C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C6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53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  <c r="C2" s="2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6</v>
      </c>
    </row>
    <row r="5" customFormat="false" ht="15" hidden="false" customHeight="false" outlineLevel="0" collapsed="false">
      <c r="A5" s="3" t="s">
        <v>7</v>
      </c>
      <c r="B5" s="2" t="n">
        <f aca="false">COUNTA('1-5종II'!C3:C200)</f>
        <v>99</v>
      </c>
      <c r="C5" s="2" t="s">
        <v>8</v>
      </c>
    </row>
    <row r="6" customFormat="false" ht="15" hidden="false" customHeight="false" outlineLevel="0" collapsed="false">
      <c r="A6" s="3" t="s">
        <v>9</v>
      </c>
      <c r="B6" s="2" t="n">
        <f aca="false">COUNTA('1-5종 각주'!A2:A100)</f>
        <v>11</v>
      </c>
      <c r="C6" s="2" t="s">
        <v>10</v>
      </c>
    </row>
    <row r="7" customFormat="false" ht="15" hidden="false" customHeight="false" outlineLevel="0" collapsed="false">
      <c r="A7" s="3" t="s">
        <v>11</v>
      </c>
      <c r="B7" s="2" t="n">
        <f aca="false">COUNTA('1-7종'!C3:C2000)</f>
        <v>630</v>
      </c>
      <c r="C7" s="2" t="s">
        <v>12</v>
      </c>
    </row>
    <row r="8" customFormat="false" ht="15" hidden="false" customHeight="false" outlineLevel="0" collapsed="false">
      <c r="A8" s="3" t="s">
        <v>13</v>
      </c>
      <c r="B8" s="2" t="n">
        <f aca="false">COUNTA('131대 대상질병'!B3:B1000)</f>
        <v>356</v>
      </c>
      <c r="C8" s="2" t="s">
        <v>14</v>
      </c>
    </row>
    <row r="9" customFormat="false" ht="15" hidden="false" customHeight="false" outlineLevel="0" collapsed="false">
      <c r="A9" s="3" t="s">
        <v>15</v>
      </c>
      <c r="B9" s="2" t="n">
        <f aca="false">COUNTA('130·131대 KCD'!B3:B2000)</f>
        <v>510</v>
      </c>
      <c r="C9" s="2" t="s">
        <v>16</v>
      </c>
    </row>
    <row r="10" customFormat="false" ht="15" hidden="false" customHeight="false" outlineLevel="0" collapsed="false">
      <c r="A10" s="2" t="s">
        <v>17</v>
      </c>
      <c r="B10" s="2" t="n">
        <f aca="false">COUNTA('상품별 탑재'!C2:C1000)</f>
        <v>42</v>
      </c>
      <c r="C10" s="2" t="s">
        <v>18</v>
      </c>
    </row>
    <row r="12" customFormat="false" ht="15" hidden="false" customHeight="false" outlineLevel="0" collapsed="false">
      <c r="A12" s="5" t="s">
        <v>19</v>
      </c>
    </row>
    <row r="13" customFormat="false" ht="15" hidden="false" customHeight="false" outlineLevel="0" collapsed="false">
      <c r="A13" s="3" t="s">
        <v>20</v>
      </c>
      <c r="B13" s="2" t="n">
        <f aca="false">COUNTIF('1-7종'!E3:E2000,"1종")</f>
        <v>214</v>
      </c>
      <c r="C13" s="2"/>
    </row>
    <row r="14" customFormat="false" ht="15" hidden="false" customHeight="false" outlineLevel="0" collapsed="false">
      <c r="A14" s="3" t="s">
        <v>21</v>
      </c>
      <c r="B14" s="2" t="n">
        <f aca="false">COUNTIF('1-7종'!E3:E2000,"2종")</f>
        <v>95</v>
      </c>
      <c r="C14" s="2"/>
    </row>
    <row r="15" customFormat="false" ht="15" hidden="false" customHeight="false" outlineLevel="0" collapsed="false">
      <c r="A15" s="3" t="s">
        <v>22</v>
      </c>
      <c r="B15" s="2" t="n">
        <f aca="false">COUNTIF('1-7종'!E3:E2000,"3종")</f>
        <v>43</v>
      </c>
      <c r="C15" s="2"/>
    </row>
    <row r="16" customFormat="false" ht="15" hidden="false" customHeight="false" outlineLevel="0" collapsed="false">
      <c r="A16" s="3" t="s">
        <v>23</v>
      </c>
      <c r="B16" s="2" t="n">
        <f aca="false">COUNTIF('1-7종'!E3:E2000,"4종")</f>
        <v>105</v>
      </c>
      <c r="C16" s="2"/>
    </row>
    <row r="17" customFormat="false" ht="15" hidden="false" customHeight="false" outlineLevel="0" collapsed="false">
      <c r="A17" s="3" t="s">
        <v>24</v>
      </c>
      <c r="B17" s="2" t="n">
        <f aca="false">COUNTIF('1-7종'!E3:E2000,"5종")</f>
        <v>63</v>
      </c>
      <c r="C17" s="2"/>
    </row>
    <row r="18" customFormat="false" ht="15" hidden="false" customHeight="false" outlineLevel="0" collapsed="false">
      <c r="A18" s="3" t="s">
        <v>25</v>
      </c>
      <c r="B18" s="2" t="n">
        <f aca="false">COUNTIF('1-7종'!E3:E2000,"6종")</f>
        <v>64</v>
      </c>
      <c r="C18" s="2"/>
    </row>
    <row r="19" customFormat="false" ht="15" hidden="false" customHeight="false" outlineLevel="0" collapsed="false">
      <c r="A19" s="3" t="s">
        <v>26</v>
      </c>
      <c r="B19" s="2" t="n">
        <f aca="false">COUNTIF('1-7종'!E3:E2000,"7종")</f>
        <v>46</v>
      </c>
      <c r="C19" s="2"/>
    </row>
    <row r="21" customFormat="false" ht="15" hidden="false" customHeight="false" outlineLevel="0" collapsed="false">
      <c r="A21" s="6" t="s">
        <v>27</v>
      </c>
    </row>
    <row r="22" customFormat="false" ht="26.85" hidden="false" customHeight="false" outlineLevel="0" collapsed="false">
      <c r="A22" s="3" t="s">
        <v>11</v>
      </c>
      <c r="B22" s="2" t="s">
        <v>28</v>
      </c>
      <c r="C22" s="2" t="s">
        <v>29</v>
      </c>
    </row>
    <row r="23" customFormat="false" ht="15" hidden="false" customHeight="false" outlineLevel="0" collapsed="false">
      <c r="A23" s="3" t="s">
        <v>30</v>
      </c>
      <c r="B23" s="2" t="s">
        <v>28</v>
      </c>
      <c r="C23" s="3" t="s">
        <v>31</v>
      </c>
    </row>
    <row r="24" customFormat="false" ht="39.55" hidden="false" customHeight="false" outlineLevel="0" collapsed="false">
      <c r="A24" s="3" t="s">
        <v>32</v>
      </c>
      <c r="B24" s="3" t="s">
        <v>33</v>
      </c>
      <c r="C24" s="2" t="s">
        <v>34</v>
      </c>
    </row>
    <row r="25" customFormat="false" ht="26.85" hidden="false" customHeight="false" outlineLevel="0" collapsed="false">
      <c r="A25" s="3" t="s">
        <v>32</v>
      </c>
      <c r="B25" s="2" t="s">
        <v>28</v>
      </c>
      <c r="C25" s="2" t="s">
        <v>35</v>
      </c>
    </row>
    <row r="26" customFormat="false" ht="26.85" hidden="false" customHeight="false" outlineLevel="0" collapsed="false">
      <c r="A26" s="2" t="s">
        <v>36</v>
      </c>
      <c r="B26" s="2"/>
      <c r="C26" s="3" t="s">
        <v>37</v>
      </c>
    </row>
    <row r="27" customFormat="false" ht="15" hidden="false" customHeight="false" outlineLevel="0" collapsed="false">
      <c r="A27" s="2" t="s">
        <v>38</v>
      </c>
      <c r="B27" s="2"/>
      <c r="C27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56"/>
  </cols>
  <sheetData>
    <row r="1" customFormat="false" ht="30" hidden="false" customHeight="true" outlineLevel="0" collapsed="false">
      <c r="A1" s="7" t="s">
        <v>40</v>
      </c>
      <c r="B1" s="7"/>
      <c r="C1" s="7"/>
      <c r="D1" s="7"/>
      <c r="E1" s="7"/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</row>
    <row r="3" customFormat="false" ht="15" hidden="false" customHeight="false" outlineLevel="0" collapsed="false">
      <c r="A3" s="9" t="s">
        <v>46</v>
      </c>
      <c r="B3" s="10" t="s">
        <v>47</v>
      </c>
      <c r="C3" s="9" t="s">
        <v>48</v>
      </c>
      <c r="D3" s="10" t="s">
        <v>22</v>
      </c>
      <c r="E3" s="10" t="s">
        <v>49</v>
      </c>
    </row>
    <row r="4" customFormat="false" ht="15" hidden="false" customHeight="false" outlineLevel="0" collapsed="false">
      <c r="A4" s="9" t="s">
        <v>46</v>
      </c>
      <c r="B4" s="10" t="s">
        <v>50</v>
      </c>
      <c r="C4" s="9" t="s">
        <v>51</v>
      </c>
      <c r="D4" s="10" t="s">
        <v>20</v>
      </c>
      <c r="E4" s="9"/>
    </row>
    <row r="5" customFormat="false" ht="15" hidden="false" customHeight="false" outlineLevel="0" collapsed="false">
      <c r="A5" s="9" t="s">
        <v>46</v>
      </c>
      <c r="B5" s="10" t="s">
        <v>52</v>
      </c>
      <c r="C5" s="9" t="s">
        <v>53</v>
      </c>
      <c r="D5" s="10" t="s">
        <v>22</v>
      </c>
      <c r="E5" s="9" t="s">
        <v>54</v>
      </c>
    </row>
    <row r="6" customFormat="false" ht="15" hidden="false" customHeight="false" outlineLevel="0" collapsed="false">
      <c r="A6" s="9" t="s">
        <v>46</v>
      </c>
      <c r="B6" s="10" t="s">
        <v>55</v>
      </c>
      <c r="C6" s="9" t="s">
        <v>56</v>
      </c>
      <c r="D6" s="10" t="s">
        <v>20</v>
      </c>
      <c r="E6" s="9" t="s">
        <v>57</v>
      </c>
    </row>
    <row r="7" customFormat="false" ht="15" hidden="false" customHeight="false" outlineLevel="0" collapsed="false">
      <c r="A7" s="9" t="s">
        <v>58</v>
      </c>
      <c r="B7" s="10" t="s">
        <v>59</v>
      </c>
      <c r="C7" s="9" t="s">
        <v>60</v>
      </c>
      <c r="D7" s="10" t="s">
        <v>21</v>
      </c>
      <c r="E7" s="9"/>
    </row>
    <row r="8" customFormat="false" ht="15" hidden="false" customHeight="false" outlineLevel="0" collapsed="false">
      <c r="A8" s="9" t="s">
        <v>58</v>
      </c>
      <c r="B8" s="10" t="s">
        <v>61</v>
      </c>
      <c r="C8" s="9" t="s">
        <v>62</v>
      </c>
      <c r="D8" s="10" t="s">
        <v>22</v>
      </c>
      <c r="E8" s="9" t="s">
        <v>63</v>
      </c>
    </row>
    <row r="9" customFormat="false" ht="15" hidden="false" customHeight="false" outlineLevel="0" collapsed="false">
      <c r="A9" s="9" t="s">
        <v>58</v>
      </c>
      <c r="B9" s="10" t="s">
        <v>64</v>
      </c>
      <c r="C9" s="9" t="s">
        <v>65</v>
      </c>
      <c r="D9" s="10" t="s">
        <v>20</v>
      </c>
      <c r="E9" s="9" t="s">
        <v>66</v>
      </c>
    </row>
    <row r="10" customFormat="false" ht="15" hidden="false" customHeight="false" outlineLevel="0" collapsed="false">
      <c r="A10" s="9" t="s">
        <v>58</v>
      </c>
      <c r="B10" s="10" t="s">
        <v>67</v>
      </c>
      <c r="C10" s="9" t="s">
        <v>68</v>
      </c>
      <c r="D10" s="10" t="s">
        <v>21</v>
      </c>
      <c r="E10" s="9"/>
    </row>
    <row r="11" customFormat="false" ht="15" hidden="false" customHeight="false" outlineLevel="0" collapsed="false">
      <c r="A11" s="9" t="s">
        <v>58</v>
      </c>
      <c r="B11" s="10" t="s">
        <v>69</v>
      </c>
      <c r="C11" s="9" t="s">
        <v>70</v>
      </c>
      <c r="D11" s="10" t="s">
        <v>22</v>
      </c>
      <c r="E11" s="9"/>
    </row>
    <row r="12" customFormat="false" ht="15" hidden="false" customHeight="false" outlineLevel="0" collapsed="false">
      <c r="A12" s="9" t="s">
        <v>58</v>
      </c>
      <c r="B12" s="10" t="s">
        <v>71</v>
      </c>
      <c r="C12" s="9" t="s">
        <v>72</v>
      </c>
      <c r="D12" s="10" t="s">
        <v>21</v>
      </c>
      <c r="E12" s="9"/>
    </row>
    <row r="13" customFormat="false" ht="15" hidden="false" customHeight="false" outlineLevel="0" collapsed="false">
      <c r="A13" s="9" t="s">
        <v>58</v>
      </c>
      <c r="B13" s="10" t="s">
        <v>73</v>
      </c>
      <c r="C13" s="9" t="s">
        <v>74</v>
      </c>
      <c r="D13" s="10" t="s">
        <v>20</v>
      </c>
      <c r="E13" s="9" t="s">
        <v>75</v>
      </c>
    </row>
    <row r="14" customFormat="false" ht="15" hidden="false" customHeight="false" outlineLevel="0" collapsed="false">
      <c r="A14" s="9" t="s">
        <v>58</v>
      </c>
      <c r="B14" s="10" t="s">
        <v>76</v>
      </c>
      <c r="C14" s="9" t="s">
        <v>77</v>
      </c>
      <c r="D14" s="10" t="s">
        <v>22</v>
      </c>
      <c r="E14" s="9"/>
    </row>
    <row r="15" customFormat="false" ht="15" hidden="false" customHeight="false" outlineLevel="0" collapsed="false">
      <c r="A15" s="9" t="s">
        <v>58</v>
      </c>
      <c r="B15" s="10" t="s">
        <v>78</v>
      </c>
      <c r="C15" s="9" t="s">
        <v>79</v>
      </c>
      <c r="D15" s="10" t="s">
        <v>22</v>
      </c>
      <c r="E15" s="9" t="s">
        <v>75</v>
      </c>
    </row>
    <row r="16" customFormat="false" ht="15" hidden="false" customHeight="false" outlineLevel="0" collapsed="false">
      <c r="A16" s="9" t="s">
        <v>58</v>
      </c>
      <c r="B16" s="10" t="s">
        <v>80</v>
      </c>
      <c r="C16" s="9" t="s">
        <v>81</v>
      </c>
      <c r="D16" s="10" t="s">
        <v>20</v>
      </c>
      <c r="E16" s="9"/>
    </row>
    <row r="17" customFormat="false" ht="15" hidden="false" customHeight="false" outlineLevel="0" collapsed="false">
      <c r="A17" s="9" t="s">
        <v>58</v>
      </c>
      <c r="B17" s="10" t="s">
        <v>82</v>
      </c>
      <c r="C17" s="9" t="s">
        <v>83</v>
      </c>
      <c r="D17" s="10" t="s">
        <v>21</v>
      </c>
      <c r="E17" s="9"/>
    </row>
    <row r="18" customFormat="false" ht="15" hidden="false" customHeight="false" outlineLevel="0" collapsed="false">
      <c r="A18" s="9" t="s">
        <v>58</v>
      </c>
      <c r="B18" s="10" t="s">
        <v>84</v>
      </c>
      <c r="C18" s="9" t="s">
        <v>85</v>
      </c>
      <c r="D18" s="10" t="s">
        <v>20</v>
      </c>
      <c r="E18" s="9"/>
    </row>
    <row r="19" customFormat="false" ht="15" hidden="false" customHeight="false" outlineLevel="0" collapsed="false">
      <c r="A19" s="9" t="s">
        <v>86</v>
      </c>
      <c r="B19" s="10" t="s">
        <v>87</v>
      </c>
      <c r="C19" s="9" t="s">
        <v>88</v>
      </c>
      <c r="D19" s="10" t="s">
        <v>20</v>
      </c>
      <c r="E19" s="9"/>
    </row>
    <row r="20" customFormat="false" ht="15" hidden="false" customHeight="false" outlineLevel="0" collapsed="false">
      <c r="A20" s="9" t="s">
        <v>86</v>
      </c>
      <c r="B20" s="10" t="s">
        <v>89</v>
      </c>
      <c r="C20" s="9" t="s">
        <v>90</v>
      </c>
      <c r="D20" s="10" t="s">
        <v>22</v>
      </c>
      <c r="E20" s="9"/>
    </row>
    <row r="21" customFormat="false" ht="15" hidden="false" customHeight="false" outlineLevel="0" collapsed="false">
      <c r="A21" s="9" t="s">
        <v>86</v>
      </c>
      <c r="B21" s="10" t="s">
        <v>91</v>
      </c>
      <c r="C21" s="9" t="s">
        <v>92</v>
      </c>
      <c r="D21" s="10" t="s">
        <v>20</v>
      </c>
      <c r="E21" s="9"/>
    </row>
    <row r="22" customFormat="false" ht="15" hidden="false" customHeight="false" outlineLevel="0" collapsed="false">
      <c r="A22" s="9" t="s">
        <v>86</v>
      </c>
      <c r="B22" s="10" t="s">
        <v>93</v>
      </c>
      <c r="C22" s="9" t="s">
        <v>94</v>
      </c>
      <c r="D22" s="10" t="s">
        <v>23</v>
      </c>
      <c r="E22" s="9" t="s">
        <v>95</v>
      </c>
    </row>
    <row r="23" customFormat="false" ht="15" hidden="false" customHeight="false" outlineLevel="0" collapsed="false">
      <c r="A23" s="9" t="s">
        <v>86</v>
      </c>
      <c r="B23" s="10" t="s">
        <v>96</v>
      </c>
      <c r="C23" s="9" t="s">
        <v>97</v>
      </c>
      <c r="D23" s="10" t="s">
        <v>24</v>
      </c>
      <c r="E23" s="9" t="s">
        <v>98</v>
      </c>
    </row>
    <row r="24" customFormat="false" ht="15" hidden="false" customHeight="false" outlineLevel="0" collapsed="false">
      <c r="A24" s="9" t="s">
        <v>86</v>
      </c>
      <c r="B24" s="10" t="s">
        <v>99</v>
      </c>
      <c r="C24" s="9" t="s">
        <v>100</v>
      </c>
      <c r="D24" s="10" t="s">
        <v>22</v>
      </c>
      <c r="E24" s="9"/>
    </row>
    <row r="25" customFormat="false" ht="15" hidden="false" customHeight="false" outlineLevel="0" collapsed="false">
      <c r="A25" s="9" t="s">
        <v>86</v>
      </c>
      <c r="B25" s="10" t="s">
        <v>101</v>
      </c>
      <c r="C25" s="9" t="s">
        <v>102</v>
      </c>
      <c r="D25" s="10" t="s">
        <v>23</v>
      </c>
      <c r="E25" s="9" t="s">
        <v>95</v>
      </c>
    </row>
    <row r="26" customFormat="false" ht="15" hidden="false" customHeight="false" outlineLevel="0" collapsed="false">
      <c r="A26" s="9" t="s">
        <v>103</v>
      </c>
      <c r="B26" s="10" t="s">
        <v>104</v>
      </c>
      <c r="C26" s="9" t="s">
        <v>105</v>
      </c>
      <c r="D26" s="10" t="s">
        <v>22</v>
      </c>
      <c r="E26" s="9" t="s">
        <v>106</v>
      </c>
    </row>
    <row r="27" customFormat="false" ht="15" hidden="false" customHeight="false" outlineLevel="0" collapsed="false">
      <c r="A27" s="9" t="s">
        <v>103</v>
      </c>
      <c r="B27" s="10" t="s">
        <v>107</v>
      </c>
      <c r="C27" s="9" t="s">
        <v>108</v>
      </c>
      <c r="D27" s="10" t="s">
        <v>20</v>
      </c>
      <c r="E27" s="9"/>
    </row>
    <row r="28" customFormat="false" ht="15" hidden="false" customHeight="false" outlineLevel="0" collapsed="false">
      <c r="A28" s="9" t="s">
        <v>103</v>
      </c>
      <c r="B28" s="10" t="s">
        <v>109</v>
      </c>
      <c r="C28" s="9" t="s">
        <v>110</v>
      </c>
      <c r="D28" s="10" t="s">
        <v>24</v>
      </c>
      <c r="E28" s="9" t="s">
        <v>111</v>
      </c>
    </row>
    <row r="29" customFormat="false" ht="15" hidden="false" customHeight="false" outlineLevel="0" collapsed="false">
      <c r="A29" s="9" t="s">
        <v>103</v>
      </c>
      <c r="B29" s="10" t="s">
        <v>112</v>
      </c>
      <c r="C29" s="9" t="s">
        <v>113</v>
      </c>
      <c r="D29" s="10" t="s">
        <v>23</v>
      </c>
      <c r="E29" s="9" t="s">
        <v>95</v>
      </c>
    </row>
    <row r="30" customFormat="false" ht="15" hidden="false" customHeight="false" outlineLevel="0" collapsed="false">
      <c r="A30" s="9" t="s">
        <v>103</v>
      </c>
      <c r="B30" s="10" t="s">
        <v>114</v>
      </c>
      <c r="C30" s="9" t="s">
        <v>115</v>
      </c>
      <c r="D30" s="10" t="s">
        <v>24</v>
      </c>
      <c r="E30" s="9" t="s">
        <v>95</v>
      </c>
    </row>
    <row r="31" customFormat="false" ht="15" hidden="false" customHeight="false" outlineLevel="0" collapsed="false">
      <c r="A31" s="9" t="s">
        <v>103</v>
      </c>
      <c r="B31" s="10" t="s">
        <v>116</v>
      </c>
      <c r="C31" s="9" t="s">
        <v>117</v>
      </c>
      <c r="D31" s="10" t="s">
        <v>24</v>
      </c>
      <c r="E31" s="9" t="s">
        <v>98</v>
      </c>
    </row>
    <row r="32" customFormat="false" ht="15" hidden="false" customHeight="false" outlineLevel="0" collapsed="false">
      <c r="A32" s="9" t="s">
        <v>103</v>
      </c>
      <c r="B32" s="10" t="s">
        <v>118</v>
      </c>
      <c r="C32" s="9" t="s">
        <v>119</v>
      </c>
      <c r="D32" s="10" t="s">
        <v>22</v>
      </c>
      <c r="E32" s="9"/>
    </row>
    <row r="33" customFormat="false" ht="15" hidden="false" customHeight="false" outlineLevel="0" collapsed="false">
      <c r="A33" s="9" t="s">
        <v>103</v>
      </c>
      <c r="B33" s="10" t="s">
        <v>120</v>
      </c>
      <c r="C33" s="9" t="s">
        <v>121</v>
      </c>
      <c r="D33" s="10" t="s">
        <v>22</v>
      </c>
      <c r="E33" s="9"/>
    </row>
    <row r="34" customFormat="false" ht="15" hidden="false" customHeight="false" outlineLevel="0" collapsed="false">
      <c r="A34" s="9" t="s">
        <v>122</v>
      </c>
      <c r="B34" s="10" t="s">
        <v>123</v>
      </c>
      <c r="C34" s="9" t="s">
        <v>124</v>
      </c>
      <c r="D34" s="10" t="s">
        <v>22</v>
      </c>
      <c r="E34" s="9"/>
    </row>
    <row r="35" customFormat="false" ht="15" hidden="false" customHeight="false" outlineLevel="0" collapsed="false">
      <c r="A35" s="9" t="s">
        <v>122</v>
      </c>
      <c r="B35" s="10" t="s">
        <v>125</v>
      </c>
      <c r="C35" s="9" t="s">
        <v>126</v>
      </c>
      <c r="D35" s="10" t="s">
        <v>21</v>
      </c>
      <c r="E35" s="9"/>
    </row>
    <row r="36" customFormat="false" ht="15" hidden="false" customHeight="false" outlineLevel="0" collapsed="false">
      <c r="A36" s="9" t="s">
        <v>122</v>
      </c>
      <c r="B36" s="10" t="s">
        <v>127</v>
      </c>
      <c r="C36" s="9" t="s">
        <v>128</v>
      </c>
      <c r="D36" s="10" t="s">
        <v>20</v>
      </c>
      <c r="E36" s="9" t="s">
        <v>129</v>
      </c>
    </row>
    <row r="37" customFormat="false" ht="15" hidden="false" customHeight="false" outlineLevel="0" collapsed="false">
      <c r="A37" s="9" t="s">
        <v>122</v>
      </c>
      <c r="B37" s="10" t="s">
        <v>130</v>
      </c>
      <c r="C37" s="9" t="s">
        <v>131</v>
      </c>
      <c r="D37" s="10" t="s">
        <v>23</v>
      </c>
      <c r="E37" s="9" t="s">
        <v>111</v>
      </c>
    </row>
    <row r="38" customFormat="false" ht="15" hidden="false" customHeight="false" outlineLevel="0" collapsed="false">
      <c r="A38" s="9" t="s">
        <v>122</v>
      </c>
      <c r="B38" s="10" t="s">
        <v>132</v>
      </c>
      <c r="C38" s="9" t="s">
        <v>133</v>
      </c>
      <c r="D38" s="10" t="s">
        <v>23</v>
      </c>
      <c r="E38" s="9" t="s">
        <v>134</v>
      </c>
    </row>
    <row r="39" customFormat="false" ht="15" hidden="false" customHeight="false" outlineLevel="0" collapsed="false">
      <c r="A39" s="9" t="s">
        <v>122</v>
      </c>
      <c r="B39" s="10" t="s">
        <v>135</v>
      </c>
      <c r="C39" s="9" t="s">
        <v>136</v>
      </c>
      <c r="D39" s="10" t="s">
        <v>22</v>
      </c>
      <c r="E39" s="9" t="s">
        <v>111</v>
      </c>
    </row>
    <row r="40" customFormat="false" ht="15" hidden="false" customHeight="false" outlineLevel="0" collapsed="false">
      <c r="A40" s="9" t="s">
        <v>122</v>
      </c>
      <c r="B40" s="10" t="s">
        <v>137</v>
      </c>
      <c r="C40" s="9" t="s">
        <v>138</v>
      </c>
      <c r="D40" s="10" t="s">
        <v>23</v>
      </c>
      <c r="E40" s="9" t="s">
        <v>134</v>
      </c>
    </row>
    <row r="41" customFormat="false" ht="15" hidden="false" customHeight="false" outlineLevel="0" collapsed="false">
      <c r="A41" s="9" t="s">
        <v>122</v>
      </c>
      <c r="B41" s="10" t="s">
        <v>139</v>
      </c>
      <c r="C41" s="9" t="s">
        <v>140</v>
      </c>
      <c r="D41" s="10" t="s">
        <v>22</v>
      </c>
      <c r="E41" s="9" t="s">
        <v>141</v>
      </c>
    </row>
    <row r="42" customFormat="false" ht="15" hidden="false" customHeight="false" outlineLevel="0" collapsed="false">
      <c r="A42" s="9" t="s">
        <v>122</v>
      </c>
      <c r="B42" s="10" t="s">
        <v>142</v>
      </c>
      <c r="C42" s="9" t="s">
        <v>143</v>
      </c>
      <c r="D42" s="10" t="s">
        <v>24</v>
      </c>
      <c r="E42" s="9" t="s">
        <v>144</v>
      </c>
    </row>
    <row r="43" customFormat="false" ht="15" hidden="false" customHeight="false" outlineLevel="0" collapsed="false">
      <c r="A43" s="9" t="s">
        <v>122</v>
      </c>
      <c r="B43" s="10" t="s">
        <v>145</v>
      </c>
      <c r="C43" s="9" t="s">
        <v>146</v>
      </c>
      <c r="D43" s="10" t="s">
        <v>24</v>
      </c>
      <c r="E43" s="9" t="s">
        <v>147</v>
      </c>
    </row>
    <row r="44" customFormat="false" ht="15" hidden="false" customHeight="false" outlineLevel="0" collapsed="false">
      <c r="A44" s="9" t="s">
        <v>122</v>
      </c>
      <c r="B44" s="10" t="s">
        <v>148</v>
      </c>
      <c r="C44" s="9" t="s">
        <v>149</v>
      </c>
      <c r="D44" s="10" t="s">
        <v>20</v>
      </c>
      <c r="E44" s="9"/>
    </row>
    <row r="45" customFormat="false" ht="15" hidden="false" customHeight="false" outlineLevel="0" collapsed="false">
      <c r="A45" s="9" t="s">
        <v>122</v>
      </c>
      <c r="B45" s="10" t="s">
        <v>150</v>
      </c>
      <c r="C45" s="9" t="s">
        <v>151</v>
      </c>
      <c r="D45" s="10" t="s">
        <v>21</v>
      </c>
      <c r="E45" s="9"/>
    </row>
    <row r="46" customFormat="false" ht="15" hidden="false" customHeight="false" outlineLevel="0" collapsed="false">
      <c r="A46" s="9" t="s">
        <v>122</v>
      </c>
      <c r="B46" s="10" t="s">
        <v>152</v>
      </c>
      <c r="C46" s="9" t="s">
        <v>153</v>
      </c>
      <c r="D46" s="10" t="s">
        <v>21</v>
      </c>
      <c r="E46" s="9" t="s">
        <v>154</v>
      </c>
    </row>
    <row r="47" customFormat="false" ht="15" hidden="false" customHeight="false" outlineLevel="0" collapsed="false">
      <c r="A47" s="9" t="s">
        <v>122</v>
      </c>
      <c r="B47" s="10" t="s">
        <v>155</v>
      </c>
      <c r="C47" s="9" t="s">
        <v>156</v>
      </c>
      <c r="D47" s="10" t="s">
        <v>20</v>
      </c>
      <c r="E47" s="9"/>
    </row>
    <row r="48" customFormat="false" ht="15" hidden="false" customHeight="false" outlineLevel="0" collapsed="false">
      <c r="A48" s="9" t="s">
        <v>122</v>
      </c>
      <c r="B48" s="10" t="s">
        <v>157</v>
      </c>
      <c r="C48" s="9" t="s">
        <v>158</v>
      </c>
      <c r="D48" s="10" t="s">
        <v>23</v>
      </c>
      <c r="E48" s="9" t="s">
        <v>159</v>
      </c>
    </row>
    <row r="49" customFormat="false" ht="15" hidden="false" customHeight="false" outlineLevel="0" collapsed="false">
      <c r="A49" s="9" t="s">
        <v>122</v>
      </c>
      <c r="B49" s="10" t="s">
        <v>160</v>
      </c>
      <c r="C49" s="9" t="s">
        <v>161</v>
      </c>
      <c r="D49" s="10" t="s">
        <v>20</v>
      </c>
      <c r="E49" s="9" t="s">
        <v>162</v>
      </c>
    </row>
    <row r="50" customFormat="false" ht="15" hidden="false" customHeight="false" outlineLevel="0" collapsed="false">
      <c r="A50" s="9" t="s">
        <v>163</v>
      </c>
      <c r="B50" s="10" t="s">
        <v>164</v>
      </c>
      <c r="C50" s="9" t="s">
        <v>165</v>
      </c>
      <c r="D50" s="10" t="s">
        <v>23</v>
      </c>
      <c r="E50" s="9" t="s">
        <v>166</v>
      </c>
    </row>
    <row r="51" customFormat="false" ht="15" hidden="false" customHeight="false" outlineLevel="0" collapsed="false">
      <c r="A51" s="9" t="s">
        <v>163</v>
      </c>
      <c r="B51" s="10" t="s">
        <v>167</v>
      </c>
      <c r="C51" s="9" t="s">
        <v>168</v>
      </c>
      <c r="D51" s="10" t="s">
        <v>21</v>
      </c>
      <c r="E51" s="9" t="s">
        <v>169</v>
      </c>
    </row>
    <row r="52" customFormat="false" ht="15" hidden="false" customHeight="false" outlineLevel="0" collapsed="false">
      <c r="A52" s="9" t="s">
        <v>163</v>
      </c>
      <c r="B52" s="10" t="s">
        <v>170</v>
      </c>
      <c r="C52" s="9" t="s">
        <v>171</v>
      </c>
      <c r="D52" s="10" t="s">
        <v>20</v>
      </c>
      <c r="E52" s="9"/>
    </row>
    <row r="53" customFormat="false" ht="15" hidden="false" customHeight="false" outlineLevel="0" collapsed="false">
      <c r="A53" s="9" t="s">
        <v>163</v>
      </c>
      <c r="B53" s="10" t="s">
        <v>172</v>
      </c>
      <c r="C53" s="9" t="s">
        <v>173</v>
      </c>
      <c r="D53" s="10" t="s">
        <v>24</v>
      </c>
      <c r="E53" s="9" t="s">
        <v>98</v>
      </c>
    </row>
    <row r="54" customFormat="false" ht="15" hidden="false" customHeight="false" outlineLevel="0" collapsed="false">
      <c r="A54" s="9" t="s">
        <v>163</v>
      </c>
      <c r="B54" s="10" t="s">
        <v>174</v>
      </c>
      <c r="C54" s="9" t="s">
        <v>175</v>
      </c>
      <c r="D54" s="10" t="s">
        <v>22</v>
      </c>
      <c r="E54" s="9" t="s">
        <v>176</v>
      </c>
    </row>
    <row r="55" customFormat="false" ht="15" hidden="false" customHeight="false" outlineLevel="0" collapsed="false">
      <c r="A55" s="9" t="s">
        <v>163</v>
      </c>
      <c r="B55" s="10" t="s">
        <v>177</v>
      </c>
      <c r="C55" s="9" t="s">
        <v>178</v>
      </c>
      <c r="D55" s="10" t="s">
        <v>21</v>
      </c>
      <c r="E55" s="9"/>
    </row>
    <row r="56" customFormat="false" ht="15" hidden="false" customHeight="false" outlineLevel="0" collapsed="false">
      <c r="A56" s="9" t="s">
        <v>163</v>
      </c>
      <c r="B56" s="10" t="s">
        <v>179</v>
      </c>
      <c r="C56" s="9" t="s">
        <v>180</v>
      </c>
      <c r="D56" s="10" t="s">
        <v>20</v>
      </c>
      <c r="E56" s="9"/>
    </row>
    <row r="57" customFormat="false" ht="15" hidden="false" customHeight="false" outlineLevel="0" collapsed="false">
      <c r="A57" s="9" t="s">
        <v>163</v>
      </c>
      <c r="B57" s="10" t="s">
        <v>181</v>
      </c>
      <c r="C57" s="9" t="s">
        <v>182</v>
      </c>
      <c r="D57" s="10" t="s">
        <v>21</v>
      </c>
      <c r="E57" s="9" t="s">
        <v>183</v>
      </c>
    </row>
    <row r="58" customFormat="false" ht="15" hidden="false" customHeight="false" outlineLevel="0" collapsed="false">
      <c r="A58" s="9" t="s">
        <v>163</v>
      </c>
      <c r="B58" s="10" t="s">
        <v>184</v>
      </c>
      <c r="C58" s="9" t="s">
        <v>185</v>
      </c>
      <c r="D58" s="10" t="s">
        <v>20</v>
      </c>
      <c r="E58" s="10" t="s">
        <v>186</v>
      </c>
    </row>
    <row r="59" customFormat="false" ht="15" hidden="false" customHeight="false" outlineLevel="0" collapsed="false">
      <c r="A59" s="9" t="s">
        <v>163</v>
      </c>
      <c r="B59" s="10" t="s">
        <v>187</v>
      </c>
      <c r="C59" s="9" t="s">
        <v>188</v>
      </c>
      <c r="D59" s="10" t="s">
        <v>20</v>
      </c>
      <c r="E59" s="9"/>
    </row>
    <row r="60" customFormat="false" ht="15" hidden="false" customHeight="false" outlineLevel="0" collapsed="false">
      <c r="A60" s="9" t="s">
        <v>163</v>
      </c>
      <c r="B60" s="10" t="s">
        <v>189</v>
      </c>
      <c r="C60" s="9" t="s">
        <v>190</v>
      </c>
      <c r="D60" s="10" t="s">
        <v>20</v>
      </c>
      <c r="E60" s="9"/>
    </row>
    <row r="61" customFormat="false" ht="15" hidden="false" customHeight="false" outlineLevel="0" collapsed="false">
      <c r="A61" s="9" t="s">
        <v>191</v>
      </c>
      <c r="B61" s="10" t="s">
        <v>192</v>
      </c>
      <c r="C61" s="9" t="s">
        <v>193</v>
      </c>
      <c r="D61" s="10" t="s">
        <v>24</v>
      </c>
      <c r="E61" s="9"/>
    </row>
    <row r="62" customFormat="false" ht="15" hidden="false" customHeight="false" outlineLevel="0" collapsed="false">
      <c r="A62" s="9" t="s">
        <v>191</v>
      </c>
      <c r="B62" s="10" t="s">
        <v>194</v>
      </c>
      <c r="C62" s="9" t="s">
        <v>195</v>
      </c>
      <c r="D62" s="10" t="s">
        <v>22</v>
      </c>
      <c r="E62" s="9"/>
    </row>
    <row r="63" customFormat="false" ht="15" hidden="false" customHeight="false" outlineLevel="0" collapsed="false">
      <c r="A63" s="9" t="s">
        <v>191</v>
      </c>
      <c r="B63" s="10" t="s">
        <v>196</v>
      </c>
      <c r="C63" s="9" t="s">
        <v>197</v>
      </c>
      <c r="D63" s="10" t="s">
        <v>23</v>
      </c>
      <c r="E63" s="9"/>
    </row>
    <row r="64" customFormat="false" ht="15" hidden="false" customHeight="false" outlineLevel="0" collapsed="false">
      <c r="A64" s="9" t="s">
        <v>198</v>
      </c>
      <c r="B64" s="10" t="s">
        <v>199</v>
      </c>
      <c r="C64" s="9" t="s">
        <v>200</v>
      </c>
      <c r="D64" s="10" t="s">
        <v>24</v>
      </c>
      <c r="E64" s="9" t="s">
        <v>201</v>
      </c>
    </row>
    <row r="65" customFormat="false" ht="15" hidden="false" customHeight="false" outlineLevel="0" collapsed="false">
      <c r="A65" s="9" t="s">
        <v>198</v>
      </c>
      <c r="B65" s="10" t="s">
        <v>202</v>
      </c>
      <c r="C65" s="9" t="s">
        <v>203</v>
      </c>
      <c r="D65" s="10" t="s">
        <v>21</v>
      </c>
      <c r="E65" s="9"/>
    </row>
    <row r="66" customFormat="false" ht="15" hidden="false" customHeight="false" outlineLevel="0" collapsed="false">
      <c r="A66" s="9" t="s">
        <v>198</v>
      </c>
      <c r="B66" s="10" t="s">
        <v>204</v>
      </c>
      <c r="C66" s="9" t="s">
        <v>205</v>
      </c>
      <c r="D66" s="10" t="s">
        <v>23</v>
      </c>
      <c r="E66" s="9"/>
    </row>
    <row r="67" customFormat="false" ht="15" hidden="false" customHeight="false" outlineLevel="0" collapsed="false">
      <c r="A67" s="9" t="s">
        <v>198</v>
      </c>
      <c r="B67" s="10" t="s">
        <v>206</v>
      </c>
      <c r="C67" s="9" t="s">
        <v>207</v>
      </c>
      <c r="D67" s="10" t="s">
        <v>22</v>
      </c>
      <c r="E67" s="9"/>
    </row>
    <row r="68" customFormat="false" ht="15" hidden="false" customHeight="false" outlineLevel="0" collapsed="false">
      <c r="A68" s="9" t="s">
        <v>208</v>
      </c>
      <c r="B68" s="10" t="s">
        <v>209</v>
      </c>
      <c r="C68" s="9" t="s">
        <v>210</v>
      </c>
      <c r="D68" s="10" t="s">
        <v>20</v>
      </c>
      <c r="E68" s="9" t="s">
        <v>211</v>
      </c>
    </row>
    <row r="69" customFormat="false" ht="15" hidden="false" customHeight="false" outlineLevel="0" collapsed="false">
      <c r="A69" s="9" t="s">
        <v>208</v>
      </c>
      <c r="B69" s="10" t="s">
        <v>212</v>
      </c>
      <c r="C69" s="9" t="s">
        <v>213</v>
      </c>
      <c r="D69" s="10" t="s">
        <v>20</v>
      </c>
      <c r="E69" s="9" t="s">
        <v>214</v>
      </c>
    </row>
    <row r="70" customFormat="false" ht="15" hidden="false" customHeight="false" outlineLevel="0" collapsed="false">
      <c r="A70" s="9" t="s">
        <v>208</v>
      </c>
      <c r="B70" s="10" t="s">
        <v>215</v>
      </c>
      <c r="C70" s="9" t="s">
        <v>216</v>
      </c>
      <c r="D70" s="10" t="s">
        <v>21</v>
      </c>
      <c r="E70" s="9"/>
    </row>
    <row r="71" customFormat="false" ht="15" hidden="false" customHeight="false" outlineLevel="0" collapsed="false">
      <c r="A71" s="9" t="s">
        <v>208</v>
      </c>
      <c r="B71" s="10" t="s">
        <v>217</v>
      </c>
      <c r="C71" s="9" t="s">
        <v>218</v>
      </c>
      <c r="D71" s="10" t="s">
        <v>21</v>
      </c>
      <c r="E71" s="9"/>
    </row>
    <row r="72" customFormat="false" ht="15" hidden="false" customHeight="false" outlineLevel="0" collapsed="false">
      <c r="A72" s="9" t="s">
        <v>208</v>
      </c>
      <c r="B72" s="10" t="s">
        <v>219</v>
      </c>
      <c r="C72" s="9" t="s">
        <v>220</v>
      </c>
      <c r="D72" s="10" t="s">
        <v>20</v>
      </c>
      <c r="E72" s="9"/>
    </row>
    <row r="73" customFormat="false" ht="15" hidden="false" customHeight="false" outlineLevel="0" collapsed="false">
      <c r="A73" s="9" t="s">
        <v>208</v>
      </c>
      <c r="B73" s="10" t="s">
        <v>221</v>
      </c>
      <c r="C73" s="9" t="s">
        <v>222</v>
      </c>
      <c r="D73" s="10" t="s">
        <v>21</v>
      </c>
      <c r="E73" s="9"/>
    </row>
    <row r="74" customFormat="false" ht="15" hidden="false" customHeight="false" outlineLevel="0" collapsed="false">
      <c r="A74" s="9" t="s">
        <v>208</v>
      </c>
      <c r="B74" s="10" t="s">
        <v>223</v>
      </c>
      <c r="C74" s="9" t="s">
        <v>224</v>
      </c>
      <c r="D74" s="10" t="s">
        <v>21</v>
      </c>
      <c r="E74" s="9"/>
    </row>
    <row r="75" customFormat="false" ht="15" hidden="false" customHeight="false" outlineLevel="0" collapsed="false">
      <c r="A75" s="9" t="s">
        <v>208</v>
      </c>
      <c r="B75" s="10" t="s">
        <v>225</v>
      </c>
      <c r="C75" s="9" t="s">
        <v>226</v>
      </c>
      <c r="D75" s="10" t="s">
        <v>22</v>
      </c>
      <c r="E75" s="9"/>
    </row>
    <row r="76" customFormat="false" ht="15" hidden="false" customHeight="false" outlineLevel="0" collapsed="false">
      <c r="A76" s="9" t="s">
        <v>208</v>
      </c>
      <c r="B76" s="10" t="s">
        <v>227</v>
      </c>
      <c r="C76" s="9" t="s">
        <v>228</v>
      </c>
      <c r="D76" s="10" t="s">
        <v>20</v>
      </c>
      <c r="E76" s="9"/>
    </row>
    <row r="77" customFormat="false" ht="15" hidden="false" customHeight="false" outlineLevel="0" collapsed="false">
      <c r="A77" s="9" t="s">
        <v>208</v>
      </c>
      <c r="B77" s="10" t="s">
        <v>229</v>
      </c>
      <c r="C77" s="9" t="s">
        <v>230</v>
      </c>
      <c r="D77" s="10" t="s">
        <v>21</v>
      </c>
      <c r="E77" s="10" t="s">
        <v>186</v>
      </c>
    </row>
    <row r="78" customFormat="false" ht="15" hidden="false" customHeight="false" outlineLevel="0" collapsed="false">
      <c r="A78" s="9" t="s">
        <v>208</v>
      </c>
      <c r="B78" s="10" t="s">
        <v>231</v>
      </c>
      <c r="C78" s="9" t="s">
        <v>232</v>
      </c>
      <c r="D78" s="10" t="s">
        <v>20</v>
      </c>
      <c r="E78" s="9" t="s">
        <v>233</v>
      </c>
    </row>
    <row r="79" customFormat="false" ht="15" hidden="false" customHeight="false" outlineLevel="0" collapsed="false">
      <c r="A79" s="9" t="s">
        <v>208</v>
      </c>
      <c r="B79" s="10" t="s">
        <v>234</v>
      </c>
      <c r="C79" s="9" t="s">
        <v>235</v>
      </c>
      <c r="D79" s="10" t="s">
        <v>21</v>
      </c>
      <c r="E79" s="10" t="s">
        <v>186</v>
      </c>
    </row>
    <row r="80" customFormat="false" ht="15" hidden="false" customHeight="false" outlineLevel="0" collapsed="false">
      <c r="A80" s="9" t="s">
        <v>208</v>
      </c>
      <c r="B80" s="10" t="s">
        <v>236</v>
      </c>
      <c r="C80" s="9" t="s">
        <v>237</v>
      </c>
      <c r="D80" s="10" t="s">
        <v>22</v>
      </c>
      <c r="E80" s="9"/>
    </row>
    <row r="81" customFormat="false" ht="15" hidden="false" customHeight="false" outlineLevel="0" collapsed="false">
      <c r="A81" s="9" t="s">
        <v>208</v>
      </c>
      <c r="B81" s="10" t="s">
        <v>238</v>
      </c>
      <c r="C81" s="9" t="s">
        <v>239</v>
      </c>
      <c r="D81" s="10" t="s">
        <v>22</v>
      </c>
      <c r="E81" s="9"/>
    </row>
    <row r="82" customFormat="false" ht="15" hidden="false" customHeight="false" outlineLevel="0" collapsed="false">
      <c r="A82" s="9" t="s">
        <v>208</v>
      </c>
      <c r="B82" s="10" t="s">
        <v>240</v>
      </c>
      <c r="C82" s="9" t="s">
        <v>241</v>
      </c>
      <c r="D82" s="10" t="s">
        <v>20</v>
      </c>
      <c r="E82" s="9"/>
    </row>
    <row r="83" customFormat="false" ht="15" hidden="false" customHeight="false" outlineLevel="0" collapsed="false">
      <c r="A83" s="9" t="s">
        <v>208</v>
      </c>
      <c r="B83" s="10" t="s">
        <v>242</v>
      </c>
      <c r="C83" s="9" t="s">
        <v>243</v>
      </c>
      <c r="D83" s="10" t="s">
        <v>20</v>
      </c>
      <c r="E83" s="9"/>
    </row>
    <row r="84" customFormat="false" ht="15" hidden="false" customHeight="false" outlineLevel="0" collapsed="false">
      <c r="A84" s="9" t="s">
        <v>244</v>
      </c>
      <c r="B84" s="10" t="s">
        <v>245</v>
      </c>
      <c r="C84" s="9" t="s">
        <v>246</v>
      </c>
      <c r="D84" s="10" t="s">
        <v>21</v>
      </c>
      <c r="E84" s="9" t="s">
        <v>247</v>
      </c>
    </row>
    <row r="85" customFormat="false" ht="15" hidden="false" customHeight="false" outlineLevel="0" collapsed="false">
      <c r="A85" s="9" t="s">
        <v>244</v>
      </c>
      <c r="B85" s="10" t="s">
        <v>248</v>
      </c>
      <c r="C85" s="9" t="s">
        <v>249</v>
      </c>
      <c r="D85" s="10" t="s">
        <v>21</v>
      </c>
      <c r="E85" s="9"/>
    </row>
    <row r="86" customFormat="false" ht="15" hidden="false" customHeight="false" outlineLevel="0" collapsed="false">
      <c r="A86" s="9" t="s">
        <v>244</v>
      </c>
      <c r="B86" s="10" t="s">
        <v>250</v>
      </c>
      <c r="C86" s="9" t="s">
        <v>251</v>
      </c>
      <c r="D86" s="10" t="s">
        <v>21</v>
      </c>
      <c r="E86" s="9" t="s">
        <v>252</v>
      </c>
    </row>
    <row r="87" customFormat="false" ht="15" hidden="false" customHeight="false" outlineLevel="0" collapsed="false">
      <c r="A87" s="9" t="s">
        <v>244</v>
      </c>
      <c r="B87" s="10" t="s">
        <v>253</v>
      </c>
      <c r="C87" s="9" t="s">
        <v>254</v>
      </c>
      <c r="D87" s="10" t="s">
        <v>20</v>
      </c>
      <c r="E87" s="9" t="s">
        <v>255</v>
      </c>
    </row>
    <row r="88" customFormat="false" ht="15" hidden="false" customHeight="false" outlineLevel="0" collapsed="false">
      <c r="A88" s="9" t="s">
        <v>244</v>
      </c>
      <c r="B88" s="10" t="s">
        <v>256</v>
      </c>
      <c r="C88" s="9" t="s">
        <v>257</v>
      </c>
      <c r="D88" s="10" t="s">
        <v>22</v>
      </c>
      <c r="E88" s="9"/>
    </row>
    <row r="89" customFormat="false" ht="15" hidden="false" customHeight="false" outlineLevel="0" collapsed="false">
      <c r="A89" s="9" t="s">
        <v>258</v>
      </c>
      <c r="B89" s="10" t="s">
        <v>259</v>
      </c>
      <c r="C89" s="9" t="s">
        <v>260</v>
      </c>
      <c r="D89" s="10" t="s">
        <v>22</v>
      </c>
      <c r="E89" s="9"/>
    </row>
    <row r="90" customFormat="false" ht="15" hidden="false" customHeight="false" outlineLevel="0" collapsed="false">
      <c r="A90" s="9" t="s">
        <v>258</v>
      </c>
      <c r="B90" s="10" t="s">
        <v>261</v>
      </c>
      <c r="C90" s="9" t="s">
        <v>262</v>
      </c>
      <c r="D90" s="10" t="s">
        <v>22</v>
      </c>
      <c r="E90" s="9"/>
    </row>
    <row r="91" customFormat="false" ht="15" hidden="false" customHeight="false" outlineLevel="0" collapsed="false">
      <c r="A91" s="9" t="s">
        <v>258</v>
      </c>
      <c r="B91" s="10" t="s">
        <v>263</v>
      </c>
      <c r="C91" s="9" t="s">
        <v>264</v>
      </c>
      <c r="D91" s="10" t="s">
        <v>21</v>
      </c>
      <c r="E91" s="9"/>
    </row>
    <row r="92" customFormat="false" ht="15" hidden="false" customHeight="false" outlineLevel="0" collapsed="false">
      <c r="A92" s="9" t="s">
        <v>258</v>
      </c>
      <c r="B92" s="10" t="s">
        <v>265</v>
      </c>
      <c r="C92" s="9" t="s">
        <v>266</v>
      </c>
      <c r="D92" s="10" t="s">
        <v>21</v>
      </c>
      <c r="E92" s="9" t="s">
        <v>267</v>
      </c>
    </row>
    <row r="93" customFormat="false" ht="15" hidden="false" customHeight="false" outlineLevel="0" collapsed="false">
      <c r="A93" s="9" t="s">
        <v>258</v>
      </c>
      <c r="B93" s="10" t="s">
        <v>268</v>
      </c>
      <c r="C93" s="9" t="s">
        <v>269</v>
      </c>
      <c r="D93" s="10" t="s">
        <v>22</v>
      </c>
      <c r="E93" s="10" t="s">
        <v>186</v>
      </c>
    </row>
    <row r="94" customFormat="false" ht="26.85" hidden="false" customHeight="false" outlineLevel="0" collapsed="false">
      <c r="A94" s="9" t="s">
        <v>258</v>
      </c>
      <c r="B94" s="10" t="s">
        <v>270</v>
      </c>
      <c r="C94" s="9" t="s">
        <v>271</v>
      </c>
      <c r="D94" s="10" t="s">
        <v>21</v>
      </c>
      <c r="E94" s="9" t="s">
        <v>272</v>
      </c>
    </row>
    <row r="95" customFormat="false" ht="15" hidden="false" customHeight="false" outlineLevel="0" collapsed="false">
      <c r="A95" s="9" t="s">
        <v>258</v>
      </c>
      <c r="B95" s="10" t="s">
        <v>273</v>
      </c>
      <c r="C95" s="9" t="s">
        <v>274</v>
      </c>
      <c r="D95" s="10" t="s">
        <v>20</v>
      </c>
      <c r="E95" s="10" t="s">
        <v>186</v>
      </c>
    </row>
    <row r="96" customFormat="false" ht="15" hidden="false" customHeight="false" outlineLevel="0" collapsed="false">
      <c r="A96" s="9" t="s">
        <v>275</v>
      </c>
      <c r="B96" s="10" t="s">
        <v>276</v>
      </c>
      <c r="C96" s="9" t="s">
        <v>277</v>
      </c>
      <c r="D96" s="10" t="s">
        <v>24</v>
      </c>
      <c r="E96" s="9" t="s">
        <v>278</v>
      </c>
    </row>
    <row r="97" customFormat="false" ht="15" hidden="false" customHeight="false" outlineLevel="0" collapsed="false">
      <c r="A97" s="9" t="s">
        <v>275</v>
      </c>
      <c r="B97" s="10" t="s">
        <v>279</v>
      </c>
      <c r="C97" s="9" t="s">
        <v>280</v>
      </c>
      <c r="D97" s="10" t="s">
        <v>22</v>
      </c>
      <c r="E97" s="9"/>
    </row>
    <row r="98" customFormat="false" ht="15" hidden="false" customHeight="false" outlineLevel="0" collapsed="false">
      <c r="A98" s="9" t="s">
        <v>275</v>
      </c>
      <c r="B98" s="10" t="s">
        <v>281</v>
      </c>
      <c r="C98" s="9" t="s">
        <v>282</v>
      </c>
      <c r="D98" s="10" t="s">
        <v>22</v>
      </c>
      <c r="E98" s="10" t="s">
        <v>186</v>
      </c>
    </row>
    <row r="99" customFormat="false" ht="15" hidden="false" customHeight="false" outlineLevel="0" collapsed="false">
      <c r="A99" s="9" t="s">
        <v>275</v>
      </c>
      <c r="B99" s="10" t="s">
        <v>283</v>
      </c>
      <c r="C99" s="9" t="s">
        <v>284</v>
      </c>
      <c r="D99" s="10" t="s">
        <v>22</v>
      </c>
      <c r="E99" s="10" t="s">
        <v>186</v>
      </c>
    </row>
    <row r="100" customFormat="false" ht="15" hidden="false" customHeight="false" outlineLevel="0" collapsed="false">
      <c r="A100" s="9" t="s">
        <v>285</v>
      </c>
      <c r="B100" s="10" t="s">
        <v>286</v>
      </c>
      <c r="C100" s="9" t="s">
        <v>287</v>
      </c>
      <c r="D100" s="10" t="s">
        <v>22</v>
      </c>
      <c r="E100" s="10" t="s">
        <v>288</v>
      </c>
    </row>
    <row r="101" customFormat="false" ht="15" hidden="false" customHeight="false" outlineLevel="0" collapsed="false">
      <c r="A101" s="9" t="s">
        <v>285</v>
      </c>
      <c r="B101" s="10" t="s">
        <v>289</v>
      </c>
      <c r="C101" s="9" t="s">
        <v>290</v>
      </c>
      <c r="D101" s="10" t="s">
        <v>22</v>
      </c>
      <c r="E101" s="10" t="s">
        <v>186</v>
      </c>
    </row>
  </sheetData>
  <autoFilter ref="A2:E101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8" t="s">
        <v>291</v>
      </c>
      <c r="B1" s="8" t="s">
        <v>292</v>
      </c>
    </row>
    <row r="2" customFormat="false" ht="15" hidden="false" customHeight="false" outlineLevel="0" collapsed="false">
      <c r="A2" s="9" t="s">
        <v>293</v>
      </c>
      <c r="B2" s="9" t="s">
        <v>294</v>
      </c>
    </row>
    <row r="3" customFormat="false" ht="15" hidden="false" customHeight="false" outlineLevel="0" collapsed="false">
      <c r="A3" s="9" t="s">
        <v>295</v>
      </c>
      <c r="B3" s="10" t="s">
        <v>296</v>
      </c>
    </row>
    <row r="4" customFormat="false" ht="15" hidden="false" customHeight="false" outlineLevel="0" collapsed="false">
      <c r="A4" s="9" t="s">
        <v>208</v>
      </c>
      <c r="B4" s="9" t="s">
        <v>297</v>
      </c>
    </row>
    <row r="5" customFormat="false" ht="15" hidden="false" customHeight="false" outlineLevel="0" collapsed="false">
      <c r="A5" s="10" t="s">
        <v>298</v>
      </c>
      <c r="B5" s="9" t="s">
        <v>299</v>
      </c>
    </row>
    <row r="6" customFormat="false" ht="15" hidden="false" customHeight="false" outlineLevel="0" collapsed="false">
      <c r="A6" s="9" t="s">
        <v>300</v>
      </c>
      <c r="B6" s="9" t="s">
        <v>301</v>
      </c>
    </row>
    <row r="7" customFormat="false" ht="15" hidden="false" customHeight="false" outlineLevel="0" collapsed="false">
      <c r="A7" s="9" t="s">
        <v>302</v>
      </c>
      <c r="B7" s="9" t="s">
        <v>303</v>
      </c>
    </row>
    <row r="8" customFormat="false" ht="26.85" hidden="false" customHeight="false" outlineLevel="0" collapsed="false">
      <c r="A8" s="9" t="s">
        <v>304</v>
      </c>
      <c r="B8" s="9" t="s">
        <v>305</v>
      </c>
    </row>
    <row r="9" customFormat="false" ht="15" hidden="false" customHeight="false" outlineLevel="0" collapsed="false">
      <c r="A9" s="9" t="s">
        <v>306</v>
      </c>
      <c r="B9" s="9" t="s">
        <v>307</v>
      </c>
    </row>
    <row r="10" customFormat="false" ht="15" hidden="false" customHeight="false" outlineLevel="0" collapsed="false">
      <c r="A10" s="9" t="s">
        <v>308</v>
      </c>
      <c r="B10" s="9" t="s">
        <v>309</v>
      </c>
    </row>
    <row r="11" customFormat="false" ht="26.85" hidden="false" customHeight="false" outlineLevel="0" collapsed="false">
      <c r="A11" s="9" t="s">
        <v>310</v>
      </c>
      <c r="B11" s="9" t="s">
        <v>311</v>
      </c>
    </row>
    <row r="12" customFormat="false" ht="15" hidden="false" customHeight="false" outlineLevel="0" collapsed="false">
      <c r="A12" s="9" t="s">
        <v>312</v>
      </c>
      <c r="B12" s="9" t="s">
        <v>313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30" hidden="false" customHeight="true" outlineLevel="0" collapsed="false">
      <c r="A1" s="7" t="s">
        <v>314</v>
      </c>
      <c r="B1" s="7"/>
      <c r="C1" s="7"/>
      <c r="D1" s="7"/>
      <c r="E1" s="7"/>
      <c r="F1" s="7"/>
      <c r="G1" s="7"/>
    </row>
    <row r="2" customFormat="false" ht="28.35" hidden="false" customHeight="false" outlineLevel="0" collapsed="false">
      <c r="A2" s="8" t="s">
        <v>315</v>
      </c>
      <c r="B2" s="8" t="s">
        <v>316</v>
      </c>
      <c r="C2" s="8" t="s">
        <v>317</v>
      </c>
      <c r="D2" s="8" t="s">
        <v>43</v>
      </c>
      <c r="E2" s="8" t="s">
        <v>44</v>
      </c>
      <c r="F2" s="8" t="s">
        <v>41</v>
      </c>
      <c r="G2" s="8" t="s">
        <v>318</v>
      </c>
    </row>
    <row r="3" customFormat="false" ht="26.85" hidden="false" customHeight="false" outlineLevel="0" collapsed="false">
      <c r="A3" s="9" t="n">
        <v>1</v>
      </c>
      <c r="B3" s="9" t="s">
        <v>319</v>
      </c>
      <c r="C3" s="10" t="s">
        <v>320</v>
      </c>
      <c r="D3" s="9" t="s">
        <v>319</v>
      </c>
      <c r="E3" s="10" t="s">
        <v>26</v>
      </c>
      <c r="F3" s="9" t="s">
        <v>321</v>
      </c>
      <c r="G3" s="9" t="s">
        <v>322</v>
      </c>
    </row>
    <row r="4" customFormat="false" ht="26.85" hidden="false" customHeight="false" outlineLevel="0" collapsed="false">
      <c r="A4" s="9" t="n">
        <v>2</v>
      </c>
      <c r="B4" s="9" t="s">
        <v>323</v>
      </c>
      <c r="C4" s="10" t="s">
        <v>324</v>
      </c>
      <c r="D4" s="9" t="s">
        <v>323</v>
      </c>
      <c r="E4" s="10" t="s">
        <v>26</v>
      </c>
      <c r="F4" s="9" t="s">
        <v>321</v>
      </c>
      <c r="G4" s="9" t="s">
        <v>325</v>
      </c>
    </row>
    <row r="5" customFormat="false" ht="15" hidden="false" customHeight="false" outlineLevel="0" collapsed="false">
      <c r="A5" s="9" t="n">
        <v>3</v>
      </c>
      <c r="B5" s="9" t="s">
        <v>326</v>
      </c>
      <c r="C5" s="10" t="s">
        <v>327</v>
      </c>
      <c r="D5" s="9" t="s">
        <v>326</v>
      </c>
      <c r="E5" s="10" t="s">
        <v>26</v>
      </c>
      <c r="F5" s="9" t="s">
        <v>321</v>
      </c>
      <c r="G5" s="9" t="s">
        <v>328</v>
      </c>
    </row>
    <row r="6" customFormat="false" ht="15" hidden="false" customHeight="false" outlineLevel="0" collapsed="false">
      <c r="A6" s="9" t="n">
        <v>4</v>
      </c>
      <c r="B6" s="9" t="s">
        <v>329</v>
      </c>
      <c r="C6" s="10" t="s">
        <v>330</v>
      </c>
      <c r="D6" s="9" t="s">
        <v>329</v>
      </c>
      <c r="E6" s="10" t="s">
        <v>26</v>
      </c>
      <c r="F6" s="9" t="s">
        <v>321</v>
      </c>
      <c r="G6" s="9" t="s">
        <v>331</v>
      </c>
    </row>
    <row r="7" customFormat="false" ht="15" hidden="false" customHeight="false" outlineLevel="0" collapsed="false">
      <c r="A7" s="9" t="n">
        <v>5</v>
      </c>
      <c r="B7" s="9" t="s">
        <v>332</v>
      </c>
      <c r="C7" s="10" t="s">
        <v>333</v>
      </c>
      <c r="D7" s="9" t="s">
        <v>332</v>
      </c>
      <c r="E7" s="10" t="s">
        <v>26</v>
      </c>
      <c r="F7" s="9" t="s">
        <v>321</v>
      </c>
      <c r="G7" s="9" t="s">
        <v>334</v>
      </c>
    </row>
    <row r="8" customFormat="false" ht="15" hidden="false" customHeight="false" outlineLevel="0" collapsed="false">
      <c r="A8" s="9" t="n">
        <v>6</v>
      </c>
      <c r="B8" s="9" t="s">
        <v>335</v>
      </c>
      <c r="C8" s="10" t="s">
        <v>336</v>
      </c>
      <c r="D8" s="9" t="s">
        <v>337</v>
      </c>
      <c r="E8" s="10" t="s">
        <v>26</v>
      </c>
      <c r="F8" s="9" t="s">
        <v>321</v>
      </c>
      <c r="G8" s="9"/>
    </row>
    <row r="9" customFormat="false" ht="15" hidden="false" customHeight="false" outlineLevel="0" collapsed="false">
      <c r="A9" s="9" t="n">
        <v>6</v>
      </c>
      <c r="B9" s="9" t="s">
        <v>335</v>
      </c>
      <c r="C9" s="10" t="s">
        <v>338</v>
      </c>
      <c r="D9" s="9" t="s">
        <v>339</v>
      </c>
      <c r="E9" s="10" t="s">
        <v>26</v>
      </c>
      <c r="F9" s="9" t="s">
        <v>321</v>
      </c>
      <c r="G9" s="9"/>
    </row>
    <row r="10" customFormat="false" ht="26.85" hidden="false" customHeight="false" outlineLevel="0" collapsed="false">
      <c r="A10" s="9" t="n">
        <v>7</v>
      </c>
      <c r="B10" s="9" t="s">
        <v>340</v>
      </c>
      <c r="C10" s="10" t="s">
        <v>341</v>
      </c>
      <c r="D10" s="9" t="s">
        <v>340</v>
      </c>
      <c r="E10" s="10" t="s">
        <v>26</v>
      </c>
      <c r="F10" s="9" t="s">
        <v>321</v>
      </c>
      <c r="G10" s="9" t="s">
        <v>342</v>
      </c>
    </row>
    <row r="11" customFormat="false" ht="26.85" hidden="false" customHeight="false" outlineLevel="0" collapsed="false">
      <c r="A11" s="9" t="n">
        <v>8</v>
      </c>
      <c r="B11" s="9" t="s">
        <v>343</v>
      </c>
      <c r="C11" s="10" t="s">
        <v>344</v>
      </c>
      <c r="D11" s="9" t="s">
        <v>343</v>
      </c>
      <c r="E11" s="10" t="s">
        <v>24</v>
      </c>
      <c r="F11" s="9" t="s">
        <v>321</v>
      </c>
      <c r="G11" s="9" t="s">
        <v>345</v>
      </c>
    </row>
    <row r="12" customFormat="false" ht="26.85" hidden="false" customHeight="false" outlineLevel="0" collapsed="false">
      <c r="A12" s="9" t="n">
        <v>9</v>
      </c>
      <c r="B12" s="9" t="s">
        <v>346</v>
      </c>
      <c r="C12" s="10" t="s">
        <v>347</v>
      </c>
      <c r="D12" s="9" t="s">
        <v>348</v>
      </c>
      <c r="E12" s="10" t="s">
        <v>20</v>
      </c>
      <c r="F12" s="9" t="s">
        <v>321</v>
      </c>
      <c r="G12" s="9"/>
    </row>
    <row r="13" customFormat="false" ht="26.85" hidden="false" customHeight="false" outlineLevel="0" collapsed="false">
      <c r="A13" s="9" t="n">
        <v>9</v>
      </c>
      <c r="B13" s="9" t="s">
        <v>346</v>
      </c>
      <c r="C13" s="10" t="s">
        <v>349</v>
      </c>
      <c r="D13" s="9" t="s">
        <v>350</v>
      </c>
      <c r="E13" s="10" t="s">
        <v>20</v>
      </c>
      <c r="F13" s="9" t="s">
        <v>321</v>
      </c>
      <c r="G13" s="9"/>
    </row>
    <row r="14" customFormat="false" ht="26.85" hidden="false" customHeight="false" outlineLevel="0" collapsed="false">
      <c r="A14" s="9" t="n">
        <v>9</v>
      </c>
      <c r="B14" s="9" t="s">
        <v>346</v>
      </c>
      <c r="C14" s="10" t="s">
        <v>351</v>
      </c>
      <c r="D14" s="9" t="s">
        <v>352</v>
      </c>
      <c r="E14" s="10" t="s">
        <v>20</v>
      </c>
      <c r="F14" s="9" t="s">
        <v>321</v>
      </c>
      <c r="G14" s="9"/>
    </row>
    <row r="15" customFormat="false" ht="26.85" hidden="false" customHeight="false" outlineLevel="0" collapsed="false">
      <c r="A15" s="9" t="n">
        <v>9</v>
      </c>
      <c r="B15" s="9" t="s">
        <v>346</v>
      </c>
      <c r="C15" s="10" t="s">
        <v>353</v>
      </c>
      <c r="D15" s="9" t="s">
        <v>354</v>
      </c>
      <c r="E15" s="10" t="s">
        <v>20</v>
      </c>
      <c r="F15" s="9" t="s">
        <v>321</v>
      </c>
      <c r="G15" s="9"/>
    </row>
    <row r="16" customFormat="false" ht="26.85" hidden="false" customHeight="false" outlineLevel="0" collapsed="false">
      <c r="A16" s="9" t="n">
        <v>9</v>
      </c>
      <c r="B16" s="9" t="s">
        <v>346</v>
      </c>
      <c r="C16" s="10" t="s">
        <v>355</v>
      </c>
      <c r="D16" s="9" t="s">
        <v>356</v>
      </c>
      <c r="E16" s="10" t="s">
        <v>20</v>
      </c>
      <c r="F16" s="9" t="s">
        <v>321</v>
      </c>
      <c r="G16" s="9"/>
    </row>
    <row r="17" customFormat="false" ht="15" hidden="false" customHeight="false" outlineLevel="0" collapsed="false">
      <c r="A17" s="9" t="n">
        <v>9</v>
      </c>
      <c r="B17" s="9" t="s">
        <v>346</v>
      </c>
      <c r="C17" s="10" t="s">
        <v>357</v>
      </c>
      <c r="D17" s="9" t="s">
        <v>358</v>
      </c>
      <c r="E17" s="10" t="s">
        <v>20</v>
      </c>
      <c r="F17" s="9" t="s">
        <v>321</v>
      </c>
      <c r="G17" s="9"/>
    </row>
    <row r="18" customFormat="false" ht="15" hidden="false" customHeight="false" outlineLevel="0" collapsed="false">
      <c r="A18" s="9" t="n">
        <v>10</v>
      </c>
      <c r="B18" s="9" t="s">
        <v>359</v>
      </c>
      <c r="C18" s="10" t="s">
        <v>360</v>
      </c>
      <c r="D18" s="9" t="s">
        <v>359</v>
      </c>
      <c r="E18" s="10" t="s">
        <v>26</v>
      </c>
      <c r="F18" s="9" t="s">
        <v>321</v>
      </c>
      <c r="G18" s="9" t="s">
        <v>361</v>
      </c>
    </row>
    <row r="19" customFormat="false" ht="15" hidden="false" customHeight="false" outlineLevel="0" collapsed="false">
      <c r="A19" s="9" t="n">
        <v>11</v>
      </c>
      <c r="B19" s="9" t="s">
        <v>362</v>
      </c>
      <c r="C19" s="10" t="s">
        <v>363</v>
      </c>
      <c r="D19" s="9" t="s">
        <v>364</v>
      </c>
      <c r="E19" s="10" t="s">
        <v>26</v>
      </c>
      <c r="F19" s="9" t="s">
        <v>365</v>
      </c>
      <c r="G19" s="9"/>
    </row>
    <row r="20" customFormat="false" ht="15" hidden="false" customHeight="false" outlineLevel="0" collapsed="false">
      <c r="A20" s="9" t="n">
        <v>11</v>
      </c>
      <c r="B20" s="9" t="s">
        <v>362</v>
      </c>
      <c r="C20" s="10" t="s">
        <v>366</v>
      </c>
      <c r="D20" s="9" t="s">
        <v>367</v>
      </c>
      <c r="E20" s="10" t="s">
        <v>26</v>
      </c>
      <c r="F20" s="9" t="s">
        <v>365</v>
      </c>
      <c r="G20" s="9"/>
    </row>
    <row r="21" customFormat="false" ht="15" hidden="false" customHeight="false" outlineLevel="0" collapsed="false">
      <c r="A21" s="9" t="n">
        <v>11</v>
      </c>
      <c r="B21" s="9" t="s">
        <v>362</v>
      </c>
      <c r="C21" s="10" t="s">
        <v>368</v>
      </c>
      <c r="D21" s="9" t="s">
        <v>369</v>
      </c>
      <c r="E21" s="10" t="s">
        <v>26</v>
      </c>
      <c r="F21" s="9" t="s">
        <v>365</v>
      </c>
      <c r="G21" s="9"/>
    </row>
    <row r="22" customFormat="false" ht="15" hidden="false" customHeight="false" outlineLevel="0" collapsed="false">
      <c r="A22" s="9" t="n">
        <v>11</v>
      </c>
      <c r="B22" s="9" t="s">
        <v>362</v>
      </c>
      <c r="C22" s="10" t="s">
        <v>370</v>
      </c>
      <c r="D22" s="9" t="s">
        <v>371</v>
      </c>
      <c r="E22" s="10" t="s">
        <v>26</v>
      </c>
      <c r="F22" s="9" t="s">
        <v>365</v>
      </c>
      <c r="G22" s="9"/>
    </row>
    <row r="23" customFormat="false" ht="15" hidden="false" customHeight="false" outlineLevel="0" collapsed="false">
      <c r="A23" s="9" t="n">
        <v>11</v>
      </c>
      <c r="B23" s="9" t="s">
        <v>362</v>
      </c>
      <c r="C23" s="10" t="s">
        <v>372</v>
      </c>
      <c r="D23" s="9" t="s">
        <v>373</v>
      </c>
      <c r="E23" s="10" t="s">
        <v>24</v>
      </c>
      <c r="F23" s="9" t="s">
        <v>365</v>
      </c>
      <c r="G23" s="9"/>
    </row>
    <row r="24" customFormat="false" ht="15" hidden="false" customHeight="false" outlineLevel="0" collapsed="false">
      <c r="A24" s="9" t="n">
        <v>11</v>
      </c>
      <c r="B24" s="9" t="s">
        <v>362</v>
      </c>
      <c r="C24" s="10" t="s">
        <v>374</v>
      </c>
      <c r="D24" s="9" t="s">
        <v>375</v>
      </c>
      <c r="E24" s="10" t="s">
        <v>24</v>
      </c>
      <c r="F24" s="9" t="s">
        <v>365</v>
      </c>
      <c r="G24" s="9"/>
    </row>
    <row r="25" customFormat="false" ht="15" hidden="false" customHeight="false" outlineLevel="0" collapsed="false">
      <c r="A25" s="9" t="n">
        <v>11</v>
      </c>
      <c r="B25" s="9" t="s">
        <v>362</v>
      </c>
      <c r="C25" s="10" t="s">
        <v>376</v>
      </c>
      <c r="D25" s="9" t="s">
        <v>377</v>
      </c>
      <c r="E25" s="10" t="s">
        <v>26</v>
      </c>
      <c r="F25" s="9" t="s">
        <v>365</v>
      </c>
      <c r="G25" s="9"/>
    </row>
    <row r="26" customFormat="false" ht="15" hidden="false" customHeight="false" outlineLevel="0" collapsed="false">
      <c r="A26" s="9" t="n">
        <v>11</v>
      </c>
      <c r="B26" s="9" t="s">
        <v>362</v>
      </c>
      <c r="C26" s="10" t="s">
        <v>378</v>
      </c>
      <c r="D26" s="9" t="s">
        <v>379</v>
      </c>
      <c r="E26" s="10" t="s">
        <v>24</v>
      </c>
      <c r="F26" s="9" t="s">
        <v>365</v>
      </c>
      <c r="G26" s="9"/>
    </row>
    <row r="27" customFormat="false" ht="15" hidden="false" customHeight="false" outlineLevel="0" collapsed="false">
      <c r="A27" s="9" t="n">
        <v>12</v>
      </c>
      <c r="B27" s="9" t="s">
        <v>380</v>
      </c>
      <c r="C27" s="10" t="s">
        <v>381</v>
      </c>
      <c r="D27" s="9" t="s">
        <v>382</v>
      </c>
      <c r="E27" s="10" t="s">
        <v>26</v>
      </c>
      <c r="F27" s="9" t="s">
        <v>365</v>
      </c>
      <c r="G27" s="9"/>
    </row>
    <row r="28" customFormat="false" ht="15" hidden="false" customHeight="false" outlineLevel="0" collapsed="false">
      <c r="A28" s="9" t="n">
        <v>12</v>
      </c>
      <c r="B28" s="9" t="s">
        <v>380</v>
      </c>
      <c r="C28" s="10" t="s">
        <v>383</v>
      </c>
      <c r="D28" s="9" t="s">
        <v>384</v>
      </c>
      <c r="E28" s="10" t="s">
        <v>26</v>
      </c>
      <c r="F28" s="9" t="s">
        <v>365</v>
      </c>
      <c r="G28" s="9"/>
    </row>
    <row r="29" customFormat="false" ht="15" hidden="false" customHeight="false" outlineLevel="0" collapsed="false">
      <c r="A29" s="9" t="n">
        <v>12</v>
      </c>
      <c r="B29" s="9" t="s">
        <v>380</v>
      </c>
      <c r="C29" s="10" t="s">
        <v>385</v>
      </c>
      <c r="D29" s="9" t="s">
        <v>386</v>
      </c>
      <c r="E29" s="10" t="s">
        <v>24</v>
      </c>
      <c r="F29" s="9" t="s">
        <v>365</v>
      </c>
      <c r="G29" s="9"/>
    </row>
    <row r="30" customFormat="false" ht="15" hidden="false" customHeight="false" outlineLevel="0" collapsed="false">
      <c r="A30" s="9" t="n">
        <v>12</v>
      </c>
      <c r="B30" s="9" t="s">
        <v>380</v>
      </c>
      <c r="C30" s="10" t="s">
        <v>387</v>
      </c>
      <c r="D30" s="9" t="s">
        <v>388</v>
      </c>
      <c r="E30" s="10" t="s">
        <v>24</v>
      </c>
      <c r="F30" s="9" t="s">
        <v>365</v>
      </c>
      <c r="G30" s="9"/>
    </row>
    <row r="31" customFormat="false" ht="15" hidden="false" customHeight="false" outlineLevel="0" collapsed="false">
      <c r="A31" s="9" t="n">
        <v>12</v>
      </c>
      <c r="B31" s="9" t="s">
        <v>380</v>
      </c>
      <c r="C31" s="10" t="s">
        <v>389</v>
      </c>
      <c r="D31" s="9" t="s">
        <v>390</v>
      </c>
      <c r="E31" s="10" t="s">
        <v>24</v>
      </c>
      <c r="F31" s="9" t="s">
        <v>365</v>
      </c>
      <c r="G31" s="9"/>
    </row>
    <row r="32" customFormat="false" ht="15" hidden="false" customHeight="false" outlineLevel="0" collapsed="false">
      <c r="A32" s="9" t="n">
        <v>12</v>
      </c>
      <c r="B32" s="9" t="s">
        <v>380</v>
      </c>
      <c r="C32" s="10" t="s">
        <v>391</v>
      </c>
      <c r="D32" s="9" t="s">
        <v>392</v>
      </c>
      <c r="E32" s="10" t="s">
        <v>24</v>
      </c>
      <c r="F32" s="9" t="s">
        <v>365</v>
      </c>
      <c r="G32" s="9"/>
    </row>
    <row r="33" customFormat="false" ht="15" hidden="false" customHeight="false" outlineLevel="0" collapsed="false">
      <c r="A33" s="9" t="n">
        <v>12</v>
      </c>
      <c r="B33" s="9" t="s">
        <v>380</v>
      </c>
      <c r="C33" s="10" t="s">
        <v>393</v>
      </c>
      <c r="D33" s="9" t="s">
        <v>394</v>
      </c>
      <c r="E33" s="10" t="s">
        <v>24</v>
      </c>
      <c r="F33" s="9" t="s">
        <v>365</v>
      </c>
      <c r="G33" s="9"/>
    </row>
    <row r="34" customFormat="false" ht="15" hidden="false" customHeight="false" outlineLevel="0" collapsed="false">
      <c r="A34" s="9" t="n">
        <v>13</v>
      </c>
      <c r="B34" s="9" t="s">
        <v>395</v>
      </c>
      <c r="C34" s="10" t="s">
        <v>396</v>
      </c>
      <c r="D34" s="9" t="s">
        <v>397</v>
      </c>
      <c r="E34" s="10" t="s">
        <v>26</v>
      </c>
      <c r="F34" s="9" t="s">
        <v>365</v>
      </c>
      <c r="G34" s="9"/>
    </row>
    <row r="35" customFormat="false" ht="15" hidden="false" customHeight="false" outlineLevel="0" collapsed="false">
      <c r="A35" s="9" t="n">
        <v>13</v>
      </c>
      <c r="B35" s="9" t="s">
        <v>395</v>
      </c>
      <c r="C35" s="10" t="s">
        <v>398</v>
      </c>
      <c r="D35" s="9" t="s">
        <v>399</v>
      </c>
      <c r="E35" s="10" t="s">
        <v>26</v>
      </c>
      <c r="F35" s="9" t="s">
        <v>365</v>
      </c>
      <c r="G35" s="9"/>
    </row>
    <row r="36" customFormat="false" ht="15" hidden="false" customHeight="false" outlineLevel="0" collapsed="false">
      <c r="A36" s="9" t="n">
        <v>13</v>
      </c>
      <c r="B36" s="9" t="s">
        <v>395</v>
      </c>
      <c r="C36" s="10" t="s">
        <v>400</v>
      </c>
      <c r="D36" s="9" t="s">
        <v>401</v>
      </c>
      <c r="E36" s="10" t="s">
        <v>26</v>
      </c>
      <c r="F36" s="9" t="s">
        <v>365</v>
      </c>
      <c r="G36" s="9"/>
    </row>
    <row r="37" customFormat="false" ht="15" hidden="false" customHeight="false" outlineLevel="0" collapsed="false">
      <c r="A37" s="9" t="n">
        <v>14</v>
      </c>
      <c r="B37" s="9" t="s">
        <v>402</v>
      </c>
      <c r="C37" s="10" t="s">
        <v>403</v>
      </c>
      <c r="D37" s="9" t="s">
        <v>404</v>
      </c>
      <c r="E37" s="10" t="s">
        <v>23</v>
      </c>
      <c r="F37" s="9" t="s">
        <v>365</v>
      </c>
      <c r="G37" s="9"/>
    </row>
    <row r="38" customFormat="false" ht="15" hidden="false" customHeight="false" outlineLevel="0" collapsed="false">
      <c r="A38" s="9" t="n">
        <v>14</v>
      </c>
      <c r="B38" s="9" t="s">
        <v>402</v>
      </c>
      <c r="C38" s="10" t="s">
        <v>405</v>
      </c>
      <c r="D38" s="9" t="s">
        <v>406</v>
      </c>
      <c r="E38" s="10" t="s">
        <v>23</v>
      </c>
      <c r="F38" s="9" t="s">
        <v>365</v>
      </c>
      <c r="G38" s="9"/>
    </row>
    <row r="39" customFormat="false" ht="15" hidden="false" customHeight="false" outlineLevel="0" collapsed="false">
      <c r="A39" s="9" t="n">
        <v>14</v>
      </c>
      <c r="B39" s="9" t="s">
        <v>402</v>
      </c>
      <c r="C39" s="10" t="s">
        <v>407</v>
      </c>
      <c r="D39" s="9" t="s">
        <v>408</v>
      </c>
      <c r="E39" s="10" t="s">
        <v>23</v>
      </c>
      <c r="F39" s="9" t="s">
        <v>365</v>
      </c>
      <c r="G39" s="9"/>
    </row>
    <row r="40" customFormat="false" ht="15" hidden="false" customHeight="false" outlineLevel="0" collapsed="false">
      <c r="A40" s="9" t="n">
        <v>15</v>
      </c>
      <c r="B40" s="9" t="s">
        <v>409</v>
      </c>
      <c r="C40" s="10" t="s">
        <v>410</v>
      </c>
      <c r="D40" s="9" t="s">
        <v>411</v>
      </c>
      <c r="E40" s="10" t="s">
        <v>26</v>
      </c>
      <c r="F40" s="9" t="s">
        <v>365</v>
      </c>
      <c r="G40" s="9" t="s">
        <v>412</v>
      </c>
    </row>
    <row r="41" customFormat="false" ht="15" hidden="false" customHeight="false" outlineLevel="0" collapsed="false">
      <c r="A41" s="9" t="n">
        <v>16</v>
      </c>
      <c r="B41" s="9" t="s">
        <v>413</v>
      </c>
      <c r="C41" s="10" t="s">
        <v>414</v>
      </c>
      <c r="D41" s="9" t="s">
        <v>415</v>
      </c>
      <c r="E41" s="10" t="s">
        <v>26</v>
      </c>
      <c r="F41" s="9" t="s">
        <v>365</v>
      </c>
      <c r="G41" s="9"/>
    </row>
    <row r="42" customFormat="false" ht="15" hidden="false" customHeight="false" outlineLevel="0" collapsed="false">
      <c r="A42" s="9" t="n">
        <v>16</v>
      </c>
      <c r="B42" s="9" t="s">
        <v>413</v>
      </c>
      <c r="C42" s="10" t="s">
        <v>416</v>
      </c>
      <c r="D42" s="9" t="s">
        <v>417</v>
      </c>
      <c r="E42" s="10" t="s">
        <v>26</v>
      </c>
      <c r="F42" s="9" t="s">
        <v>365</v>
      </c>
      <c r="G42" s="9"/>
    </row>
    <row r="43" customFormat="false" ht="15" hidden="false" customHeight="false" outlineLevel="0" collapsed="false">
      <c r="A43" s="9" t="n">
        <v>16</v>
      </c>
      <c r="B43" s="9" t="s">
        <v>413</v>
      </c>
      <c r="C43" s="10" t="s">
        <v>418</v>
      </c>
      <c r="D43" s="9" t="s">
        <v>419</v>
      </c>
      <c r="E43" s="10" t="s">
        <v>26</v>
      </c>
      <c r="F43" s="9" t="s">
        <v>365</v>
      </c>
      <c r="G43" s="9"/>
    </row>
    <row r="44" customFormat="false" ht="15" hidden="false" customHeight="false" outlineLevel="0" collapsed="false">
      <c r="A44" s="9" t="n">
        <v>16</v>
      </c>
      <c r="B44" s="9" t="s">
        <v>413</v>
      </c>
      <c r="C44" s="10" t="s">
        <v>420</v>
      </c>
      <c r="D44" s="9" t="s">
        <v>421</v>
      </c>
      <c r="E44" s="10" t="s">
        <v>26</v>
      </c>
      <c r="F44" s="9" t="s">
        <v>365</v>
      </c>
      <c r="G44" s="9"/>
    </row>
    <row r="45" customFormat="false" ht="15" hidden="false" customHeight="false" outlineLevel="0" collapsed="false">
      <c r="A45" s="9" t="n">
        <v>16</v>
      </c>
      <c r="B45" s="9" t="s">
        <v>413</v>
      </c>
      <c r="C45" s="10" t="s">
        <v>422</v>
      </c>
      <c r="D45" s="9" t="s">
        <v>423</v>
      </c>
      <c r="E45" s="10" t="s">
        <v>24</v>
      </c>
      <c r="F45" s="9" t="s">
        <v>365</v>
      </c>
      <c r="G45" s="9" t="s">
        <v>424</v>
      </c>
    </row>
    <row r="46" customFormat="false" ht="15" hidden="false" customHeight="false" outlineLevel="0" collapsed="false">
      <c r="A46" s="9" t="n">
        <v>16</v>
      </c>
      <c r="B46" s="9" t="s">
        <v>413</v>
      </c>
      <c r="C46" s="10" t="s">
        <v>425</v>
      </c>
      <c r="D46" s="9" t="s">
        <v>426</v>
      </c>
      <c r="E46" s="10" t="s">
        <v>26</v>
      </c>
      <c r="F46" s="9" t="s">
        <v>365</v>
      </c>
      <c r="G46" s="9"/>
    </row>
    <row r="47" customFormat="false" ht="15" hidden="false" customHeight="false" outlineLevel="0" collapsed="false">
      <c r="A47" s="9" t="n">
        <v>17</v>
      </c>
      <c r="B47" s="9" t="s">
        <v>427</v>
      </c>
      <c r="C47" s="10" t="s">
        <v>428</v>
      </c>
      <c r="D47" s="9" t="s">
        <v>429</v>
      </c>
      <c r="E47" s="10" t="s">
        <v>25</v>
      </c>
      <c r="F47" s="9" t="s">
        <v>365</v>
      </c>
      <c r="G47" s="9" t="s">
        <v>430</v>
      </c>
    </row>
    <row r="48" customFormat="false" ht="15" hidden="false" customHeight="false" outlineLevel="0" collapsed="false">
      <c r="A48" s="9" t="n">
        <v>18</v>
      </c>
      <c r="B48" s="9" t="s">
        <v>431</v>
      </c>
      <c r="C48" s="10" t="s">
        <v>432</v>
      </c>
      <c r="D48" s="9" t="s">
        <v>433</v>
      </c>
      <c r="E48" s="10" t="s">
        <v>25</v>
      </c>
      <c r="F48" s="9" t="s">
        <v>365</v>
      </c>
      <c r="G48" s="9"/>
    </row>
    <row r="49" customFormat="false" ht="15" hidden="false" customHeight="false" outlineLevel="0" collapsed="false">
      <c r="A49" s="9" t="n">
        <v>18</v>
      </c>
      <c r="B49" s="9" t="s">
        <v>431</v>
      </c>
      <c r="C49" s="10" t="s">
        <v>434</v>
      </c>
      <c r="D49" s="9" t="s">
        <v>435</v>
      </c>
      <c r="E49" s="10" t="s">
        <v>25</v>
      </c>
      <c r="F49" s="9" t="s">
        <v>365</v>
      </c>
      <c r="G49" s="9"/>
    </row>
    <row r="50" customFormat="false" ht="15" hidden="false" customHeight="false" outlineLevel="0" collapsed="false">
      <c r="A50" s="9" t="n">
        <v>19</v>
      </c>
      <c r="B50" s="9" t="s">
        <v>436</v>
      </c>
      <c r="C50" s="10" t="s">
        <v>437</v>
      </c>
      <c r="D50" s="9" t="s">
        <v>438</v>
      </c>
      <c r="E50" s="10" t="s">
        <v>24</v>
      </c>
      <c r="F50" s="9" t="s">
        <v>365</v>
      </c>
      <c r="G50" s="9"/>
    </row>
    <row r="51" customFormat="false" ht="15" hidden="false" customHeight="false" outlineLevel="0" collapsed="false">
      <c r="A51" s="9" t="n">
        <v>19</v>
      </c>
      <c r="B51" s="9" t="s">
        <v>436</v>
      </c>
      <c r="C51" s="10" t="s">
        <v>439</v>
      </c>
      <c r="D51" s="9" t="s">
        <v>440</v>
      </c>
      <c r="E51" s="10" t="s">
        <v>24</v>
      </c>
      <c r="F51" s="9" t="s">
        <v>365</v>
      </c>
      <c r="G51" s="9"/>
    </row>
    <row r="52" customFormat="false" ht="15" hidden="false" customHeight="false" outlineLevel="0" collapsed="false">
      <c r="A52" s="9" t="n">
        <v>19</v>
      </c>
      <c r="B52" s="9" t="s">
        <v>436</v>
      </c>
      <c r="C52" s="10" t="s">
        <v>441</v>
      </c>
      <c r="D52" s="9" t="s">
        <v>442</v>
      </c>
      <c r="E52" s="10" t="s">
        <v>24</v>
      </c>
      <c r="F52" s="9" t="s">
        <v>365</v>
      </c>
      <c r="G52" s="9"/>
    </row>
    <row r="53" customFormat="false" ht="15" hidden="false" customHeight="false" outlineLevel="0" collapsed="false">
      <c r="A53" s="9" t="n">
        <v>19</v>
      </c>
      <c r="B53" s="9" t="s">
        <v>436</v>
      </c>
      <c r="C53" s="10" t="s">
        <v>443</v>
      </c>
      <c r="D53" s="9" t="s">
        <v>444</v>
      </c>
      <c r="E53" s="10" t="s">
        <v>24</v>
      </c>
      <c r="F53" s="9" t="s">
        <v>365</v>
      </c>
      <c r="G53" s="9"/>
    </row>
    <row r="54" customFormat="false" ht="15" hidden="false" customHeight="false" outlineLevel="0" collapsed="false">
      <c r="A54" s="9" t="n">
        <v>19</v>
      </c>
      <c r="B54" s="9" t="s">
        <v>436</v>
      </c>
      <c r="C54" s="10" t="s">
        <v>445</v>
      </c>
      <c r="D54" s="9" t="s">
        <v>446</v>
      </c>
      <c r="E54" s="10" t="s">
        <v>24</v>
      </c>
      <c r="F54" s="9" t="s">
        <v>365</v>
      </c>
      <c r="G54" s="9"/>
    </row>
    <row r="55" customFormat="false" ht="15" hidden="false" customHeight="false" outlineLevel="0" collapsed="false">
      <c r="A55" s="9" t="n">
        <v>19</v>
      </c>
      <c r="B55" s="9" t="s">
        <v>436</v>
      </c>
      <c r="C55" s="10" t="s">
        <v>447</v>
      </c>
      <c r="D55" s="9" t="s">
        <v>448</v>
      </c>
      <c r="E55" s="10" t="s">
        <v>24</v>
      </c>
      <c r="F55" s="9" t="s">
        <v>365</v>
      </c>
      <c r="G55" s="9"/>
    </row>
    <row r="56" customFormat="false" ht="15" hidden="false" customHeight="false" outlineLevel="0" collapsed="false">
      <c r="A56" s="9" t="n">
        <v>20</v>
      </c>
      <c r="B56" s="9" t="s">
        <v>449</v>
      </c>
      <c r="C56" s="10" t="s">
        <v>450</v>
      </c>
      <c r="D56" s="9" t="s">
        <v>451</v>
      </c>
      <c r="E56" s="10" t="s">
        <v>24</v>
      </c>
      <c r="F56" s="9" t="s">
        <v>365</v>
      </c>
      <c r="G56" s="9" t="s">
        <v>452</v>
      </c>
    </row>
    <row r="57" customFormat="false" ht="15" hidden="false" customHeight="false" outlineLevel="0" collapsed="false">
      <c r="A57" s="9" t="n">
        <v>21</v>
      </c>
      <c r="B57" s="9" t="s">
        <v>453</v>
      </c>
      <c r="C57" s="10" t="s">
        <v>454</v>
      </c>
      <c r="D57" s="9" t="s">
        <v>455</v>
      </c>
      <c r="E57" s="10" t="s">
        <v>23</v>
      </c>
      <c r="F57" s="9" t="s">
        <v>365</v>
      </c>
      <c r="G57" s="9" t="s">
        <v>456</v>
      </c>
    </row>
    <row r="58" customFormat="false" ht="15" hidden="false" customHeight="false" outlineLevel="0" collapsed="false">
      <c r="A58" s="9" t="n">
        <v>22</v>
      </c>
      <c r="B58" s="9" t="s">
        <v>457</v>
      </c>
      <c r="C58" s="10" t="s">
        <v>458</v>
      </c>
      <c r="D58" s="9" t="s">
        <v>459</v>
      </c>
      <c r="E58" s="10" t="s">
        <v>25</v>
      </c>
      <c r="F58" s="9" t="s">
        <v>365</v>
      </c>
      <c r="G58" s="9"/>
    </row>
    <row r="59" customFormat="false" ht="15" hidden="false" customHeight="false" outlineLevel="0" collapsed="false">
      <c r="A59" s="9" t="n">
        <v>22</v>
      </c>
      <c r="B59" s="9" t="s">
        <v>457</v>
      </c>
      <c r="C59" s="10" t="s">
        <v>460</v>
      </c>
      <c r="D59" s="9" t="s">
        <v>461</v>
      </c>
      <c r="E59" s="10" t="s">
        <v>25</v>
      </c>
      <c r="F59" s="9" t="s">
        <v>365</v>
      </c>
      <c r="G59" s="9"/>
    </row>
    <row r="60" customFormat="false" ht="15" hidden="false" customHeight="false" outlineLevel="0" collapsed="false">
      <c r="A60" s="9" t="n">
        <v>22</v>
      </c>
      <c r="B60" s="9" t="s">
        <v>457</v>
      </c>
      <c r="C60" s="10" t="s">
        <v>462</v>
      </c>
      <c r="D60" s="9" t="s">
        <v>463</v>
      </c>
      <c r="E60" s="10" t="s">
        <v>25</v>
      </c>
      <c r="F60" s="9" t="s">
        <v>365</v>
      </c>
      <c r="G60" s="9"/>
    </row>
    <row r="61" customFormat="false" ht="15" hidden="false" customHeight="false" outlineLevel="0" collapsed="false">
      <c r="A61" s="9" t="n">
        <v>22</v>
      </c>
      <c r="B61" s="9" t="s">
        <v>457</v>
      </c>
      <c r="C61" s="10" t="s">
        <v>464</v>
      </c>
      <c r="D61" s="9" t="s">
        <v>465</v>
      </c>
      <c r="E61" s="10" t="s">
        <v>26</v>
      </c>
      <c r="F61" s="9" t="s">
        <v>365</v>
      </c>
      <c r="G61" s="9"/>
    </row>
    <row r="62" customFormat="false" ht="15" hidden="false" customHeight="false" outlineLevel="0" collapsed="false">
      <c r="A62" s="9" t="n">
        <v>22</v>
      </c>
      <c r="B62" s="9" t="s">
        <v>457</v>
      </c>
      <c r="C62" s="10" t="s">
        <v>466</v>
      </c>
      <c r="D62" s="9" t="s">
        <v>467</v>
      </c>
      <c r="E62" s="10" t="s">
        <v>26</v>
      </c>
      <c r="F62" s="9" t="s">
        <v>365</v>
      </c>
      <c r="G62" s="9"/>
    </row>
    <row r="63" customFormat="false" ht="15" hidden="false" customHeight="false" outlineLevel="0" collapsed="false">
      <c r="A63" s="9" t="n">
        <v>23</v>
      </c>
      <c r="B63" s="9" t="s">
        <v>468</v>
      </c>
      <c r="C63" s="10" t="s">
        <v>469</v>
      </c>
      <c r="D63" s="9" t="s">
        <v>470</v>
      </c>
      <c r="E63" s="10" t="s">
        <v>25</v>
      </c>
      <c r="F63" s="9" t="s">
        <v>365</v>
      </c>
      <c r="G63" s="9" t="s">
        <v>471</v>
      </c>
    </row>
    <row r="64" customFormat="false" ht="15" hidden="false" customHeight="false" outlineLevel="0" collapsed="false">
      <c r="A64" s="9" t="n">
        <v>24</v>
      </c>
      <c r="B64" s="9" t="s">
        <v>472</v>
      </c>
      <c r="C64" s="10" t="s">
        <v>473</v>
      </c>
      <c r="D64" s="9" t="s">
        <v>474</v>
      </c>
      <c r="E64" s="10" t="s">
        <v>23</v>
      </c>
      <c r="F64" s="9" t="s">
        <v>365</v>
      </c>
      <c r="G64" s="9"/>
    </row>
    <row r="65" customFormat="false" ht="15" hidden="false" customHeight="false" outlineLevel="0" collapsed="false">
      <c r="A65" s="9" t="n">
        <v>24</v>
      </c>
      <c r="B65" s="9" t="s">
        <v>472</v>
      </c>
      <c r="C65" s="10" t="s">
        <v>475</v>
      </c>
      <c r="D65" s="9" t="s">
        <v>476</v>
      </c>
      <c r="E65" s="10" t="s">
        <v>23</v>
      </c>
      <c r="F65" s="9" t="s">
        <v>365</v>
      </c>
      <c r="G65" s="9"/>
    </row>
    <row r="66" customFormat="false" ht="15" hidden="false" customHeight="false" outlineLevel="0" collapsed="false">
      <c r="A66" s="9" t="n">
        <v>24</v>
      </c>
      <c r="B66" s="9" t="s">
        <v>472</v>
      </c>
      <c r="C66" s="10" t="s">
        <v>477</v>
      </c>
      <c r="D66" s="9" t="s">
        <v>478</v>
      </c>
      <c r="E66" s="10" t="s">
        <v>23</v>
      </c>
      <c r="F66" s="9" t="s">
        <v>365</v>
      </c>
      <c r="G66" s="9"/>
    </row>
    <row r="67" customFormat="false" ht="15" hidden="false" customHeight="false" outlineLevel="0" collapsed="false">
      <c r="A67" s="9" t="n">
        <v>25</v>
      </c>
      <c r="B67" s="9" t="s">
        <v>479</v>
      </c>
      <c r="C67" s="10" t="s">
        <v>480</v>
      </c>
      <c r="D67" s="9" t="s">
        <v>481</v>
      </c>
      <c r="E67" s="10" t="s">
        <v>24</v>
      </c>
      <c r="F67" s="9" t="s">
        <v>365</v>
      </c>
      <c r="G67" s="9"/>
    </row>
    <row r="68" customFormat="false" ht="15" hidden="false" customHeight="false" outlineLevel="0" collapsed="false">
      <c r="A68" s="9" t="n">
        <v>25</v>
      </c>
      <c r="B68" s="9" t="s">
        <v>479</v>
      </c>
      <c r="C68" s="10" t="s">
        <v>482</v>
      </c>
      <c r="D68" s="9" t="s">
        <v>483</v>
      </c>
      <c r="E68" s="10" t="s">
        <v>24</v>
      </c>
      <c r="F68" s="9" t="s">
        <v>365</v>
      </c>
      <c r="G68" s="9"/>
    </row>
    <row r="69" customFormat="false" ht="15" hidden="false" customHeight="false" outlineLevel="0" collapsed="false">
      <c r="A69" s="9" t="n">
        <v>25</v>
      </c>
      <c r="B69" s="9" t="s">
        <v>479</v>
      </c>
      <c r="C69" s="10" t="s">
        <v>484</v>
      </c>
      <c r="D69" s="9" t="s">
        <v>485</v>
      </c>
      <c r="E69" s="10" t="s">
        <v>24</v>
      </c>
      <c r="F69" s="9" t="s">
        <v>365</v>
      </c>
      <c r="G69" s="9"/>
    </row>
    <row r="70" customFormat="false" ht="15" hidden="false" customHeight="false" outlineLevel="0" collapsed="false">
      <c r="A70" s="9" t="n">
        <v>25</v>
      </c>
      <c r="B70" s="9" t="s">
        <v>479</v>
      </c>
      <c r="C70" s="10" t="s">
        <v>486</v>
      </c>
      <c r="D70" s="9" t="s">
        <v>487</v>
      </c>
      <c r="E70" s="10" t="s">
        <v>24</v>
      </c>
      <c r="F70" s="9" t="s">
        <v>365</v>
      </c>
      <c r="G70" s="9"/>
    </row>
    <row r="71" customFormat="false" ht="15" hidden="false" customHeight="false" outlineLevel="0" collapsed="false">
      <c r="A71" s="9" t="n">
        <v>26</v>
      </c>
      <c r="B71" s="9" t="s">
        <v>488</v>
      </c>
      <c r="C71" s="10" t="s">
        <v>489</v>
      </c>
      <c r="D71" s="9" t="s">
        <v>490</v>
      </c>
      <c r="E71" s="10" t="s">
        <v>24</v>
      </c>
      <c r="F71" s="9" t="s">
        <v>365</v>
      </c>
      <c r="G71" s="9"/>
    </row>
    <row r="72" customFormat="false" ht="15" hidden="false" customHeight="false" outlineLevel="0" collapsed="false">
      <c r="A72" s="9" t="n">
        <v>26</v>
      </c>
      <c r="B72" s="9" t="s">
        <v>488</v>
      </c>
      <c r="C72" s="10" t="s">
        <v>491</v>
      </c>
      <c r="D72" s="9" t="s">
        <v>492</v>
      </c>
      <c r="E72" s="10" t="s">
        <v>24</v>
      </c>
      <c r="F72" s="9" t="s">
        <v>365</v>
      </c>
      <c r="G72" s="9"/>
    </row>
    <row r="73" customFormat="false" ht="15" hidden="false" customHeight="false" outlineLevel="0" collapsed="false">
      <c r="A73" s="9" t="n">
        <v>26</v>
      </c>
      <c r="B73" s="9" t="s">
        <v>488</v>
      </c>
      <c r="C73" s="10" t="s">
        <v>493</v>
      </c>
      <c r="D73" s="9" t="s">
        <v>494</v>
      </c>
      <c r="E73" s="10" t="s">
        <v>24</v>
      </c>
      <c r="F73" s="9" t="s">
        <v>365</v>
      </c>
      <c r="G73" s="9"/>
    </row>
    <row r="74" customFormat="false" ht="15" hidden="false" customHeight="false" outlineLevel="0" collapsed="false">
      <c r="A74" s="9" t="n">
        <v>27</v>
      </c>
      <c r="B74" s="9" t="s">
        <v>495</v>
      </c>
      <c r="C74" s="10" t="s">
        <v>496</v>
      </c>
      <c r="D74" s="9" t="s">
        <v>497</v>
      </c>
      <c r="E74" s="10" t="s">
        <v>23</v>
      </c>
      <c r="F74" s="9" t="s">
        <v>365</v>
      </c>
      <c r="G74" s="9"/>
    </row>
    <row r="75" customFormat="false" ht="15" hidden="false" customHeight="false" outlineLevel="0" collapsed="false">
      <c r="A75" s="9" t="n">
        <v>27</v>
      </c>
      <c r="B75" s="9" t="s">
        <v>495</v>
      </c>
      <c r="C75" s="10" t="s">
        <v>498</v>
      </c>
      <c r="D75" s="9" t="s">
        <v>499</v>
      </c>
      <c r="E75" s="10" t="s">
        <v>23</v>
      </c>
      <c r="F75" s="9" t="s">
        <v>365</v>
      </c>
      <c r="G75" s="9"/>
    </row>
    <row r="76" customFormat="false" ht="15" hidden="false" customHeight="false" outlineLevel="0" collapsed="false">
      <c r="A76" s="9" t="n">
        <v>27</v>
      </c>
      <c r="B76" s="9" t="s">
        <v>495</v>
      </c>
      <c r="C76" s="10" t="s">
        <v>500</v>
      </c>
      <c r="D76" s="9" t="s">
        <v>501</v>
      </c>
      <c r="E76" s="10" t="s">
        <v>21</v>
      </c>
      <c r="F76" s="9" t="s">
        <v>365</v>
      </c>
      <c r="G76" s="9"/>
    </row>
    <row r="77" customFormat="false" ht="15" hidden="false" customHeight="false" outlineLevel="0" collapsed="false">
      <c r="A77" s="9" t="n">
        <v>27</v>
      </c>
      <c r="B77" s="9" t="s">
        <v>495</v>
      </c>
      <c r="C77" s="10" t="s">
        <v>502</v>
      </c>
      <c r="D77" s="9" t="s">
        <v>503</v>
      </c>
      <c r="E77" s="10" t="s">
        <v>21</v>
      </c>
      <c r="F77" s="9" t="s">
        <v>365</v>
      </c>
      <c r="G77" s="9"/>
    </row>
    <row r="78" customFormat="false" ht="15" hidden="false" customHeight="false" outlineLevel="0" collapsed="false">
      <c r="A78" s="9" t="n">
        <v>27</v>
      </c>
      <c r="B78" s="9" t="s">
        <v>495</v>
      </c>
      <c r="C78" s="10" t="s">
        <v>504</v>
      </c>
      <c r="D78" s="9" t="s">
        <v>505</v>
      </c>
      <c r="E78" s="10" t="s">
        <v>20</v>
      </c>
      <c r="F78" s="9" t="s">
        <v>365</v>
      </c>
      <c r="G78" s="9"/>
    </row>
    <row r="79" customFormat="false" ht="15" hidden="false" customHeight="false" outlineLevel="0" collapsed="false">
      <c r="A79" s="9" t="n">
        <v>27</v>
      </c>
      <c r="B79" s="9" t="s">
        <v>495</v>
      </c>
      <c r="C79" s="10" t="s">
        <v>506</v>
      </c>
      <c r="D79" s="9" t="s">
        <v>507</v>
      </c>
      <c r="E79" s="10" t="s">
        <v>20</v>
      </c>
      <c r="F79" s="9" t="s">
        <v>365</v>
      </c>
      <c r="G79" s="9"/>
    </row>
    <row r="80" customFormat="false" ht="15" hidden="false" customHeight="false" outlineLevel="0" collapsed="false">
      <c r="A80" s="9" t="n">
        <v>28</v>
      </c>
      <c r="B80" s="9" t="s">
        <v>508</v>
      </c>
      <c r="C80" s="10" t="s">
        <v>509</v>
      </c>
      <c r="D80" s="9" t="s">
        <v>510</v>
      </c>
      <c r="E80" s="10" t="s">
        <v>20</v>
      </c>
      <c r="F80" s="9" t="s">
        <v>365</v>
      </c>
      <c r="G80" s="9"/>
    </row>
    <row r="81" customFormat="false" ht="15" hidden="false" customHeight="false" outlineLevel="0" collapsed="false">
      <c r="A81" s="9" t="n">
        <v>28</v>
      </c>
      <c r="B81" s="9" t="s">
        <v>508</v>
      </c>
      <c r="C81" s="10" t="s">
        <v>511</v>
      </c>
      <c r="D81" s="9" t="s">
        <v>512</v>
      </c>
      <c r="E81" s="10" t="s">
        <v>20</v>
      </c>
      <c r="F81" s="9" t="s">
        <v>365</v>
      </c>
      <c r="G81" s="9"/>
    </row>
    <row r="82" customFormat="false" ht="26.85" hidden="false" customHeight="false" outlineLevel="0" collapsed="false">
      <c r="A82" s="9" t="n">
        <v>29</v>
      </c>
      <c r="B82" s="9" t="s">
        <v>513</v>
      </c>
      <c r="C82" s="10" t="s">
        <v>514</v>
      </c>
      <c r="D82" s="9" t="s">
        <v>515</v>
      </c>
      <c r="E82" s="10" t="s">
        <v>22</v>
      </c>
      <c r="F82" s="9" t="s">
        <v>365</v>
      </c>
      <c r="G82" s="9" t="s">
        <v>516</v>
      </c>
    </row>
    <row r="83" customFormat="false" ht="26.85" hidden="false" customHeight="false" outlineLevel="0" collapsed="false">
      <c r="A83" s="9" t="n">
        <v>29</v>
      </c>
      <c r="B83" s="9" t="s">
        <v>513</v>
      </c>
      <c r="C83" s="10" t="s">
        <v>517</v>
      </c>
      <c r="D83" s="9" t="s">
        <v>518</v>
      </c>
      <c r="E83" s="10" t="s">
        <v>20</v>
      </c>
      <c r="F83" s="9" t="s">
        <v>365</v>
      </c>
      <c r="G83" s="9" t="s">
        <v>519</v>
      </c>
    </row>
    <row r="84" customFormat="false" ht="15" hidden="false" customHeight="false" outlineLevel="0" collapsed="false">
      <c r="A84" s="9" t="n">
        <v>30</v>
      </c>
      <c r="B84" s="9" t="s">
        <v>520</v>
      </c>
      <c r="C84" s="10" t="s">
        <v>521</v>
      </c>
      <c r="D84" s="9" t="s">
        <v>522</v>
      </c>
      <c r="E84" s="10" t="s">
        <v>20</v>
      </c>
      <c r="F84" s="9" t="s">
        <v>365</v>
      </c>
      <c r="G84" s="9"/>
    </row>
    <row r="85" customFormat="false" ht="15" hidden="false" customHeight="false" outlineLevel="0" collapsed="false">
      <c r="A85" s="9" t="n">
        <v>30</v>
      </c>
      <c r="B85" s="9" t="s">
        <v>520</v>
      </c>
      <c r="C85" s="10" t="s">
        <v>523</v>
      </c>
      <c r="D85" s="9" t="s">
        <v>524</v>
      </c>
      <c r="E85" s="10" t="s">
        <v>20</v>
      </c>
      <c r="F85" s="9" t="s">
        <v>365</v>
      </c>
      <c r="G85" s="9"/>
    </row>
    <row r="86" customFormat="false" ht="15" hidden="false" customHeight="false" outlineLevel="0" collapsed="false">
      <c r="A86" s="9" t="n">
        <v>30</v>
      </c>
      <c r="B86" s="9" t="s">
        <v>520</v>
      </c>
      <c r="C86" s="10" t="s">
        <v>525</v>
      </c>
      <c r="D86" s="9" t="s">
        <v>526</v>
      </c>
      <c r="E86" s="10" t="s">
        <v>20</v>
      </c>
      <c r="F86" s="9" t="s">
        <v>365</v>
      </c>
      <c r="G86" s="9"/>
    </row>
    <row r="87" customFormat="false" ht="15" hidden="false" customHeight="false" outlineLevel="0" collapsed="false">
      <c r="A87" s="9" t="n">
        <v>30</v>
      </c>
      <c r="B87" s="9" t="s">
        <v>520</v>
      </c>
      <c r="C87" s="10" t="s">
        <v>527</v>
      </c>
      <c r="D87" s="9" t="s">
        <v>528</v>
      </c>
      <c r="E87" s="10" t="s">
        <v>20</v>
      </c>
      <c r="F87" s="9" t="s">
        <v>365</v>
      </c>
      <c r="G87" s="9"/>
    </row>
    <row r="88" customFormat="false" ht="15" hidden="false" customHeight="false" outlineLevel="0" collapsed="false">
      <c r="A88" s="9" t="n">
        <v>30</v>
      </c>
      <c r="B88" s="9" t="s">
        <v>520</v>
      </c>
      <c r="C88" s="10" t="s">
        <v>529</v>
      </c>
      <c r="D88" s="9" t="s">
        <v>530</v>
      </c>
      <c r="E88" s="10" t="s">
        <v>20</v>
      </c>
      <c r="F88" s="9" t="s">
        <v>365</v>
      </c>
      <c r="G88" s="9"/>
    </row>
    <row r="89" customFormat="false" ht="15" hidden="false" customHeight="false" outlineLevel="0" collapsed="false">
      <c r="A89" s="9" t="n">
        <v>31</v>
      </c>
      <c r="B89" s="9" t="s">
        <v>531</v>
      </c>
      <c r="C89" s="10" t="s">
        <v>532</v>
      </c>
      <c r="D89" s="9" t="s">
        <v>533</v>
      </c>
      <c r="E89" s="10" t="s">
        <v>23</v>
      </c>
      <c r="F89" s="9" t="s">
        <v>365</v>
      </c>
      <c r="G89" s="9" t="s">
        <v>533</v>
      </c>
    </row>
    <row r="90" customFormat="false" ht="15" hidden="false" customHeight="false" outlineLevel="0" collapsed="false">
      <c r="A90" s="9" t="n">
        <v>31</v>
      </c>
      <c r="B90" s="9" t="s">
        <v>531</v>
      </c>
      <c r="C90" s="10" t="s">
        <v>534</v>
      </c>
      <c r="D90" s="9" t="s">
        <v>535</v>
      </c>
      <c r="E90" s="10" t="s">
        <v>21</v>
      </c>
      <c r="F90" s="9" t="s">
        <v>365</v>
      </c>
      <c r="G90" s="9" t="s">
        <v>535</v>
      </c>
    </row>
    <row r="91" customFormat="false" ht="15" hidden="false" customHeight="false" outlineLevel="0" collapsed="false">
      <c r="A91" s="9" t="n">
        <v>32</v>
      </c>
      <c r="B91" s="9" t="s">
        <v>536</v>
      </c>
      <c r="C91" s="10" t="s">
        <v>537</v>
      </c>
      <c r="D91" s="9" t="s">
        <v>538</v>
      </c>
      <c r="E91" s="10" t="s">
        <v>20</v>
      </c>
      <c r="F91" s="9" t="s">
        <v>539</v>
      </c>
      <c r="G91" s="9"/>
    </row>
    <row r="92" customFormat="false" ht="15" hidden="false" customHeight="false" outlineLevel="0" collapsed="false">
      <c r="A92" s="9" t="n">
        <v>32</v>
      </c>
      <c r="B92" s="9" t="s">
        <v>536</v>
      </c>
      <c r="C92" s="10" t="s">
        <v>540</v>
      </c>
      <c r="D92" s="9" t="s">
        <v>541</v>
      </c>
      <c r="E92" s="10" t="s">
        <v>20</v>
      </c>
      <c r="F92" s="9" t="s">
        <v>539</v>
      </c>
      <c r="G92" s="9"/>
    </row>
    <row r="93" customFormat="false" ht="15" hidden="false" customHeight="false" outlineLevel="0" collapsed="false">
      <c r="A93" s="9" t="n">
        <v>32</v>
      </c>
      <c r="B93" s="9" t="s">
        <v>536</v>
      </c>
      <c r="C93" s="10" t="s">
        <v>542</v>
      </c>
      <c r="D93" s="9" t="s">
        <v>543</v>
      </c>
      <c r="E93" s="10" t="s">
        <v>20</v>
      </c>
      <c r="F93" s="9" t="s">
        <v>539</v>
      </c>
      <c r="G93" s="9"/>
    </row>
    <row r="94" customFormat="false" ht="15" hidden="false" customHeight="false" outlineLevel="0" collapsed="false">
      <c r="A94" s="9" t="n">
        <v>32</v>
      </c>
      <c r="B94" s="9" t="s">
        <v>536</v>
      </c>
      <c r="C94" s="10" t="s">
        <v>544</v>
      </c>
      <c r="D94" s="9" t="s">
        <v>545</v>
      </c>
      <c r="E94" s="10" t="s">
        <v>20</v>
      </c>
      <c r="F94" s="9" t="s">
        <v>539</v>
      </c>
      <c r="G94" s="9"/>
    </row>
    <row r="95" customFormat="false" ht="15" hidden="false" customHeight="false" outlineLevel="0" collapsed="false">
      <c r="A95" s="9" t="n">
        <v>33</v>
      </c>
      <c r="B95" s="9" t="s">
        <v>546</v>
      </c>
      <c r="C95" s="10" t="s">
        <v>547</v>
      </c>
      <c r="D95" s="9" t="s">
        <v>548</v>
      </c>
      <c r="E95" s="10" t="s">
        <v>21</v>
      </c>
      <c r="F95" s="9" t="s">
        <v>539</v>
      </c>
      <c r="G95" s="9"/>
    </row>
    <row r="96" customFormat="false" ht="15" hidden="false" customHeight="false" outlineLevel="0" collapsed="false">
      <c r="A96" s="9" t="n">
        <v>33</v>
      </c>
      <c r="B96" s="9" t="s">
        <v>546</v>
      </c>
      <c r="C96" s="10" t="s">
        <v>549</v>
      </c>
      <c r="D96" s="9" t="s">
        <v>550</v>
      </c>
      <c r="E96" s="10" t="s">
        <v>21</v>
      </c>
      <c r="F96" s="9" t="s">
        <v>539</v>
      </c>
      <c r="G96" s="9"/>
    </row>
    <row r="97" customFormat="false" ht="15" hidden="false" customHeight="false" outlineLevel="0" collapsed="false">
      <c r="A97" s="9" t="n">
        <v>33</v>
      </c>
      <c r="B97" s="9" t="s">
        <v>546</v>
      </c>
      <c r="C97" s="10" t="s">
        <v>551</v>
      </c>
      <c r="D97" s="9" t="s">
        <v>552</v>
      </c>
      <c r="E97" s="10" t="s">
        <v>21</v>
      </c>
      <c r="F97" s="9" t="s">
        <v>539</v>
      </c>
      <c r="G97" s="9"/>
    </row>
    <row r="98" customFormat="false" ht="15" hidden="false" customHeight="false" outlineLevel="0" collapsed="false">
      <c r="A98" s="9" t="n">
        <v>34</v>
      </c>
      <c r="B98" s="9" t="s">
        <v>553</v>
      </c>
      <c r="C98" s="10" t="s">
        <v>554</v>
      </c>
      <c r="D98" s="9" t="s">
        <v>555</v>
      </c>
      <c r="E98" s="10" t="s">
        <v>21</v>
      </c>
      <c r="F98" s="9" t="s">
        <v>539</v>
      </c>
      <c r="G98" s="9" t="s">
        <v>556</v>
      </c>
    </row>
    <row r="99" customFormat="false" ht="26.85" hidden="false" customHeight="false" outlineLevel="0" collapsed="false">
      <c r="A99" s="9" t="n">
        <v>35</v>
      </c>
      <c r="B99" s="9" t="s">
        <v>557</v>
      </c>
      <c r="C99" s="10" t="s">
        <v>558</v>
      </c>
      <c r="D99" s="9" t="s">
        <v>559</v>
      </c>
      <c r="E99" s="10" t="s">
        <v>21</v>
      </c>
      <c r="F99" s="9" t="s">
        <v>539</v>
      </c>
      <c r="G99" s="9"/>
    </row>
    <row r="100" customFormat="false" ht="26.85" hidden="false" customHeight="false" outlineLevel="0" collapsed="false">
      <c r="A100" s="9" t="n">
        <v>35</v>
      </c>
      <c r="B100" s="9" t="s">
        <v>557</v>
      </c>
      <c r="C100" s="10" t="s">
        <v>560</v>
      </c>
      <c r="D100" s="9" t="s">
        <v>561</v>
      </c>
      <c r="E100" s="10" t="s">
        <v>21</v>
      </c>
      <c r="F100" s="9" t="s">
        <v>539</v>
      </c>
      <c r="G100" s="9"/>
    </row>
    <row r="101" customFormat="false" ht="26.85" hidden="false" customHeight="false" outlineLevel="0" collapsed="false">
      <c r="A101" s="9" t="n">
        <v>35</v>
      </c>
      <c r="B101" s="9" t="s">
        <v>557</v>
      </c>
      <c r="C101" s="10" t="s">
        <v>562</v>
      </c>
      <c r="D101" s="9" t="s">
        <v>563</v>
      </c>
      <c r="E101" s="10" t="s">
        <v>21</v>
      </c>
      <c r="F101" s="9" t="s">
        <v>539</v>
      </c>
      <c r="G101" s="9"/>
    </row>
    <row r="102" customFormat="false" ht="26.85" hidden="false" customHeight="false" outlineLevel="0" collapsed="false">
      <c r="A102" s="9" t="n">
        <v>35</v>
      </c>
      <c r="B102" s="9" t="s">
        <v>557</v>
      </c>
      <c r="C102" s="10" t="s">
        <v>564</v>
      </c>
      <c r="D102" s="9" t="s">
        <v>565</v>
      </c>
      <c r="E102" s="10" t="s">
        <v>21</v>
      </c>
      <c r="F102" s="9" t="s">
        <v>539</v>
      </c>
      <c r="G102" s="9"/>
    </row>
    <row r="103" customFormat="false" ht="15" hidden="false" customHeight="false" outlineLevel="0" collapsed="false">
      <c r="A103" s="9" t="n">
        <v>36</v>
      </c>
      <c r="B103" s="9" t="s">
        <v>566</v>
      </c>
      <c r="C103" s="10" t="s">
        <v>567</v>
      </c>
      <c r="D103" s="9" t="s">
        <v>568</v>
      </c>
      <c r="E103" s="10" t="s">
        <v>21</v>
      </c>
      <c r="F103" s="9" t="s">
        <v>539</v>
      </c>
      <c r="G103" s="9"/>
    </row>
    <row r="104" customFormat="false" ht="15" hidden="false" customHeight="false" outlineLevel="0" collapsed="false">
      <c r="A104" s="9" t="n">
        <v>36</v>
      </c>
      <c r="B104" s="9" t="s">
        <v>566</v>
      </c>
      <c r="C104" s="10" t="s">
        <v>569</v>
      </c>
      <c r="D104" s="9" t="s">
        <v>570</v>
      </c>
      <c r="E104" s="10" t="s">
        <v>21</v>
      </c>
      <c r="F104" s="9" t="s">
        <v>539</v>
      </c>
      <c r="G104" s="9"/>
    </row>
    <row r="105" customFormat="false" ht="15" hidden="false" customHeight="false" outlineLevel="0" collapsed="false">
      <c r="A105" s="9" t="n">
        <v>36</v>
      </c>
      <c r="B105" s="9" t="s">
        <v>566</v>
      </c>
      <c r="C105" s="10" t="s">
        <v>571</v>
      </c>
      <c r="D105" s="9" t="s">
        <v>572</v>
      </c>
      <c r="E105" s="10" t="s">
        <v>21</v>
      </c>
      <c r="F105" s="9" t="s">
        <v>539</v>
      </c>
      <c r="G105" s="9"/>
    </row>
    <row r="106" customFormat="false" ht="26.85" hidden="false" customHeight="false" outlineLevel="0" collapsed="false">
      <c r="A106" s="9" t="n">
        <v>37</v>
      </c>
      <c r="B106" s="9" t="s">
        <v>573</v>
      </c>
      <c r="C106" s="10" t="s">
        <v>574</v>
      </c>
      <c r="D106" s="9" t="s">
        <v>575</v>
      </c>
      <c r="E106" s="10" t="s">
        <v>20</v>
      </c>
      <c r="F106" s="9" t="s">
        <v>539</v>
      </c>
      <c r="G106" s="9"/>
    </row>
    <row r="107" customFormat="false" ht="26.85" hidden="false" customHeight="false" outlineLevel="0" collapsed="false">
      <c r="A107" s="9" t="n">
        <v>37</v>
      </c>
      <c r="B107" s="9" t="s">
        <v>573</v>
      </c>
      <c r="C107" s="10" t="s">
        <v>576</v>
      </c>
      <c r="D107" s="9" t="s">
        <v>577</v>
      </c>
      <c r="E107" s="10" t="s">
        <v>20</v>
      </c>
      <c r="F107" s="9" t="s">
        <v>539</v>
      </c>
      <c r="G107" s="9"/>
    </row>
    <row r="108" customFormat="false" ht="26.85" hidden="false" customHeight="false" outlineLevel="0" collapsed="false">
      <c r="A108" s="9" t="n">
        <v>37</v>
      </c>
      <c r="B108" s="9" t="s">
        <v>573</v>
      </c>
      <c r="C108" s="10" t="s">
        <v>578</v>
      </c>
      <c r="D108" s="9" t="s">
        <v>579</v>
      </c>
      <c r="E108" s="10" t="s">
        <v>20</v>
      </c>
      <c r="F108" s="9" t="s">
        <v>539</v>
      </c>
      <c r="G108" s="9"/>
    </row>
    <row r="109" customFormat="false" ht="26.85" hidden="false" customHeight="false" outlineLevel="0" collapsed="false">
      <c r="A109" s="9" t="n">
        <v>37</v>
      </c>
      <c r="B109" s="9" t="s">
        <v>573</v>
      </c>
      <c r="C109" s="10" t="s">
        <v>580</v>
      </c>
      <c r="D109" s="9" t="s">
        <v>581</v>
      </c>
      <c r="E109" s="10" t="s">
        <v>20</v>
      </c>
      <c r="F109" s="9" t="s">
        <v>539</v>
      </c>
      <c r="G109" s="9"/>
    </row>
    <row r="110" customFormat="false" ht="26.85" hidden="false" customHeight="false" outlineLevel="0" collapsed="false">
      <c r="A110" s="9" t="n">
        <v>38</v>
      </c>
      <c r="B110" s="9" t="s">
        <v>582</v>
      </c>
      <c r="C110" s="10" t="s">
        <v>583</v>
      </c>
      <c r="D110" s="9" t="s">
        <v>584</v>
      </c>
      <c r="E110" s="10" t="s">
        <v>20</v>
      </c>
      <c r="F110" s="9" t="s">
        <v>539</v>
      </c>
      <c r="G110" s="9"/>
    </row>
    <row r="111" customFormat="false" ht="26.85" hidden="false" customHeight="false" outlineLevel="0" collapsed="false">
      <c r="A111" s="9" t="n">
        <v>38</v>
      </c>
      <c r="B111" s="9" t="s">
        <v>582</v>
      </c>
      <c r="C111" s="10" t="s">
        <v>585</v>
      </c>
      <c r="D111" s="9" t="s">
        <v>586</v>
      </c>
      <c r="E111" s="10" t="s">
        <v>20</v>
      </c>
      <c r="F111" s="9" t="s">
        <v>539</v>
      </c>
      <c r="G111" s="9"/>
    </row>
    <row r="112" customFormat="false" ht="26.85" hidden="false" customHeight="false" outlineLevel="0" collapsed="false">
      <c r="A112" s="9" t="n">
        <v>38</v>
      </c>
      <c r="B112" s="9" t="s">
        <v>582</v>
      </c>
      <c r="C112" s="10" t="s">
        <v>587</v>
      </c>
      <c r="D112" s="9" t="s">
        <v>588</v>
      </c>
      <c r="E112" s="10" t="s">
        <v>20</v>
      </c>
      <c r="F112" s="9" t="s">
        <v>539</v>
      </c>
      <c r="G112" s="9"/>
    </row>
    <row r="113" customFormat="false" ht="15" hidden="false" customHeight="false" outlineLevel="0" collapsed="false">
      <c r="A113" s="9" t="n">
        <v>39</v>
      </c>
      <c r="B113" s="9" t="s">
        <v>589</v>
      </c>
      <c r="C113" s="10" t="s">
        <v>590</v>
      </c>
      <c r="D113" s="9" t="s">
        <v>591</v>
      </c>
      <c r="E113" s="10" t="s">
        <v>20</v>
      </c>
      <c r="F113" s="9" t="s">
        <v>539</v>
      </c>
      <c r="G113" s="9" t="s">
        <v>592</v>
      </c>
    </row>
    <row r="114" customFormat="false" ht="15" hidden="false" customHeight="false" outlineLevel="0" collapsed="false">
      <c r="A114" s="9" t="n">
        <v>40</v>
      </c>
      <c r="B114" s="9" t="s">
        <v>593</v>
      </c>
      <c r="C114" s="10" t="s">
        <v>594</v>
      </c>
      <c r="D114" s="9" t="s">
        <v>595</v>
      </c>
      <c r="E114" s="10" t="s">
        <v>21</v>
      </c>
      <c r="F114" s="9" t="s">
        <v>539</v>
      </c>
      <c r="G114" s="9"/>
    </row>
    <row r="115" customFormat="false" ht="15" hidden="false" customHeight="false" outlineLevel="0" collapsed="false">
      <c r="A115" s="9" t="n">
        <v>40</v>
      </c>
      <c r="B115" s="9" t="s">
        <v>593</v>
      </c>
      <c r="C115" s="10" t="s">
        <v>596</v>
      </c>
      <c r="D115" s="9" t="s">
        <v>597</v>
      </c>
      <c r="E115" s="10" t="s">
        <v>21</v>
      </c>
      <c r="F115" s="9" t="s">
        <v>539</v>
      </c>
      <c r="G115" s="9"/>
    </row>
    <row r="116" customFormat="false" ht="15" hidden="false" customHeight="false" outlineLevel="0" collapsed="false">
      <c r="A116" s="9" t="n">
        <v>40</v>
      </c>
      <c r="B116" s="9" t="s">
        <v>593</v>
      </c>
      <c r="C116" s="10" t="s">
        <v>598</v>
      </c>
      <c r="D116" s="9" t="s">
        <v>599</v>
      </c>
      <c r="E116" s="10" t="s">
        <v>21</v>
      </c>
      <c r="F116" s="9" t="s">
        <v>539</v>
      </c>
      <c r="G116" s="9"/>
    </row>
    <row r="117" customFormat="false" ht="15" hidden="false" customHeight="false" outlineLevel="0" collapsed="false">
      <c r="A117" s="9" t="n">
        <v>40</v>
      </c>
      <c r="B117" s="9" t="s">
        <v>593</v>
      </c>
      <c r="C117" s="10" t="s">
        <v>600</v>
      </c>
      <c r="D117" s="9" t="s">
        <v>601</v>
      </c>
      <c r="E117" s="10" t="s">
        <v>21</v>
      </c>
      <c r="F117" s="9" t="s">
        <v>539</v>
      </c>
      <c r="G117" s="9"/>
    </row>
    <row r="118" customFormat="false" ht="15" hidden="false" customHeight="false" outlineLevel="0" collapsed="false">
      <c r="A118" s="9" t="n">
        <v>41</v>
      </c>
      <c r="B118" s="9" t="s">
        <v>602</v>
      </c>
      <c r="C118" s="10" t="s">
        <v>603</v>
      </c>
      <c r="D118" s="9" t="s">
        <v>604</v>
      </c>
      <c r="E118" s="10" t="s">
        <v>20</v>
      </c>
      <c r="F118" s="9" t="s">
        <v>539</v>
      </c>
      <c r="G118" s="9"/>
    </row>
    <row r="119" customFormat="false" ht="15" hidden="false" customHeight="false" outlineLevel="0" collapsed="false">
      <c r="A119" s="9" t="n">
        <v>41</v>
      </c>
      <c r="B119" s="9" t="s">
        <v>602</v>
      </c>
      <c r="C119" s="10" t="s">
        <v>605</v>
      </c>
      <c r="D119" s="9" t="s">
        <v>606</v>
      </c>
      <c r="E119" s="10" t="s">
        <v>20</v>
      </c>
      <c r="F119" s="9" t="s">
        <v>539</v>
      </c>
      <c r="G119" s="9"/>
    </row>
    <row r="120" customFormat="false" ht="15" hidden="false" customHeight="false" outlineLevel="0" collapsed="false">
      <c r="A120" s="9" t="n">
        <v>42</v>
      </c>
      <c r="B120" s="9" t="s">
        <v>607</v>
      </c>
      <c r="C120" s="10" t="s">
        <v>608</v>
      </c>
      <c r="D120" s="9" t="s">
        <v>609</v>
      </c>
      <c r="E120" s="10" t="s">
        <v>20</v>
      </c>
      <c r="F120" s="9" t="s">
        <v>539</v>
      </c>
      <c r="G120" s="9"/>
    </row>
    <row r="121" customFormat="false" ht="15" hidden="false" customHeight="false" outlineLevel="0" collapsed="false">
      <c r="A121" s="9" t="n">
        <v>42</v>
      </c>
      <c r="B121" s="9" t="s">
        <v>607</v>
      </c>
      <c r="C121" s="10" t="s">
        <v>610</v>
      </c>
      <c r="D121" s="9" t="s">
        <v>611</v>
      </c>
      <c r="E121" s="10" t="s">
        <v>20</v>
      </c>
      <c r="F121" s="9" t="s">
        <v>539</v>
      </c>
      <c r="G121" s="9"/>
    </row>
    <row r="122" customFormat="false" ht="15" hidden="false" customHeight="false" outlineLevel="0" collapsed="false">
      <c r="A122" s="9" t="n">
        <v>43</v>
      </c>
      <c r="B122" s="9" t="s">
        <v>612</v>
      </c>
      <c r="C122" s="10" t="s">
        <v>613</v>
      </c>
      <c r="D122" s="9" t="s">
        <v>614</v>
      </c>
      <c r="E122" s="10" t="s">
        <v>20</v>
      </c>
      <c r="F122" s="9" t="s">
        <v>539</v>
      </c>
      <c r="G122" s="9"/>
    </row>
    <row r="123" customFormat="false" ht="15" hidden="false" customHeight="false" outlineLevel="0" collapsed="false">
      <c r="A123" s="9" t="n">
        <v>43</v>
      </c>
      <c r="B123" s="9" t="s">
        <v>612</v>
      </c>
      <c r="C123" s="10" t="s">
        <v>615</v>
      </c>
      <c r="D123" s="9" t="s">
        <v>616</v>
      </c>
      <c r="E123" s="10" t="s">
        <v>20</v>
      </c>
      <c r="F123" s="9" t="s">
        <v>539</v>
      </c>
      <c r="G123" s="9"/>
    </row>
    <row r="124" customFormat="false" ht="15" hidden="false" customHeight="false" outlineLevel="0" collapsed="false">
      <c r="A124" s="9" t="n">
        <v>43</v>
      </c>
      <c r="B124" s="9" t="s">
        <v>612</v>
      </c>
      <c r="C124" s="10" t="s">
        <v>617</v>
      </c>
      <c r="D124" s="9" t="s">
        <v>618</v>
      </c>
      <c r="E124" s="10" t="s">
        <v>20</v>
      </c>
      <c r="F124" s="9" t="s">
        <v>539</v>
      </c>
      <c r="G124" s="9"/>
    </row>
    <row r="125" customFormat="false" ht="15" hidden="false" customHeight="false" outlineLevel="0" collapsed="false">
      <c r="A125" s="9" t="n">
        <v>43</v>
      </c>
      <c r="B125" s="9" t="s">
        <v>612</v>
      </c>
      <c r="C125" s="10" t="s">
        <v>619</v>
      </c>
      <c r="D125" s="9" t="s">
        <v>620</v>
      </c>
      <c r="E125" s="10" t="s">
        <v>20</v>
      </c>
      <c r="F125" s="9" t="s">
        <v>539</v>
      </c>
      <c r="G125" s="9"/>
    </row>
    <row r="126" customFormat="false" ht="15" hidden="false" customHeight="false" outlineLevel="0" collapsed="false">
      <c r="A126" s="9" t="n">
        <v>43</v>
      </c>
      <c r="B126" s="9" t="s">
        <v>612</v>
      </c>
      <c r="C126" s="10" t="s">
        <v>621</v>
      </c>
      <c r="D126" s="9" t="s">
        <v>622</v>
      </c>
      <c r="E126" s="10" t="s">
        <v>20</v>
      </c>
      <c r="F126" s="9" t="s">
        <v>539</v>
      </c>
      <c r="G126" s="9"/>
    </row>
    <row r="127" customFormat="false" ht="15" hidden="false" customHeight="false" outlineLevel="0" collapsed="false">
      <c r="A127" s="9" t="n">
        <v>43</v>
      </c>
      <c r="B127" s="9" t="s">
        <v>612</v>
      </c>
      <c r="C127" s="10" t="s">
        <v>623</v>
      </c>
      <c r="D127" s="9" t="s">
        <v>624</v>
      </c>
      <c r="E127" s="10" t="s">
        <v>20</v>
      </c>
      <c r="F127" s="9" t="s">
        <v>539</v>
      </c>
      <c r="G127" s="9"/>
    </row>
    <row r="128" customFormat="false" ht="15" hidden="false" customHeight="false" outlineLevel="0" collapsed="false">
      <c r="A128" s="9" t="n">
        <v>43</v>
      </c>
      <c r="B128" s="9" t="s">
        <v>612</v>
      </c>
      <c r="C128" s="10" t="s">
        <v>625</v>
      </c>
      <c r="D128" s="9" t="s">
        <v>626</v>
      </c>
      <c r="E128" s="10" t="s">
        <v>20</v>
      </c>
      <c r="F128" s="9" t="s">
        <v>539</v>
      </c>
      <c r="G128" s="9"/>
    </row>
    <row r="129" customFormat="false" ht="15" hidden="false" customHeight="false" outlineLevel="0" collapsed="false">
      <c r="A129" s="9" t="n">
        <v>44</v>
      </c>
      <c r="B129" s="9" t="s">
        <v>627</v>
      </c>
      <c r="C129" s="10" t="s">
        <v>628</v>
      </c>
      <c r="D129" s="9" t="s">
        <v>629</v>
      </c>
      <c r="E129" s="10" t="s">
        <v>20</v>
      </c>
      <c r="F129" s="9" t="s">
        <v>539</v>
      </c>
      <c r="G129" s="9"/>
    </row>
    <row r="130" customFormat="false" ht="15" hidden="false" customHeight="false" outlineLevel="0" collapsed="false">
      <c r="A130" s="9" t="n">
        <v>44</v>
      </c>
      <c r="B130" s="9" t="s">
        <v>627</v>
      </c>
      <c r="C130" s="10" t="s">
        <v>630</v>
      </c>
      <c r="D130" s="9" t="s">
        <v>631</v>
      </c>
      <c r="E130" s="10" t="s">
        <v>20</v>
      </c>
      <c r="F130" s="9" t="s">
        <v>539</v>
      </c>
      <c r="G130" s="9"/>
    </row>
    <row r="131" customFormat="false" ht="15" hidden="false" customHeight="false" outlineLevel="0" collapsed="false">
      <c r="A131" s="9" t="n">
        <v>44</v>
      </c>
      <c r="B131" s="9" t="s">
        <v>627</v>
      </c>
      <c r="C131" s="10" t="s">
        <v>632</v>
      </c>
      <c r="D131" s="9" t="s">
        <v>633</v>
      </c>
      <c r="E131" s="10" t="s">
        <v>20</v>
      </c>
      <c r="F131" s="9" t="s">
        <v>539</v>
      </c>
      <c r="G131" s="9"/>
    </row>
    <row r="132" customFormat="false" ht="15" hidden="false" customHeight="false" outlineLevel="0" collapsed="false">
      <c r="A132" s="9" t="n">
        <v>44</v>
      </c>
      <c r="B132" s="9" t="s">
        <v>627</v>
      </c>
      <c r="C132" s="10" t="s">
        <v>634</v>
      </c>
      <c r="D132" s="9" t="s">
        <v>635</v>
      </c>
      <c r="E132" s="10" t="s">
        <v>20</v>
      </c>
      <c r="F132" s="9" t="s">
        <v>539</v>
      </c>
      <c r="G132" s="9"/>
    </row>
    <row r="133" customFormat="false" ht="15" hidden="false" customHeight="false" outlineLevel="0" collapsed="false">
      <c r="A133" s="9" t="n">
        <v>44</v>
      </c>
      <c r="B133" s="9" t="s">
        <v>627</v>
      </c>
      <c r="C133" s="10" t="s">
        <v>636</v>
      </c>
      <c r="D133" s="9" t="s">
        <v>637</v>
      </c>
      <c r="E133" s="10" t="s">
        <v>20</v>
      </c>
      <c r="F133" s="9" t="s">
        <v>539</v>
      </c>
      <c r="G133" s="9"/>
    </row>
    <row r="134" customFormat="false" ht="15" hidden="false" customHeight="false" outlineLevel="0" collapsed="false">
      <c r="A134" s="9" t="n">
        <v>45</v>
      </c>
      <c r="B134" s="9" t="s">
        <v>638</v>
      </c>
      <c r="C134" s="10" t="s">
        <v>639</v>
      </c>
      <c r="D134" s="9" t="s">
        <v>640</v>
      </c>
      <c r="E134" s="10" t="s">
        <v>20</v>
      </c>
      <c r="F134" s="9" t="s">
        <v>539</v>
      </c>
      <c r="G134" s="9"/>
    </row>
    <row r="135" customFormat="false" ht="15" hidden="false" customHeight="false" outlineLevel="0" collapsed="false">
      <c r="A135" s="9" t="n">
        <v>45</v>
      </c>
      <c r="B135" s="9" t="s">
        <v>638</v>
      </c>
      <c r="C135" s="10" t="s">
        <v>641</v>
      </c>
      <c r="D135" s="9" t="s">
        <v>642</v>
      </c>
      <c r="E135" s="10" t="s">
        <v>20</v>
      </c>
      <c r="F135" s="9" t="s">
        <v>539</v>
      </c>
      <c r="G135" s="9"/>
    </row>
    <row r="136" customFormat="false" ht="15" hidden="false" customHeight="false" outlineLevel="0" collapsed="false">
      <c r="A136" s="9" t="n">
        <v>45</v>
      </c>
      <c r="B136" s="9" t="s">
        <v>638</v>
      </c>
      <c r="C136" s="10" t="s">
        <v>643</v>
      </c>
      <c r="D136" s="9" t="s">
        <v>644</v>
      </c>
      <c r="E136" s="10" t="s">
        <v>20</v>
      </c>
      <c r="F136" s="9" t="s">
        <v>539</v>
      </c>
      <c r="G136" s="9"/>
    </row>
    <row r="137" customFormat="false" ht="15" hidden="false" customHeight="false" outlineLevel="0" collapsed="false">
      <c r="A137" s="9" t="n">
        <v>46</v>
      </c>
      <c r="B137" s="9" t="s">
        <v>645</v>
      </c>
      <c r="C137" s="10" t="s">
        <v>646</v>
      </c>
      <c r="D137" s="9" t="s">
        <v>647</v>
      </c>
      <c r="E137" s="10" t="s">
        <v>20</v>
      </c>
      <c r="F137" s="9" t="s">
        <v>539</v>
      </c>
      <c r="G137" s="9" t="s">
        <v>648</v>
      </c>
    </row>
    <row r="138" customFormat="false" ht="15" hidden="false" customHeight="false" outlineLevel="0" collapsed="false">
      <c r="A138" s="9" t="n">
        <v>47</v>
      </c>
      <c r="B138" s="9" t="s">
        <v>649</v>
      </c>
      <c r="C138" s="10" t="s">
        <v>650</v>
      </c>
      <c r="D138" s="9" t="s">
        <v>651</v>
      </c>
      <c r="E138" s="10" t="s">
        <v>24</v>
      </c>
      <c r="F138" s="9" t="s">
        <v>652</v>
      </c>
      <c r="G138" s="9" t="s">
        <v>653</v>
      </c>
    </row>
    <row r="139" customFormat="false" ht="15" hidden="false" customHeight="false" outlineLevel="0" collapsed="false">
      <c r="A139" s="9" t="n">
        <v>47</v>
      </c>
      <c r="B139" s="9" t="s">
        <v>649</v>
      </c>
      <c r="C139" s="10" t="s">
        <v>654</v>
      </c>
      <c r="D139" s="9" t="s">
        <v>655</v>
      </c>
      <c r="E139" s="10" t="s">
        <v>22</v>
      </c>
      <c r="F139" s="9" t="s">
        <v>652</v>
      </c>
      <c r="G139" s="9" t="s">
        <v>656</v>
      </c>
    </row>
    <row r="140" customFormat="false" ht="15" hidden="false" customHeight="false" outlineLevel="0" collapsed="false">
      <c r="A140" s="9" t="n">
        <v>47</v>
      </c>
      <c r="B140" s="9" t="s">
        <v>649</v>
      </c>
      <c r="C140" s="10" t="s">
        <v>657</v>
      </c>
      <c r="D140" s="9" t="s">
        <v>658</v>
      </c>
      <c r="E140" s="10" t="s">
        <v>21</v>
      </c>
      <c r="F140" s="9" t="s">
        <v>652</v>
      </c>
      <c r="G140" s="9" t="s">
        <v>658</v>
      </c>
    </row>
    <row r="141" customFormat="false" ht="15" hidden="false" customHeight="false" outlineLevel="0" collapsed="false">
      <c r="A141" s="9" t="n">
        <v>48</v>
      </c>
      <c r="B141" s="9" t="s">
        <v>659</v>
      </c>
      <c r="C141" s="10" t="s">
        <v>660</v>
      </c>
      <c r="D141" s="9" t="s">
        <v>661</v>
      </c>
      <c r="E141" s="10" t="s">
        <v>21</v>
      </c>
      <c r="F141" s="9" t="s">
        <v>652</v>
      </c>
      <c r="G141" s="9"/>
    </row>
    <row r="142" customFormat="false" ht="15" hidden="false" customHeight="false" outlineLevel="0" collapsed="false">
      <c r="A142" s="9" t="n">
        <v>48</v>
      </c>
      <c r="B142" s="9" t="s">
        <v>659</v>
      </c>
      <c r="C142" s="10" t="s">
        <v>662</v>
      </c>
      <c r="D142" s="9" t="s">
        <v>663</v>
      </c>
      <c r="E142" s="10" t="s">
        <v>21</v>
      </c>
      <c r="F142" s="9" t="s">
        <v>652</v>
      </c>
      <c r="G142" s="9"/>
    </row>
    <row r="143" customFormat="false" ht="15" hidden="false" customHeight="false" outlineLevel="0" collapsed="false">
      <c r="A143" s="9" t="n">
        <v>48</v>
      </c>
      <c r="B143" s="9" t="s">
        <v>659</v>
      </c>
      <c r="C143" s="10" t="s">
        <v>664</v>
      </c>
      <c r="D143" s="9" t="s">
        <v>665</v>
      </c>
      <c r="E143" s="10" t="s">
        <v>21</v>
      </c>
      <c r="F143" s="9" t="s">
        <v>652</v>
      </c>
      <c r="G143" s="9"/>
    </row>
    <row r="144" customFormat="false" ht="15" hidden="false" customHeight="false" outlineLevel="0" collapsed="false">
      <c r="A144" s="9" t="n">
        <v>48</v>
      </c>
      <c r="B144" s="9" t="s">
        <v>659</v>
      </c>
      <c r="C144" s="10" t="s">
        <v>666</v>
      </c>
      <c r="D144" s="9" t="s">
        <v>667</v>
      </c>
      <c r="E144" s="10" t="s">
        <v>21</v>
      </c>
      <c r="F144" s="9" t="s">
        <v>652</v>
      </c>
      <c r="G144" s="9"/>
    </row>
    <row r="145" customFormat="false" ht="15" hidden="false" customHeight="false" outlineLevel="0" collapsed="false">
      <c r="A145" s="9" t="n">
        <v>48</v>
      </c>
      <c r="B145" s="9" t="s">
        <v>659</v>
      </c>
      <c r="C145" s="10" t="s">
        <v>668</v>
      </c>
      <c r="D145" s="9" t="s">
        <v>669</v>
      </c>
      <c r="E145" s="10" t="s">
        <v>21</v>
      </c>
      <c r="F145" s="9" t="s">
        <v>652</v>
      </c>
      <c r="G145" s="9"/>
    </row>
    <row r="146" customFormat="false" ht="15" hidden="false" customHeight="false" outlineLevel="0" collapsed="false">
      <c r="A146" s="9" t="n">
        <v>48</v>
      </c>
      <c r="B146" s="9" t="s">
        <v>659</v>
      </c>
      <c r="C146" s="10" t="s">
        <v>670</v>
      </c>
      <c r="D146" s="9" t="s">
        <v>671</v>
      </c>
      <c r="E146" s="10" t="s">
        <v>21</v>
      </c>
      <c r="F146" s="9" t="s">
        <v>652</v>
      </c>
      <c r="G146" s="9"/>
    </row>
    <row r="147" customFormat="false" ht="15" hidden="false" customHeight="false" outlineLevel="0" collapsed="false">
      <c r="A147" s="9" t="n">
        <v>49</v>
      </c>
      <c r="B147" s="9" t="s">
        <v>672</v>
      </c>
      <c r="C147" s="10" t="s">
        <v>673</v>
      </c>
      <c r="D147" s="9" t="s">
        <v>674</v>
      </c>
      <c r="E147" s="10" t="s">
        <v>20</v>
      </c>
      <c r="F147" s="9" t="s">
        <v>652</v>
      </c>
      <c r="G147" s="9"/>
    </row>
    <row r="148" customFormat="false" ht="15" hidden="false" customHeight="false" outlineLevel="0" collapsed="false">
      <c r="A148" s="9" t="n">
        <v>49</v>
      </c>
      <c r="B148" s="9" t="s">
        <v>672</v>
      </c>
      <c r="C148" s="10" t="s">
        <v>675</v>
      </c>
      <c r="D148" s="9" t="s">
        <v>676</v>
      </c>
      <c r="E148" s="10" t="s">
        <v>20</v>
      </c>
      <c r="F148" s="9" t="s">
        <v>652</v>
      </c>
      <c r="G148" s="9"/>
    </row>
    <row r="149" customFormat="false" ht="15" hidden="false" customHeight="false" outlineLevel="0" collapsed="false">
      <c r="A149" s="9" t="n">
        <v>50</v>
      </c>
      <c r="B149" s="9" t="s">
        <v>677</v>
      </c>
      <c r="C149" s="10" t="s">
        <v>678</v>
      </c>
      <c r="D149" s="9" t="s">
        <v>679</v>
      </c>
      <c r="E149" s="10" t="s">
        <v>25</v>
      </c>
      <c r="F149" s="9" t="s">
        <v>652</v>
      </c>
      <c r="G149" s="9"/>
    </row>
    <row r="150" customFormat="false" ht="15" hidden="false" customHeight="false" outlineLevel="0" collapsed="false">
      <c r="A150" s="9" t="n">
        <v>50</v>
      </c>
      <c r="B150" s="9" t="s">
        <v>677</v>
      </c>
      <c r="C150" s="10" t="s">
        <v>680</v>
      </c>
      <c r="D150" s="9" t="s">
        <v>681</v>
      </c>
      <c r="E150" s="10" t="s">
        <v>25</v>
      </c>
      <c r="F150" s="9" t="s">
        <v>652</v>
      </c>
      <c r="G150" s="9"/>
    </row>
    <row r="151" customFormat="false" ht="15" hidden="false" customHeight="false" outlineLevel="0" collapsed="false">
      <c r="A151" s="9" t="n">
        <v>51</v>
      </c>
      <c r="B151" s="9" t="s">
        <v>682</v>
      </c>
      <c r="C151" s="10" t="s">
        <v>683</v>
      </c>
      <c r="D151" s="9" t="s">
        <v>684</v>
      </c>
      <c r="E151" s="10" t="s">
        <v>20</v>
      </c>
      <c r="F151" s="9" t="s">
        <v>652</v>
      </c>
      <c r="G151" s="9"/>
    </row>
    <row r="152" customFormat="false" ht="15" hidden="false" customHeight="false" outlineLevel="0" collapsed="false">
      <c r="A152" s="9" t="n">
        <v>51</v>
      </c>
      <c r="B152" s="9" t="s">
        <v>682</v>
      </c>
      <c r="C152" s="10" t="s">
        <v>685</v>
      </c>
      <c r="D152" s="9" t="s">
        <v>686</v>
      </c>
      <c r="E152" s="10" t="s">
        <v>20</v>
      </c>
      <c r="F152" s="9" t="s">
        <v>652</v>
      </c>
      <c r="G152" s="9"/>
    </row>
    <row r="153" customFormat="false" ht="15" hidden="false" customHeight="false" outlineLevel="0" collapsed="false">
      <c r="A153" s="9" t="n">
        <v>51</v>
      </c>
      <c r="B153" s="9" t="s">
        <v>682</v>
      </c>
      <c r="C153" s="10" t="s">
        <v>687</v>
      </c>
      <c r="D153" s="9" t="s">
        <v>688</v>
      </c>
      <c r="E153" s="10" t="s">
        <v>20</v>
      </c>
      <c r="F153" s="9" t="s">
        <v>652</v>
      </c>
      <c r="G153" s="9"/>
    </row>
    <row r="154" customFormat="false" ht="15" hidden="false" customHeight="false" outlineLevel="0" collapsed="false">
      <c r="A154" s="9" t="n">
        <v>51</v>
      </c>
      <c r="B154" s="9" t="s">
        <v>682</v>
      </c>
      <c r="C154" s="10" t="s">
        <v>689</v>
      </c>
      <c r="D154" s="9" t="s">
        <v>690</v>
      </c>
      <c r="E154" s="10" t="s">
        <v>20</v>
      </c>
      <c r="F154" s="9" t="s">
        <v>652</v>
      </c>
      <c r="G154" s="9"/>
    </row>
    <row r="155" customFormat="false" ht="15" hidden="false" customHeight="false" outlineLevel="0" collapsed="false">
      <c r="A155" s="9" t="n">
        <v>52</v>
      </c>
      <c r="B155" s="9" t="s">
        <v>691</v>
      </c>
      <c r="C155" s="10" t="s">
        <v>692</v>
      </c>
      <c r="D155" s="9" t="s">
        <v>693</v>
      </c>
      <c r="E155" s="10" t="s">
        <v>20</v>
      </c>
      <c r="F155" s="9" t="s">
        <v>652</v>
      </c>
      <c r="G155" s="9"/>
    </row>
    <row r="156" customFormat="false" ht="15" hidden="false" customHeight="false" outlineLevel="0" collapsed="false">
      <c r="A156" s="9" t="n">
        <v>52</v>
      </c>
      <c r="B156" s="9" t="s">
        <v>691</v>
      </c>
      <c r="C156" s="10" t="s">
        <v>694</v>
      </c>
      <c r="D156" s="9" t="s">
        <v>695</v>
      </c>
      <c r="E156" s="10" t="s">
        <v>20</v>
      </c>
      <c r="F156" s="9" t="s">
        <v>652</v>
      </c>
      <c r="G156" s="9"/>
    </row>
    <row r="157" customFormat="false" ht="15" hidden="false" customHeight="false" outlineLevel="0" collapsed="false">
      <c r="A157" s="9" t="n">
        <v>52</v>
      </c>
      <c r="B157" s="9" t="s">
        <v>691</v>
      </c>
      <c r="C157" s="10" t="s">
        <v>696</v>
      </c>
      <c r="D157" s="9" t="s">
        <v>697</v>
      </c>
      <c r="E157" s="10" t="s">
        <v>20</v>
      </c>
      <c r="F157" s="9" t="s">
        <v>652</v>
      </c>
      <c r="G157" s="9"/>
    </row>
    <row r="158" customFormat="false" ht="15" hidden="false" customHeight="false" outlineLevel="0" collapsed="false">
      <c r="A158" s="9" t="n">
        <v>52</v>
      </c>
      <c r="B158" s="9" t="s">
        <v>691</v>
      </c>
      <c r="C158" s="10" t="s">
        <v>698</v>
      </c>
      <c r="D158" s="9" t="s">
        <v>699</v>
      </c>
      <c r="E158" s="10" t="s">
        <v>20</v>
      </c>
      <c r="F158" s="9" t="s">
        <v>652</v>
      </c>
      <c r="G158" s="9"/>
    </row>
    <row r="159" customFormat="false" ht="15" hidden="false" customHeight="false" outlineLevel="0" collapsed="false">
      <c r="A159" s="9" t="n">
        <v>52</v>
      </c>
      <c r="B159" s="9" t="s">
        <v>691</v>
      </c>
      <c r="C159" s="10" t="s">
        <v>700</v>
      </c>
      <c r="D159" s="9" t="s">
        <v>701</v>
      </c>
      <c r="E159" s="10" t="s">
        <v>20</v>
      </c>
      <c r="F159" s="9" t="s">
        <v>652</v>
      </c>
      <c r="G159" s="9"/>
    </row>
    <row r="160" customFormat="false" ht="15" hidden="false" customHeight="false" outlineLevel="0" collapsed="false">
      <c r="A160" s="9" t="n">
        <v>52</v>
      </c>
      <c r="B160" s="9" t="s">
        <v>691</v>
      </c>
      <c r="C160" s="10" t="s">
        <v>702</v>
      </c>
      <c r="D160" s="9" t="s">
        <v>703</v>
      </c>
      <c r="E160" s="10" t="s">
        <v>20</v>
      </c>
      <c r="F160" s="9" t="s">
        <v>652</v>
      </c>
      <c r="G160" s="9"/>
    </row>
    <row r="161" customFormat="false" ht="15" hidden="false" customHeight="false" outlineLevel="0" collapsed="false">
      <c r="A161" s="9" t="n">
        <v>53</v>
      </c>
      <c r="B161" s="9" t="s">
        <v>704</v>
      </c>
      <c r="C161" s="10" t="s">
        <v>705</v>
      </c>
      <c r="D161" s="9" t="s">
        <v>706</v>
      </c>
      <c r="E161" s="10" t="s">
        <v>20</v>
      </c>
      <c r="F161" s="9" t="s">
        <v>652</v>
      </c>
      <c r="G161" s="9"/>
    </row>
    <row r="162" customFormat="false" ht="15" hidden="false" customHeight="false" outlineLevel="0" collapsed="false">
      <c r="A162" s="9" t="n">
        <v>53</v>
      </c>
      <c r="B162" s="9" t="s">
        <v>704</v>
      </c>
      <c r="C162" s="10" t="s">
        <v>707</v>
      </c>
      <c r="D162" s="9" t="s">
        <v>708</v>
      </c>
      <c r="E162" s="10" t="s">
        <v>20</v>
      </c>
      <c r="F162" s="9" t="s">
        <v>652</v>
      </c>
      <c r="G162" s="9"/>
    </row>
    <row r="163" customFormat="false" ht="15" hidden="false" customHeight="false" outlineLevel="0" collapsed="false">
      <c r="A163" s="9" t="n">
        <v>53</v>
      </c>
      <c r="B163" s="9" t="s">
        <v>704</v>
      </c>
      <c r="C163" s="10" t="s">
        <v>709</v>
      </c>
      <c r="D163" s="9" t="s">
        <v>710</v>
      </c>
      <c r="E163" s="10" t="s">
        <v>20</v>
      </c>
      <c r="F163" s="9" t="s">
        <v>652</v>
      </c>
      <c r="G163" s="9"/>
    </row>
    <row r="164" customFormat="false" ht="15" hidden="false" customHeight="false" outlineLevel="0" collapsed="false">
      <c r="A164" s="9" t="n">
        <v>54</v>
      </c>
      <c r="B164" s="9" t="s">
        <v>711</v>
      </c>
      <c r="C164" s="10" t="s">
        <v>712</v>
      </c>
      <c r="D164" s="9" t="s">
        <v>713</v>
      </c>
      <c r="E164" s="10" t="s">
        <v>25</v>
      </c>
      <c r="F164" s="9" t="s">
        <v>652</v>
      </c>
      <c r="G164" s="9" t="s">
        <v>714</v>
      </c>
    </row>
    <row r="165" customFormat="false" ht="15" hidden="false" customHeight="false" outlineLevel="0" collapsed="false">
      <c r="A165" s="9" t="n">
        <v>55</v>
      </c>
      <c r="B165" s="9" t="s">
        <v>715</v>
      </c>
      <c r="C165" s="10" t="s">
        <v>716</v>
      </c>
      <c r="D165" s="9" t="s">
        <v>717</v>
      </c>
      <c r="E165" s="10" t="s">
        <v>25</v>
      </c>
      <c r="F165" s="9" t="s">
        <v>652</v>
      </c>
      <c r="G165" s="9"/>
    </row>
    <row r="166" customFormat="false" ht="15" hidden="false" customHeight="false" outlineLevel="0" collapsed="false">
      <c r="A166" s="9" t="n">
        <v>55</v>
      </c>
      <c r="B166" s="9" t="s">
        <v>715</v>
      </c>
      <c r="C166" s="10" t="s">
        <v>718</v>
      </c>
      <c r="D166" s="9" t="s">
        <v>719</v>
      </c>
      <c r="E166" s="10" t="s">
        <v>25</v>
      </c>
      <c r="F166" s="9" t="s">
        <v>652</v>
      </c>
      <c r="G166" s="9"/>
    </row>
    <row r="167" customFormat="false" ht="15" hidden="false" customHeight="false" outlineLevel="0" collapsed="false">
      <c r="A167" s="9" t="n">
        <v>56</v>
      </c>
      <c r="B167" s="9" t="s">
        <v>720</v>
      </c>
      <c r="C167" s="10" t="s">
        <v>721</v>
      </c>
      <c r="D167" s="9" t="s">
        <v>722</v>
      </c>
      <c r="E167" s="10" t="s">
        <v>23</v>
      </c>
      <c r="F167" s="9" t="s">
        <v>652</v>
      </c>
      <c r="G167" s="9"/>
    </row>
    <row r="168" customFormat="false" ht="15" hidden="false" customHeight="false" outlineLevel="0" collapsed="false">
      <c r="A168" s="9" t="n">
        <v>56</v>
      </c>
      <c r="B168" s="9" t="s">
        <v>720</v>
      </c>
      <c r="C168" s="10" t="s">
        <v>723</v>
      </c>
      <c r="D168" s="9" t="s">
        <v>724</v>
      </c>
      <c r="E168" s="10" t="s">
        <v>23</v>
      </c>
      <c r="F168" s="9" t="s">
        <v>652</v>
      </c>
      <c r="G168" s="9"/>
    </row>
    <row r="169" customFormat="false" ht="15" hidden="false" customHeight="false" outlineLevel="0" collapsed="false">
      <c r="A169" s="9" t="n">
        <v>57</v>
      </c>
      <c r="B169" s="9" t="s">
        <v>725</v>
      </c>
      <c r="C169" s="10" t="s">
        <v>726</v>
      </c>
      <c r="D169" s="9" t="s">
        <v>727</v>
      </c>
      <c r="E169" s="10" t="s">
        <v>21</v>
      </c>
      <c r="F169" s="9" t="s">
        <v>652</v>
      </c>
      <c r="G169" s="9"/>
    </row>
    <row r="170" customFormat="false" ht="15" hidden="false" customHeight="false" outlineLevel="0" collapsed="false">
      <c r="A170" s="9" t="n">
        <v>57</v>
      </c>
      <c r="B170" s="9" t="s">
        <v>725</v>
      </c>
      <c r="C170" s="10" t="s">
        <v>728</v>
      </c>
      <c r="D170" s="9" t="s">
        <v>729</v>
      </c>
      <c r="E170" s="10" t="s">
        <v>21</v>
      </c>
      <c r="F170" s="9" t="s">
        <v>652</v>
      </c>
      <c r="G170" s="9"/>
    </row>
    <row r="171" customFormat="false" ht="15" hidden="false" customHeight="false" outlineLevel="0" collapsed="false">
      <c r="A171" s="9" t="n">
        <v>57</v>
      </c>
      <c r="B171" s="9" t="s">
        <v>725</v>
      </c>
      <c r="C171" s="10" t="s">
        <v>730</v>
      </c>
      <c r="D171" s="9" t="s">
        <v>731</v>
      </c>
      <c r="E171" s="10" t="s">
        <v>21</v>
      </c>
      <c r="F171" s="9" t="s">
        <v>652</v>
      </c>
      <c r="G171" s="9"/>
    </row>
    <row r="172" customFormat="false" ht="15" hidden="false" customHeight="false" outlineLevel="0" collapsed="false">
      <c r="A172" s="9" t="n">
        <v>58</v>
      </c>
      <c r="B172" s="9" t="s">
        <v>732</v>
      </c>
      <c r="C172" s="10" t="s">
        <v>733</v>
      </c>
      <c r="D172" s="9" t="s">
        <v>734</v>
      </c>
      <c r="E172" s="10" t="s">
        <v>21</v>
      </c>
      <c r="F172" s="9" t="s">
        <v>652</v>
      </c>
      <c r="G172" s="9" t="s">
        <v>735</v>
      </c>
    </row>
    <row r="173" customFormat="false" ht="15" hidden="false" customHeight="false" outlineLevel="0" collapsed="false">
      <c r="A173" s="9" t="n">
        <v>59</v>
      </c>
      <c r="B173" s="9" t="s">
        <v>736</v>
      </c>
      <c r="C173" s="10" t="s">
        <v>737</v>
      </c>
      <c r="D173" s="9" t="s">
        <v>738</v>
      </c>
      <c r="E173" s="10" t="s">
        <v>21</v>
      </c>
      <c r="F173" s="9" t="s">
        <v>652</v>
      </c>
      <c r="G173" s="9"/>
    </row>
    <row r="174" customFormat="false" ht="15" hidden="false" customHeight="false" outlineLevel="0" collapsed="false">
      <c r="A174" s="9" t="n">
        <v>59</v>
      </c>
      <c r="B174" s="9" t="s">
        <v>736</v>
      </c>
      <c r="C174" s="10" t="s">
        <v>739</v>
      </c>
      <c r="D174" s="9" t="s">
        <v>740</v>
      </c>
      <c r="E174" s="10" t="s">
        <v>21</v>
      </c>
      <c r="F174" s="9" t="s">
        <v>652</v>
      </c>
      <c r="G174" s="9"/>
    </row>
    <row r="175" customFormat="false" ht="15" hidden="false" customHeight="false" outlineLevel="0" collapsed="false">
      <c r="A175" s="9" t="n">
        <v>59</v>
      </c>
      <c r="B175" s="9" t="s">
        <v>736</v>
      </c>
      <c r="C175" s="10" t="s">
        <v>741</v>
      </c>
      <c r="D175" s="9" t="s">
        <v>742</v>
      </c>
      <c r="E175" s="10" t="s">
        <v>20</v>
      </c>
      <c r="F175" s="9" t="s">
        <v>652</v>
      </c>
      <c r="G175" s="9"/>
    </row>
    <row r="176" customFormat="false" ht="15" hidden="false" customHeight="false" outlineLevel="0" collapsed="false">
      <c r="A176" s="9" t="n">
        <v>59</v>
      </c>
      <c r="B176" s="9" t="s">
        <v>736</v>
      </c>
      <c r="C176" s="10" t="s">
        <v>743</v>
      </c>
      <c r="D176" s="9" t="s">
        <v>744</v>
      </c>
      <c r="E176" s="10" t="s">
        <v>20</v>
      </c>
      <c r="F176" s="9" t="s">
        <v>652</v>
      </c>
      <c r="G176" s="9"/>
    </row>
    <row r="177" customFormat="false" ht="15" hidden="false" customHeight="false" outlineLevel="0" collapsed="false">
      <c r="A177" s="9" t="n">
        <v>60</v>
      </c>
      <c r="B177" s="9" t="s">
        <v>745</v>
      </c>
      <c r="C177" s="10" t="s">
        <v>746</v>
      </c>
      <c r="D177" s="9" t="s">
        <v>745</v>
      </c>
      <c r="E177" s="10" t="s">
        <v>20</v>
      </c>
      <c r="F177" s="9" t="s">
        <v>652</v>
      </c>
      <c r="G177" s="9" t="s">
        <v>747</v>
      </c>
    </row>
    <row r="178" customFormat="false" ht="15" hidden="false" customHeight="false" outlineLevel="0" collapsed="false">
      <c r="A178" s="9" t="n">
        <v>61</v>
      </c>
      <c r="B178" s="9" t="s">
        <v>748</v>
      </c>
      <c r="C178" s="10" t="s">
        <v>749</v>
      </c>
      <c r="D178" s="9" t="s">
        <v>750</v>
      </c>
      <c r="E178" s="10" t="s">
        <v>20</v>
      </c>
      <c r="F178" s="9" t="s">
        <v>652</v>
      </c>
      <c r="G178" s="9"/>
    </row>
    <row r="179" customFormat="false" ht="15" hidden="false" customHeight="false" outlineLevel="0" collapsed="false">
      <c r="A179" s="9" t="n">
        <v>61</v>
      </c>
      <c r="B179" s="9" t="s">
        <v>748</v>
      </c>
      <c r="C179" s="10" t="s">
        <v>751</v>
      </c>
      <c r="D179" s="9" t="s">
        <v>752</v>
      </c>
      <c r="E179" s="10" t="s">
        <v>20</v>
      </c>
      <c r="F179" s="9" t="s">
        <v>652</v>
      </c>
      <c r="G179" s="9"/>
    </row>
    <row r="180" customFormat="false" ht="15" hidden="false" customHeight="false" outlineLevel="0" collapsed="false">
      <c r="A180" s="9" t="n">
        <v>62</v>
      </c>
      <c r="B180" s="9" t="s">
        <v>753</v>
      </c>
      <c r="C180" s="10" t="s">
        <v>754</v>
      </c>
      <c r="D180" s="9" t="s">
        <v>755</v>
      </c>
      <c r="E180" s="10" t="s">
        <v>20</v>
      </c>
      <c r="F180" s="9" t="s">
        <v>652</v>
      </c>
      <c r="G180" s="9"/>
    </row>
    <row r="181" customFormat="false" ht="15" hidden="false" customHeight="false" outlineLevel="0" collapsed="false">
      <c r="A181" s="9" t="n">
        <v>62</v>
      </c>
      <c r="B181" s="9" t="s">
        <v>753</v>
      </c>
      <c r="C181" s="10" t="s">
        <v>756</v>
      </c>
      <c r="D181" s="9" t="s">
        <v>757</v>
      </c>
      <c r="E181" s="10" t="s">
        <v>20</v>
      </c>
      <c r="F181" s="9" t="s">
        <v>652</v>
      </c>
      <c r="G181" s="9"/>
    </row>
    <row r="182" customFormat="false" ht="15" hidden="false" customHeight="false" outlineLevel="0" collapsed="false">
      <c r="A182" s="9" t="n">
        <v>63</v>
      </c>
      <c r="B182" s="9" t="s">
        <v>758</v>
      </c>
      <c r="C182" s="10" t="s">
        <v>759</v>
      </c>
      <c r="D182" s="9" t="s">
        <v>760</v>
      </c>
      <c r="E182" s="10" t="s">
        <v>20</v>
      </c>
      <c r="F182" s="9" t="s">
        <v>652</v>
      </c>
      <c r="G182" s="9" t="s">
        <v>761</v>
      </c>
    </row>
    <row r="183" customFormat="false" ht="15" hidden="false" customHeight="false" outlineLevel="0" collapsed="false">
      <c r="A183" s="9" t="n">
        <v>64</v>
      </c>
      <c r="B183" s="9" t="s">
        <v>762</v>
      </c>
      <c r="C183" s="10" t="s">
        <v>763</v>
      </c>
      <c r="D183" s="9" t="s">
        <v>764</v>
      </c>
      <c r="E183" s="10" t="s">
        <v>25</v>
      </c>
      <c r="F183" s="9" t="s">
        <v>86</v>
      </c>
      <c r="G183" s="9"/>
    </row>
    <row r="184" customFormat="false" ht="15" hidden="false" customHeight="false" outlineLevel="0" collapsed="false">
      <c r="A184" s="9" t="n">
        <v>64</v>
      </c>
      <c r="B184" s="9" t="s">
        <v>762</v>
      </c>
      <c r="C184" s="10" t="s">
        <v>765</v>
      </c>
      <c r="D184" s="9" t="s">
        <v>766</v>
      </c>
      <c r="E184" s="10" t="s">
        <v>25</v>
      </c>
      <c r="F184" s="9" t="s">
        <v>86</v>
      </c>
      <c r="G184" s="9"/>
    </row>
    <row r="185" customFormat="false" ht="15" hidden="false" customHeight="false" outlineLevel="0" collapsed="false">
      <c r="A185" s="9" t="n">
        <v>64</v>
      </c>
      <c r="B185" s="9" t="s">
        <v>762</v>
      </c>
      <c r="C185" s="10" t="s">
        <v>767</v>
      </c>
      <c r="D185" s="9" t="s">
        <v>768</v>
      </c>
      <c r="E185" s="10" t="s">
        <v>25</v>
      </c>
      <c r="F185" s="9" t="s">
        <v>86</v>
      </c>
      <c r="G185" s="9"/>
    </row>
    <row r="186" customFormat="false" ht="15" hidden="false" customHeight="false" outlineLevel="0" collapsed="false">
      <c r="A186" s="9" t="n">
        <v>64</v>
      </c>
      <c r="B186" s="9" t="s">
        <v>762</v>
      </c>
      <c r="C186" s="10" t="s">
        <v>769</v>
      </c>
      <c r="D186" s="9" t="s">
        <v>770</v>
      </c>
      <c r="E186" s="10" t="s">
        <v>25</v>
      </c>
      <c r="F186" s="9" t="s">
        <v>86</v>
      </c>
      <c r="G186" s="9"/>
    </row>
    <row r="187" customFormat="false" ht="15" hidden="false" customHeight="false" outlineLevel="0" collapsed="false">
      <c r="A187" s="9" t="n">
        <v>64</v>
      </c>
      <c r="B187" s="9" t="s">
        <v>762</v>
      </c>
      <c r="C187" s="10" t="s">
        <v>771</v>
      </c>
      <c r="D187" s="9" t="s">
        <v>772</v>
      </c>
      <c r="E187" s="10" t="s">
        <v>25</v>
      </c>
      <c r="F187" s="9" t="s">
        <v>86</v>
      </c>
      <c r="G187" s="9"/>
    </row>
    <row r="188" customFormat="false" ht="15" hidden="false" customHeight="false" outlineLevel="0" collapsed="false">
      <c r="A188" s="9" t="n">
        <v>64</v>
      </c>
      <c r="B188" s="9" t="s">
        <v>762</v>
      </c>
      <c r="C188" s="10" t="s">
        <v>773</v>
      </c>
      <c r="D188" s="9" t="s">
        <v>774</v>
      </c>
      <c r="E188" s="10" t="s">
        <v>25</v>
      </c>
      <c r="F188" s="9" t="s">
        <v>86</v>
      </c>
      <c r="G188" s="9"/>
    </row>
    <row r="189" customFormat="false" ht="15" hidden="false" customHeight="false" outlineLevel="0" collapsed="false">
      <c r="A189" s="9" t="n">
        <v>64</v>
      </c>
      <c r="B189" s="9" t="s">
        <v>762</v>
      </c>
      <c r="C189" s="10" t="s">
        <v>775</v>
      </c>
      <c r="D189" s="9" t="s">
        <v>776</v>
      </c>
      <c r="E189" s="10" t="s">
        <v>22</v>
      </c>
      <c r="F189" s="9" t="s">
        <v>86</v>
      </c>
      <c r="G189" s="9" t="s">
        <v>776</v>
      </c>
    </row>
    <row r="190" customFormat="false" ht="15" hidden="false" customHeight="false" outlineLevel="0" collapsed="false">
      <c r="A190" s="9" t="n">
        <v>64</v>
      </c>
      <c r="B190" s="9" t="s">
        <v>762</v>
      </c>
      <c r="C190" s="10" t="s">
        <v>777</v>
      </c>
      <c r="D190" s="9" t="s">
        <v>778</v>
      </c>
      <c r="E190" s="10" t="s">
        <v>25</v>
      </c>
      <c r="F190" s="9" t="s">
        <v>86</v>
      </c>
      <c r="G190" s="9"/>
    </row>
    <row r="191" customFormat="false" ht="15" hidden="false" customHeight="false" outlineLevel="0" collapsed="false">
      <c r="A191" s="9" t="n">
        <v>64</v>
      </c>
      <c r="B191" s="9" t="s">
        <v>762</v>
      </c>
      <c r="C191" s="10" t="s">
        <v>779</v>
      </c>
      <c r="D191" s="9" t="s">
        <v>780</v>
      </c>
      <c r="E191" s="10" t="s">
        <v>25</v>
      </c>
      <c r="F191" s="9" t="s">
        <v>86</v>
      </c>
      <c r="G191" s="9"/>
    </row>
    <row r="192" customFormat="false" ht="15" hidden="false" customHeight="false" outlineLevel="0" collapsed="false">
      <c r="A192" s="9" t="n">
        <v>65</v>
      </c>
      <c r="B192" s="9" t="s">
        <v>781</v>
      </c>
      <c r="C192" s="10" t="s">
        <v>782</v>
      </c>
      <c r="D192" s="9" t="s">
        <v>783</v>
      </c>
      <c r="E192" s="10" t="s">
        <v>21</v>
      </c>
      <c r="F192" s="9" t="s">
        <v>86</v>
      </c>
      <c r="G192" s="9" t="s">
        <v>784</v>
      </c>
    </row>
    <row r="193" customFormat="false" ht="15" hidden="false" customHeight="false" outlineLevel="0" collapsed="false">
      <c r="A193" s="9" t="n">
        <v>66</v>
      </c>
      <c r="B193" s="9" t="s">
        <v>785</v>
      </c>
      <c r="C193" s="10" t="s">
        <v>786</v>
      </c>
      <c r="D193" s="9" t="s">
        <v>787</v>
      </c>
      <c r="E193" s="10" t="s">
        <v>20</v>
      </c>
      <c r="F193" s="9" t="s">
        <v>86</v>
      </c>
      <c r="G193" s="9"/>
    </row>
    <row r="194" customFormat="false" ht="15" hidden="false" customHeight="false" outlineLevel="0" collapsed="false">
      <c r="A194" s="9" t="n">
        <v>66</v>
      </c>
      <c r="B194" s="9" t="s">
        <v>785</v>
      </c>
      <c r="C194" s="10" t="s">
        <v>788</v>
      </c>
      <c r="D194" s="9" t="s">
        <v>789</v>
      </c>
      <c r="E194" s="10" t="s">
        <v>20</v>
      </c>
      <c r="F194" s="9" t="s">
        <v>86</v>
      </c>
      <c r="G194" s="9"/>
    </row>
    <row r="195" customFormat="false" ht="15" hidden="false" customHeight="false" outlineLevel="0" collapsed="false">
      <c r="A195" s="9" t="n">
        <v>66</v>
      </c>
      <c r="B195" s="9" t="s">
        <v>785</v>
      </c>
      <c r="C195" s="10" t="s">
        <v>790</v>
      </c>
      <c r="D195" s="9" t="s">
        <v>791</v>
      </c>
      <c r="E195" s="10" t="s">
        <v>20</v>
      </c>
      <c r="F195" s="9" t="s">
        <v>86</v>
      </c>
      <c r="G195" s="9"/>
    </row>
    <row r="196" customFormat="false" ht="15" hidden="false" customHeight="false" outlineLevel="0" collapsed="false">
      <c r="A196" s="9" t="n">
        <v>67</v>
      </c>
      <c r="B196" s="9" t="s">
        <v>792</v>
      </c>
      <c r="C196" s="10" t="s">
        <v>793</v>
      </c>
      <c r="D196" s="9" t="s">
        <v>794</v>
      </c>
      <c r="E196" s="10" t="s">
        <v>20</v>
      </c>
      <c r="F196" s="9" t="s">
        <v>86</v>
      </c>
      <c r="G196" s="9" t="s">
        <v>795</v>
      </c>
    </row>
    <row r="197" customFormat="false" ht="15" hidden="false" customHeight="false" outlineLevel="0" collapsed="false">
      <c r="A197" s="9" t="n">
        <v>68</v>
      </c>
      <c r="B197" s="9" t="s">
        <v>796</v>
      </c>
      <c r="C197" s="10" t="s">
        <v>797</v>
      </c>
      <c r="D197" s="9" t="s">
        <v>798</v>
      </c>
      <c r="E197" s="10" t="s">
        <v>20</v>
      </c>
      <c r="F197" s="9" t="s">
        <v>86</v>
      </c>
      <c r="G197" s="9" t="s">
        <v>799</v>
      </c>
    </row>
    <row r="198" customFormat="false" ht="15" hidden="false" customHeight="false" outlineLevel="0" collapsed="false">
      <c r="A198" s="9" t="n">
        <v>69</v>
      </c>
      <c r="B198" s="9" t="s">
        <v>800</v>
      </c>
      <c r="C198" s="10" t="s">
        <v>801</v>
      </c>
      <c r="D198" s="9" t="s">
        <v>802</v>
      </c>
      <c r="E198" s="10" t="s">
        <v>24</v>
      </c>
      <c r="F198" s="9" t="s">
        <v>803</v>
      </c>
      <c r="G198" s="9"/>
    </row>
    <row r="199" customFormat="false" ht="15" hidden="false" customHeight="false" outlineLevel="0" collapsed="false">
      <c r="A199" s="9" t="n">
        <v>69</v>
      </c>
      <c r="B199" s="9" t="s">
        <v>800</v>
      </c>
      <c r="C199" s="10" t="s">
        <v>804</v>
      </c>
      <c r="D199" s="9" t="s">
        <v>805</v>
      </c>
      <c r="E199" s="10" t="s">
        <v>24</v>
      </c>
      <c r="F199" s="9" t="s">
        <v>803</v>
      </c>
      <c r="G199" s="9"/>
    </row>
    <row r="200" customFormat="false" ht="15" hidden="false" customHeight="false" outlineLevel="0" collapsed="false">
      <c r="A200" s="9" t="n">
        <v>70</v>
      </c>
      <c r="B200" s="9" t="s">
        <v>806</v>
      </c>
      <c r="C200" s="10" t="s">
        <v>807</v>
      </c>
      <c r="D200" s="9" t="s">
        <v>808</v>
      </c>
      <c r="E200" s="10" t="s">
        <v>26</v>
      </c>
      <c r="F200" s="9" t="s">
        <v>803</v>
      </c>
      <c r="G200" s="9"/>
    </row>
    <row r="201" customFormat="false" ht="15" hidden="false" customHeight="false" outlineLevel="0" collapsed="false">
      <c r="A201" s="9" t="n">
        <v>70</v>
      </c>
      <c r="B201" s="9" t="s">
        <v>806</v>
      </c>
      <c r="C201" s="10" t="s">
        <v>809</v>
      </c>
      <c r="D201" s="9" t="s">
        <v>810</v>
      </c>
      <c r="E201" s="10" t="s">
        <v>26</v>
      </c>
      <c r="F201" s="9" t="s">
        <v>803</v>
      </c>
      <c r="G201" s="9"/>
    </row>
    <row r="202" customFormat="false" ht="15" hidden="false" customHeight="false" outlineLevel="0" collapsed="false">
      <c r="A202" s="9" t="n">
        <v>70</v>
      </c>
      <c r="B202" s="9" t="s">
        <v>806</v>
      </c>
      <c r="C202" s="10" t="s">
        <v>811</v>
      </c>
      <c r="D202" s="9" t="s">
        <v>812</v>
      </c>
      <c r="E202" s="10" t="s">
        <v>26</v>
      </c>
      <c r="F202" s="9" t="s">
        <v>803</v>
      </c>
      <c r="G202" s="9"/>
    </row>
    <row r="203" customFormat="false" ht="15" hidden="false" customHeight="false" outlineLevel="0" collapsed="false">
      <c r="A203" s="9" t="n">
        <v>71</v>
      </c>
      <c r="B203" s="9" t="s">
        <v>813</v>
      </c>
      <c r="C203" s="10" t="s">
        <v>814</v>
      </c>
      <c r="D203" s="9" t="s">
        <v>815</v>
      </c>
      <c r="E203" s="10" t="s">
        <v>26</v>
      </c>
      <c r="F203" s="9" t="s">
        <v>803</v>
      </c>
      <c r="G203" s="9"/>
    </row>
    <row r="204" customFormat="false" ht="15" hidden="false" customHeight="false" outlineLevel="0" collapsed="false">
      <c r="A204" s="9" t="n">
        <v>71</v>
      </c>
      <c r="B204" s="9" t="s">
        <v>813</v>
      </c>
      <c r="C204" s="10" t="s">
        <v>816</v>
      </c>
      <c r="D204" s="9" t="s">
        <v>817</v>
      </c>
      <c r="E204" s="10" t="s">
        <v>26</v>
      </c>
      <c r="F204" s="9" t="s">
        <v>803</v>
      </c>
      <c r="G204" s="9"/>
    </row>
    <row r="205" customFormat="false" ht="15" hidden="false" customHeight="false" outlineLevel="0" collapsed="false">
      <c r="A205" s="9" t="n">
        <v>71</v>
      </c>
      <c r="B205" s="9" t="s">
        <v>813</v>
      </c>
      <c r="C205" s="10" t="s">
        <v>818</v>
      </c>
      <c r="D205" s="9" t="s">
        <v>819</v>
      </c>
      <c r="E205" s="10" t="s">
        <v>26</v>
      </c>
      <c r="F205" s="9" t="s">
        <v>803</v>
      </c>
      <c r="G205" s="9"/>
    </row>
    <row r="206" customFormat="false" ht="26.85" hidden="false" customHeight="false" outlineLevel="0" collapsed="false">
      <c r="A206" s="9" t="n">
        <v>72</v>
      </c>
      <c r="B206" s="9" t="s">
        <v>820</v>
      </c>
      <c r="C206" s="10" t="s">
        <v>821</v>
      </c>
      <c r="D206" s="9" t="s">
        <v>822</v>
      </c>
      <c r="E206" s="10" t="s">
        <v>26</v>
      </c>
      <c r="F206" s="9" t="s">
        <v>803</v>
      </c>
      <c r="G206" s="9"/>
    </row>
    <row r="207" customFormat="false" ht="26.85" hidden="false" customHeight="false" outlineLevel="0" collapsed="false">
      <c r="A207" s="9" t="n">
        <v>72</v>
      </c>
      <c r="B207" s="9" t="s">
        <v>820</v>
      </c>
      <c r="C207" s="10" t="s">
        <v>823</v>
      </c>
      <c r="D207" s="9" t="s">
        <v>824</v>
      </c>
      <c r="E207" s="10" t="s">
        <v>26</v>
      </c>
      <c r="F207" s="9" t="s">
        <v>803</v>
      </c>
      <c r="G207" s="9"/>
    </row>
    <row r="208" customFormat="false" ht="26.85" hidden="false" customHeight="false" outlineLevel="0" collapsed="false">
      <c r="A208" s="9" t="n">
        <v>72</v>
      </c>
      <c r="B208" s="9" t="s">
        <v>820</v>
      </c>
      <c r="C208" s="10" t="s">
        <v>825</v>
      </c>
      <c r="D208" s="9" t="s">
        <v>826</v>
      </c>
      <c r="E208" s="10" t="s">
        <v>26</v>
      </c>
      <c r="F208" s="9" t="s">
        <v>803</v>
      </c>
      <c r="G208" s="9"/>
    </row>
    <row r="209" customFormat="false" ht="26.85" hidden="false" customHeight="false" outlineLevel="0" collapsed="false">
      <c r="A209" s="9" t="n">
        <v>72</v>
      </c>
      <c r="B209" s="9" t="s">
        <v>820</v>
      </c>
      <c r="C209" s="10" t="s">
        <v>827</v>
      </c>
      <c r="D209" s="9" t="s">
        <v>828</v>
      </c>
      <c r="E209" s="10" t="s">
        <v>26</v>
      </c>
      <c r="F209" s="9" t="s">
        <v>803</v>
      </c>
      <c r="G209" s="9"/>
    </row>
    <row r="210" customFormat="false" ht="15" hidden="false" customHeight="false" outlineLevel="0" collapsed="false">
      <c r="A210" s="9" t="n">
        <v>73</v>
      </c>
      <c r="B210" s="9" t="s">
        <v>829</v>
      </c>
      <c r="C210" s="10" t="s">
        <v>830</v>
      </c>
      <c r="D210" s="9" t="s">
        <v>831</v>
      </c>
      <c r="E210" s="10" t="s">
        <v>25</v>
      </c>
      <c r="F210" s="9" t="s">
        <v>803</v>
      </c>
      <c r="G210" s="9" t="s">
        <v>832</v>
      </c>
    </row>
    <row r="211" customFormat="false" ht="15" hidden="false" customHeight="false" outlineLevel="0" collapsed="false">
      <c r="A211" s="9" t="n">
        <v>73</v>
      </c>
      <c r="B211" s="9" t="s">
        <v>829</v>
      </c>
      <c r="C211" s="10" t="s">
        <v>833</v>
      </c>
      <c r="D211" s="9" t="s">
        <v>834</v>
      </c>
      <c r="E211" s="10" t="s">
        <v>24</v>
      </c>
      <c r="F211" s="9" t="s">
        <v>803</v>
      </c>
      <c r="G211" s="9" t="s">
        <v>835</v>
      </c>
    </row>
    <row r="212" customFormat="false" ht="15" hidden="false" customHeight="false" outlineLevel="0" collapsed="false">
      <c r="A212" s="9" t="n">
        <v>74</v>
      </c>
      <c r="B212" s="9" t="s">
        <v>836</v>
      </c>
      <c r="C212" s="10" t="s">
        <v>837</v>
      </c>
      <c r="D212" s="9" t="s">
        <v>838</v>
      </c>
      <c r="E212" s="10" t="s">
        <v>26</v>
      </c>
      <c r="F212" s="9" t="s">
        <v>803</v>
      </c>
      <c r="G212" s="9"/>
    </row>
    <row r="213" customFormat="false" ht="26.85" hidden="false" customHeight="false" outlineLevel="0" collapsed="false">
      <c r="A213" s="9" t="n">
        <v>74</v>
      </c>
      <c r="B213" s="9" t="s">
        <v>836</v>
      </c>
      <c r="C213" s="10" t="s">
        <v>839</v>
      </c>
      <c r="D213" s="9" t="s">
        <v>840</v>
      </c>
      <c r="E213" s="10" t="s">
        <v>26</v>
      </c>
      <c r="F213" s="9" t="s">
        <v>803</v>
      </c>
      <c r="G213" s="9"/>
    </row>
    <row r="214" customFormat="false" ht="15" hidden="false" customHeight="false" outlineLevel="0" collapsed="false">
      <c r="A214" s="9" t="n">
        <v>74</v>
      </c>
      <c r="B214" s="9" t="s">
        <v>836</v>
      </c>
      <c r="C214" s="10" t="s">
        <v>841</v>
      </c>
      <c r="D214" s="9" t="s">
        <v>842</v>
      </c>
      <c r="E214" s="10" t="s">
        <v>26</v>
      </c>
      <c r="F214" s="9" t="s">
        <v>803</v>
      </c>
      <c r="G214" s="9"/>
    </row>
    <row r="215" customFormat="false" ht="26.85" hidden="false" customHeight="false" outlineLevel="0" collapsed="false">
      <c r="A215" s="9" t="n">
        <v>75</v>
      </c>
      <c r="B215" s="9" t="s">
        <v>843</v>
      </c>
      <c r="C215" s="10" t="s">
        <v>844</v>
      </c>
      <c r="D215" s="9" t="s">
        <v>845</v>
      </c>
      <c r="E215" s="10" t="s">
        <v>26</v>
      </c>
      <c r="F215" s="9" t="s">
        <v>803</v>
      </c>
      <c r="G215" s="9"/>
    </row>
    <row r="216" customFormat="false" ht="26.85" hidden="false" customHeight="false" outlineLevel="0" collapsed="false">
      <c r="A216" s="9" t="n">
        <v>75</v>
      </c>
      <c r="B216" s="9" t="s">
        <v>843</v>
      </c>
      <c r="C216" s="10" t="s">
        <v>846</v>
      </c>
      <c r="D216" s="9" t="s">
        <v>847</v>
      </c>
      <c r="E216" s="10" t="s">
        <v>26</v>
      </c>
      <c r="F216" s="9" t="s">
        <v>803</v>
      </c>
      <c r="G216" s="9"/>
    </row>
    <row r="217" customFormat="false" ht="26.85" hidden="false" customHeight="false" outlineLevel="0" collapsed="false">
      <c r="A217" s="9" t="n">
        <v>75</v>
      </c>
      <c r="B217" s="9" t="s">
        <v>843</v>
      </c>
      <c r="C217" s="10" t="s">
        <v>848</v>
      </c>
      <c r="D217" s="9" t="s">
        <v>849</v>
      </c>
      <c r="E217" s="10" t="s">
        <v>25</v>
      </c>
      <c r="F217" s="9" t="s">
        <v>803</v>
      </c>
      <c r="G217" s="9" t="s">
        <v>850</v>
      </c>
    </row>
    <row r="218" customFormat="false" ht="15" hidden="false" customHeight="false" outlineLevel="0" collapsed="false">
      <c r="A218" s="9" t="n">
        <v>76</v>
      </c>
      <c r="B218" s="9" t="s">
        <v>851</v>
      </c>
      <c r="C218" s="10" t="s">
        <v>852</v>
      </c>
      <c r="D218" s="9" t="s">
        <v>853</v>
      </c>
      <c r="E218" s="10" t="s">
        <v>23</v>
      </c>
      <c r="F218" s="9" t="s">
        <v>803</v>
      </c>
      <c r="G218" s="9"/>
    </row>
    <row r="219" customFormat="false" ht="15" hidden="false" customHeight="false" outlineLevel="0" collapsed="false">
      <c r="A219" s="9" t="n">
        <v>76</v>
      </c>
      <c r="B219" s="9" t="s">
        <v>851</v>
      </c>
      <c r="C219" s="10" t="s">
        <v>854</v>
      </c>
      <c r="D219" s="9" t="s">
        <v>855</v>
      </c>
      <c r="E219" s="10" t="s">
        <v>23</v>
      </c>
      <c r="F219" s="9" t="s">
        <v>803</v>
      </c>
      <c r="G219" s="9"/>
    </row>
    <row r="220" customFormat="false" ht="15" hidden="false" customHeight="false" outlineLevel="0" collapsed="false">
      <c r="A220" s="9" t="n">
        <v>76</v>
      </c>
      <c r="B220" s="9" t="s">
        <v>851</v>
      </c>
      <c r="C220" s="10" t="s">
        <v>856</v>
      </c>
      <c r="D220" s="9" t="s">
        <v>857</v>
      </c>
      <c r="E220" s="10" t="s">
        <v>23</v>
      </c>
      <c r="F220" s="9" t="s">
        <v>803</v>
      </c>
      <c r="G220" s="9"/>
    </row>
    <row r="221" customFormat="false" ht="15" hidden="false" customHeight="false" outlineLevel="0" collapsed="false">
      <c r="A221" s="9" t="n">
        <v>76</v>
      </c>
      <c r="B221" s="9" t="s">
        <v>851</v>
      </c>
      <c r="C221" s="10" t="s">
        <v>858</v>
      </c>
      <c r="D221" s="9" t="s">
        <v>859</v>
      </c>
      <c r="E221" s="10" t="s">
        <v>23</v>
      </c>
      <c r="F221" s="9" t="s">
        <v>803</v>
      </c>
      <c r="G221" s="9"/>
    </row>
    <row r="222" customFormat="false" ht="15" hidden="false" customHeight="false" outlineLevel="0" collapsed="false">
      <c r="A222" s="9" t="n">
        <v>77</v>
      </c>
      <c r="B222" s="9" t="s">
        <v>860</v>
      </c>
      <c r="C222" s="10" t="s">
        <v>861</v>
      </c>
      <c r="D222" s="9" t="s">
        <v>862</v>
      </c>
      <c r="E222" s="10" t="s">
        <v>23</v>
      </c>
      <c r="F222" s="9" t="s">
        <v>803</v>
      </c>
      <c r="G222" s="9"/>
    </row>
    <row r="223" customFormat="false" ht="15" hidden="false" customHeight="false" outlineLevel="0" collapsed="false">
      <c r="A223" s="9" t="n">
        <v>77</v>
      </c>
      <c r="B223" s="9" t="s">
        <v>860</v>
      </c>
      <c r="C223" s="10" t="s">
        <v>863</v>
      </c>
      <c r="D223" s="9" t="s">
        <v>864</v>
      </c>
      <c r="E223" s="10" t="s">
        <v>23</v>
      </c>
      <c r="F223" s="9" t="s">
        <v>803</v>
      </c>
      <c r="G223" s="9"/>
    </row>
    <row r="224" customFormat="false" ht="15" hidden="false" customHeight="false" outlineLevel="0" collapsed="false">
      <c r="A224" s="9" t="n">
        <v>78</v>
      </c>
      <c r="B224" s="9" t="s">
        <v>865</v>
      </c>
      <c r="C224" s="10" t="s">
        <v>866</v>
      </c>
      <c r="D224" s="9" t="s">
        <v>867</v>
      </c>
      <c r="E224" s="10" t="s">
        <v>23</v>
      </c>
      <c r="F224" s="9" t="s">
        <v>803</v>
      </c>
      <c r="G224" s="9"/>
    </row>
    <row r="225" customFormat="false" ht="15" hidden="false" customHeight="false" outlineLevel="0" collapsed="false">
      <c r="A225" s="9" t="n">
        <v>78</v>
      </c>
      <c r="B225" s="9" t="s">
        <v>865</v>
      </c>
      <c r="C225" s="10" t="s">
        <v>868</v>
      </c>
      <c r="D225" s="9" t="s">
        <v>869</v>
      </c>
      <c r="E225" s="10" t="s">
        <v>23</v>
      </c>
      <c r="F225" s="9" t="s">
        <v>803</v>
      </c>
      <c r="G225" s="9"/>
    </row>
    <row r="226" customFormat="false" ht="15" hidden="false" customHeight="false" outlineLevel="0" collapsed="false">
      <c r="A226" s="9" t="n">
        <v>78</v>
      </c>
      <c r="B226" s="9" t="s">
        <v>865</v>
      </c>
      <c r="C226" s="10" t="s">
        <v>870</v>
      </c>
      <c r="D226" s="9" t="s">
        <v>871</v>
      </c>
      <c r="E226" s="10" t="s">
        <v>23</v>
      </c>
      <c r="F226" s="9" t="s">
        <v>803</v>
      </c>
      <c r="G226" s="9"/>
    </row>
    <row r="227" customFormat="false" ht="26.85" hidden="false" customHeight="false" outlineLevel="0" collapsed="false">
      <c r="A227" s="9" t="n">
        <v>79</v>
      </c>
      <c r="B227" s="9" t="s">
        <v>872</v>
      </c>
      <c r="C227" s="10" t="s">
        <v>873</v>
      </c>
      <c r="D227" s="9" t="s">
        <v>874</v>
      </c>
      <c r="E227" s="10" t="s">
        <v>23</v>
      </c>
      <c r="F227" s="9" t="s">
        <v>803</v>
      </c>
      <c r="G227" s="9"/>
    </row>
    <row r="228" customFormat="false" ht="26.85" hidden="false" customHeight="false" outlineLevel="0" collapsed="false">
      <c r="A228" s="9" t="n">
        <v>79</v>
      </c>
      <c r="B228" s="9" t="s">
        <v>872</v>
      </c>
      <c r="C228" s="10" t="s">
        <v>875</v>
      </c>
      <c r="D228" s="9" t="s">
        <v>876</v>
      </c>
      <c r="E228" s="10" t="s">
        <v>23</v>
      </c>
      <c r="F228" s="9" t="s">
        <v>803</v>
      </c>
      <c r="G228" s="9"/>
    </row>
    <row r="229" customFormat="false" ht="26.85" hidden="false" customHeight="false" outlineLevel="0" collapsed="false">
      <c r="A229" s="9" t="n">
        <v>80</v>
      </c>
      <c r="B229" s="9" t="s">
        <v>877</v>
      </c>
      <c r="C229" s="10" t="s">
        <v>878</v>
      </c>
      <c r="D229" s="9" t="s">
        <v>879</v>
      </c>
      <c r="E229" s="10" t="s">
        <v>23</v>
      </c>
      <c r="F229" s="9" t="s">
        <v>803</v>
      </c>
      <c r="G229" s="9"/>
    </row>
    <row r="230" customFormat="false" ht="26.85" hidden="false" customHeight="false" outlineLevel="0" collapsed="false">
      <c r="A230" s="9" t="n">
        <v>80</v>
      </c>
      <c r="B230" s="9" t="s">
        <v>877</v>
      </c>
      <c r="C230" s="10" t="s">
        <v>880</v>
      </c>
      <c r="D230" s="9" t="s">
        <v>881</v>
      </c>
      <c r="E230" s="10" t="s">
        <v>23</v>
      </c>
      <c r="F230" s="9" t="s">
        <v>803</v>
      </c>
      <c r="G230" s="9"/>
    </row>
    <row r="231" customFormat="false" ht="26.85" hidden="false" customHeight="false" outlineLevel="0" collapsed="false">
      <c r="A231" s="9" t="n">
        <v>81</v>
      </c>
      <c r="B231" s="9" t="s">
        <v>882</v>
      </c>
      <c r="C231" s="10" t="s">
        <v>883</v>
      </c>
      <c r="D231" s="9" t="s">
        <v>884</v>
      </c>
      <c r="E231" s="10" t="s">
        <v>23</v>
      </c>
      <c r="F231" s="9" t="s">
        <v>803</v>
      </c>
      <c r="G231" s="9"/>
    </row>
    <row r="232" customFormat="false" ht="26.85" hidden="false" customHeight="false" outlineLevel="0" collapsed="false">
      <c r="A232" s="9" t="n">
        <v>81</v>
      </c>
      <c r="B232" s="9" t="s">
        <v>882</v>
      </c>
      <c r="C232" s="10" t="s">
        <v>885</v>
      </c>
      <c r="D232" s="9" t="s">
        <v>886</v>
      </c>
      <c r="E232" s="10" t="s">
        <v>23</v>
      </c>
      <c r="F232" s="9" t="s">
        <v>803</v>
      </c>
      <c r="G232" s="9"/>
    </row>
    <row r="233" customFormat="false" ht="26.85" hidden="false" customHeight="false" outlineLevel="0" collapsed="false">
      <c r="A233" s="9" t="n">
        <v>81</v>
      </c>
      <c r="B233" s="9" t="s">
        <v>882</v>
      </c>
      <c r="C233" s="10" t="s">
        <v>887</v>
      </c>
      <c r="D233" s="9" t="s">
        <v>888</v>
      </c>
      <c r="E233" s="10" t="s">
        <v>23</v>
      </c>
      <c r="F233" s="9" t="s">
        <v>803</v>
      </c>
      <c r="G233" s="9"/>
    </row>
    <row r="234" customFormat="false" ht="26.85" hidden="false" customHeight="false" outlineLevel="0" collapsed="false">
      <c r="A234" s="9" t="n">
        <v>81</v>
      </c>
      <c r="B234" s="9" t="s">
        <v>882</v>
      </c>
      <c r="C234" s="10" t="s">
        <v>889</v>
      </c>
      <c r="D234" s="9" t="s">
        <v>890</v>
      </c>
      <c r="E234" s="10" t="s">
        <v>23</v>
      </c>
      <c r="F234" s="9" t="s">
        <v>803</v>
      </c>
      <c r="G234" s="9"/>
    </row>
    <row r="235" customFormat="false" ht="26.85" hidden="false" customHeight="false" outlineLevel="0" collapsed="false">
      <c r="A235" s="9" t="n">
        <v>82</v>
      </c>
      <c r="B235" s="9" t="s">
        <v>891</v>
      </c>
      <c r="C235" s="10" t="s">
        <v>892</v>
      </c>
      <c r="D235" s="9" t="s">
        <v>893</v>
      </c>
      <c r="E235" s="10" t="s">
        <v>23</v>
      </c>
      <c r="F235" s="9" t="s">
        <v>803</v>
      </c>
      <c r="G235" s="9"/>
    </row>
    <row r="236" customFormat="false" ht="26.85" hidden="false" customHeight="false" outlineLevel="0" collapsed="false">
      <c r="A236" s="9" t="n">
        <v>82</v>
      </c>
      <c r="B236" s="9" t="s">
        <v>891</v>
      </c>
      <c r="C236" s="10" t="s">
        <v>894</v>
      </c>
      <c r="D236" s="9" t="s">
        <v>895</v>
      </c>
      <c r="E236" s="10" t="s">
        <v>23</v>
      </c>
      <c r="F236" s="9" t="s">
        <v>803</v>
      </c>
      <c r="G236" s="9"/>
    </row>
    <row r="237" customFormat="false" ht="26.85" hidden="false" customHeight="false" outlineLevel="0" collapsed="false">
      <c r="A237" s="9" t="n">
        <v>82</v>
      </c>
      <c r="B237" s="9" t="s">
        <v>891</v>
      </c>
      <c r="C237" s="10" t="s">
        <v>896</v>
      </c>
      <c r="D237" s="9" t="s">
        <v>897</v>
      </c>
      <c r="E237" s="10" t="s">
        <v>23</v>
      </c>
      <c r="F237" s="9" t="s">
        <v>803</v>
      </c>
      <c r="G237" s="9"/>
    </row>
    <row r="238" customFormat="false" ht="26.85" hidden="false" customHeight="false" outlineLevel="0" collapsed="false">
      <c r="A238" s="9" t="n">
        <v>83</v>
      </c>
      <c r="B238" s="9" t="s">
        <v>898</v>
      </c>
      <c r="C238" s="10" t="s">
        <v>899</v>
      </c>
      <c r="D238" s="9" t="s">
        <v>900</v>
      </c>
      <c r="E238" s="10" t="s">
        <v>23</v>
      </c>
      <c r="F238" s="9" t="s">
        <v>803</v>
      </c>
      <c r="G238" s="9"/>
    </row>
    <row r="239" customFormat="false" ht="26.85" hidden="false" customHeight="false" outlineLevel="0" collapsed="false">
      <c r="A239" s="9" t="n">
        <v>83</v>
      </c>
      <c r="B239" s="9" t="s">
        <v>898</v>
      </c>
      <c r="C239" s="10" t="s">
        <v>901</v>
      </c>
      <c r="D239" s="9" t="s">
        <v>902</v>
      </c>
      <c r="E239" s="10" t="s">
        <v>23</v>
      </c>
      <c r="F239" s="9" t="s">
        <v>803</v>
      </c>
      <c r="G239" s="9"/>
    </row>
    <row r="240" customFormat="false" ht="26.85" hidden="false" customHeight="false" outlineLevel="0" collapsed="false">
      <c r="A240" s="9" t="n">
        <v>83</v>
      </c>
      <c r="B240" s="9" t="s">
        <v>898</v>
      </c>
      <c r="C240" s="10" t="s">
        <v>903</v>
      </c>
      <c r="D240" s="9" t="s">
        <v>904</v>
      </c>
      <c r="E240" s="10" t="s">
        <v>23</v>
      </c>
      <c r="F240" s="9" t="s">
        <v>803</v>
      </c>
      <c r="G240" s="9"/>
    </row>
    <row r="241" customFormat="false" ht="15" hidden="false" customHeight="false" outlineLevel="0" collapsed="false">
      <c r="A241" s="9" t="n">
        <v>84</v>
      </c>
      <c r="B241" s="9" t="s">
        <v>905</v>
      </c>
      <c r="C241" s="10" t="s">
        <v>906</v>
      </c>
      <c r="D241" s="9" t="s">
        <v>907</v>
      </c>
      <c r="E241" s="10" t="s">
        <v>23</v>
      </c>
      <c r="F241" s="9" t="s">
        <v>803</v>
      </c>
      <c r="G241" s="9"/>
    </row>
    <row r="242" customFormat="false" ht="15" hidden="false" customHeight="false" outlineLevel="0" collapsed="false">
      <c r="A242" s="9" t="n">
        <v>84</v>
      </c>
      <c r="B242" s="9" t="s">
        <v>905</v>
      </c>
      <c r="C242" s="10" t="s">
        <v>908</v>
      </c>
      <c r="D242" s="9" t="s">
        <v>909</v>
      </c>
      <c r="E242" s="10" t="s">
        <v>23</v>
      </c>
      <c r="F242" s="9" t="s">
        <v>803</v>
      </c>
      <c r="G242" s="9"/>
    </row>
    <row r="243" customFormat="false" ht="15" hidden="false" customHeight="false" outlineLevel="0" collapsed="false">
      <c r="A243" s="9" t="n">
        <v>85</v>
      </c>
      <c r="B243" s="9" t="s">
        <v>910</v>
      </c>
      <c r="C243" s="10" t="s">
        <v>911</v>
      </c>
      <c r="D243" s="9" t="s">
        <v>912</v>
      </c>
      <c r="E243" s="10" t="s">
        <v>23</v>
      </c>
      <c r="F243" s="9" t="s">
        <v>803</v>
      </c>
      <c r="G243" s="9"/>
    </row>
    <row r="244" customFormat="false" ht="15" hidden="false" customHeight="false" outlineLevel="0" collapsed="false">
      <c r="A244" s="9" t="n">
        <v>85</v>
      </c>
      <c r="B244" s="9" t="s">
        <v>910</v>
      </c>
      <c r="C244" s="10" t="s">
        <v>913</v>
      </c>
      <c r="D244" s="9" t="s">
        <v>914</v>
      </c>
      <c r="E244" s="10" t="s">
        <v>23</v>
      </c>
      <c r="F244" s="9" t="s">
        <v>803</v>
      </c>
      <c r="G244" s="9"/>
    </row>
    <row r="245" customFormat="false" ht="15" hidden="false" customHeight="false" outlineLevel="0" collapsed="false">
      <c r="A245" s="9" t="n">
        <v>86</v>
      </c>
      <c r="B245" s="9" t="s">
        <v>915</v>
      </c>
      <c r="C245" s="10" t="s">
        <v>916</v>
      </c>
      <c r="D245" s="9" t="s">
        <v>917</v>
      </c>
      <c r="E245" s="10" t="s">
        <v>23</v>
      </c>
      <c r="F245" s="9" t="s">
        <v>803</v>
      </c>
      <c r="G245" s="9"/>
    </row>
    <row r="246" customFormat="false" ht="15" hidden="false" customHeight="false" outlineLevel="0" collapsed="false">
      <c r="A246" s="9" t="n">
        <v>86</v>
      </c>
      <c r="B246" s="9" t="s">
        <v>915</v>
      </c>
      <c r="C246" s="10" t="s">
        <v>918</v>
      </c>
      <c r="D246" s="9" t="s">
        <v>919</v>
      </c>
      <c r="E246" s="10" t="s">
        <v>23</v>
      </c>
      <c r="F246" s="9" t="s">
        <v>803</v>
      </c>
      <c r="G246" s="9"/>
    </row>
    <row r="247" customFormat="false" ht="15" hidden="false" customHeight="false" outlineLevel="0" collapsed="false">
      <c r="A247" s="9" t="n">
        <v>86</v>
      </c>
      <c r="B247" s="9" t="s">
        <v>915</v>
      </c>
      <c r="C247" s="10" t="s">
        <v>920</v>
      </c>
      <c r="D247" s="9" t="s">
        <v>921</v>
      </c>
      <c r="E247" s="10" t="s">
        <v>23</v>
      </c>
      <c r="F247" s="9" t="s">
        <v>803</v>
      </c>
      <c r="G247" s="9"/>
    </row>
    <row r="248" customFormat="false" ht="15" hidden="false" customHeight="false" outlineLevel="0" collapsed="false">
      <c r="A248" s="9" t="n">
        <v>86</v>
      </c>
      <c r="B248" s="9" t="s">
        <v>915</v>
      </c>
      <c r="C248" s="10" t="s">
        <v>922</v>
      </c>
      <c r="D248" s="9" t="s">
        <v>923</v>
      </c>
      <c r="E248" s="10" t="s">
        <v>23</v>
      </c>
      <c r="F248" s="9" t="s">
        <v>803</v>
      </c>
      <c r="G248" s="9"/>
    </row>
    <row r="249" customFormat="false" ht="15" hidden="false" customHeight="false" outlineLevel="0" collapsed="false">
      <c r="A249" s="9" t="n">
        <v>87</v>
      </c>
      <c r="B249" s="9" t="s">
        <v>924</v>
      </c>
      <c r="C249" s="10" t="s">
        <v>925</v>
      </c>
      <c r="D249" s="9" t="s">
        <v>926</v>
      </c>
      <c r="E249" s="10" t="s">
        <v>23</v>
      </c>
      <c r="F249" s="9" t="s">
        <v>803</v>
      </c>
      <c r="G249" s="9" t="s">
        <v>927</v>
      </c>
    </row>
    <row r="250" customFormat="false" ht="26.85" hidden="false" customHeight="false" outlineLevel="0" collapsed="false">
      <c r="A250" s="9" t="n">
        <v>88</v>
      </c>
      <c r="B250" s="9" t="s">
        <v>928</v>
      </c>
      <c r="C250" s="10" t="s">
        <v>929</v>
      </c>
      <c r="D250" s="9" t="s">
        <v>930</v>
      </c>
      <c r="E250" s="10" t="s">
        <v>24</v>
      </c>
      <c r="F250" s="9" t="s">
        <v>803</v>
      </c>
      <c r="G250" s="9"/>
    </row>
    <row r="251" customFormat="false" ht="26.85" hidden="false" customHeight="false" outlineLevel="0" collapsed="false">
      <c r="A251" s="9" t="n">
        <v>88</v>
      </c>
      <c r="B251" s="9" t="s">
        <v>928</v>
      </c>
      <c r="C251" s="10" t="s">
        <v>931</v>
      </c>
      <c r="D251" s="9" t="s">
        <v>932</v>
      </c>
      <c r="E251" s="10" t="s">
        <v>24</v>
      </c>
      <c r="F251" s="9" t="s">
        <v>803</v>
      </c>
      <c r="G251" s="9"/>
    </row>
    <row r="252" customFormat="false" ht="26.85" hidden="false" customHeight="false" outlineLevel="0" collapsed="false">
      <c r="A252" s="9" t="n">
        <v>88</v>
      </c>
      <c r="B252" s="9" t="s">
        <v>928</v>
      </c>
      <c r="C252" s="10" t="s">
        <v>933</v>
      </c>
      <c r="D252" s="9" t="s">
        <v>934</v>
      </c>
      <c r="E252" s="10" t="s">
        <v>20</v>
      </c>
      <c r="F252" s="9" t="s">
        <v>803</v>
      </c>
      <c r="G252" s="9" t="s">
        <v>935</v>
      </c>
    </row>
    <row r="253" customFormat="false" ht="15" hidden="false" customHeight="false" outlineLevel="0" collapsed="false">
      <c r="A253" s="9" t="n">
        <v>89</v>
      </c>
      <c r="B253" s="9" t="s">
        <v>936</v>
      </c>
      <c r="C253" s="10" t="s">
        <v>937</v>
      </c>
      <c r="D253" s="9" t="s">
        <v>938</v>
      </c>
      <c r="E253" s="10" t="s">
        <v>21</v>
      </c>
      <c r="F253" s="9" t="s">
        <v>803</v>
      </c>
      <c r="G253" s="9" t="s">
        <v>938</v>
      </c>
    </row>
    <row r="254" customFormat="false" ht="15" hidden="false" customHeight="false" outlineLevel="0" collapsed="false">
      <c r="A254" s="9" t="n">
        <v>90</v>
      </c>
      <c r="B254" s="9" t="s">
        <v>939</v>
      </c>
      <c r="C254" s="10" t="s">
        <v>940</v>
      </c>
      <c r="D254" s="9" t="s">
        <v>941</v>
      </c>
      <c r="E254" s="10" t="s">
        <v>25</v>
      </c>
      <c r="F254" s="9" t="s">
        <v>803</v>
      </c>
      <c r="G254" s="9" t="s">
        <v>942</v>
      </c>
    </row>
    <row r="255" customFormat="false" ht="15" hidden="false" customHeight="false" outlineLevel="0" collapsed="false">
      <c r="A255" s="9" t="n">
        <v>91</v>
      </c>
      <c r="B255" s="9" t="s">
        <v>943</v>
      </c>
      <c r="C255" s="10" t="s">
        <v>944</v>
      </c>
      <c r="D255" s="9" t="s">
        <v>945</v>
      </c>
      <c r="E255" s="10" t="s">
        <v>22</v>
      </c>
      <c r="F255" s="9" t="s">
        <v>803</v>
      </c>
      <c r="G255" s="9" t="s">
        <v>946</v>
      </c>
    </row>
    <row r="256" customFormat="false" ht="15" hidden="false" customHeight="false" outlineLevel="0" collapsed="false">
      <c r="A256" s="9" t="n">
        <v>92</v>
      </c>
      <c r="B256" s="9" t="s">
        <v>947</v>
      </c>
      <c r="C256" s="10" t="s">
        <v>948</v>
      </c>
      <c r="D256" s="9" t="s">
        <v>949</v>
      </c>
      <c r="E256" s="10" t="s">
        <v>20</v>
      </c>
      <c r="F256" s="9" t="s">
        <v>803</v>
      </c>
      <c r="G256" s="9"/>
    </row>
    <row r="257" customFormat="false" ht="15" hidden="false" customHeight="false" outlineLevel="0" collapsed="false">
      <c r="A257" s="9" t="n">
        <v>92</v>
      </c>
      <c r="B257" s="9" t="s">
        <v>947</v>
      </c>
      <c r="C257" s="10" t="s">
        <v>950</v>
      </c>
      <c r="D257" s="9" t="s">
        <v>951</v>
      </c>
      <c r="E257" s="10" t="s">
        <v>20</v>
      </c>
      <c r="F257" s="9" t="s">
        <v>803</v>
      </c>
      <c r="G257" s="9"/>
    </row>
    <row r="258" customFormat="false" ht="15" hidden="false" customHeight="false" outlineLevel="0" collapsed="false">
      <c r="A258" s="9" t="n">
        <v>92</v>
      </c>
      <c r="B258" s="9" t="s">
        <v>947</v>
      </c>
      <c r="C258" s="10" t="s">
        <v>952</v>
      </c>
      <c r="D258" s="9" t="s">
        <v>953</v>
      </c>
      <c r="E258" s="10" t="s">
        <v>20</v>
      </c>
      <c r="F258" s="9" t="s">
        <v>803</v>
      </c>
      <c r="G258" s="9"/>
    </row>
    <row r="259" customFormat="false" ht="15" hidden="false" customHeight="false" outlineLevel="0" collapsed="false">
      <c r="A259" s="9" t="n">
        <v>93</v>
      </c>
      <c r="B259" s="9" t="s">
        <v>954</v>
      </c>
      <c r="C259" s="10" t="s">
        <v>955</v>
      </c>
      <c r="D259" s="9" t="s">
        <v>956</v>
      </c>
      <c r="E259" s="10" t="s">
        <v>20</v>
      </c>
      <c r="F259" s="9" t="s">
        <v>803</v>
      </c>
      <c r="G259" s="9" t="s">
        <v>957</v>
      </c>
    </row>
    <row r="260" customFormat="false" ht="26.85" hidden="false" customHeight="false" outlineLevel="0" collapsed="false">
      <c r="A260" s="9" t="n">
        <v>94</v>
      </c>
      <c r="B260" s="9" t="s">
        <v>958</v>
      </c>
      <c r="C260" s="10" t="s">
        <v>959</v>
      </c>
      <c r="D260" s="9" t="s">
        <v>960</v>
      </c>
      <c r="E260" s="10" t="s">
        <v>25</v>
      </c>
      <c r="F260" s="9" t="s">
        <v>961</v>
      </c>
      <c r="G260" s="9" t="s">
        <v>962</v>
      </c>
    </row>
    <row r="261" customFormat="false" ht="26.85" hidden="false" customHeight="false" outlineLevel="0" collapsed="false">
      <c r="A261" s="9" t="n">
        <v>94</v>
      </c>
      <c r="B261" s="9" t="s">
        <v>958</v>
      </c>
      <c r="C261" s="10" t="s">
        <v>963</v>
      </c>
      <c r="D261" s="9" t="s">
        <v>964</v>
      </c>
      <c r="E261" s="10" t="s">
        <v>24</v>
      </c>
      <c r="F261" s="9" t="s">
        <v>961</v>
      </c>
      <c r="G261" s="9" t="s">
        <v>964</v>
      </c>
    </row>
    <row r="262" customFormat="false" ht="26.85" hidden="false" customHeight="false" outlineLevel="0" collapsed="false">
      <c r="A262" s="9" t="n">
        <v>94</v>
      </c>
      <c r="B262" s="9" t="s">
        <v>958</v>
      </c>
      <c r="C262" s="10" t="s">
        <v>965</v>
      </c>
      <c r="D262" s="9" t="s">
        <v>966</v>
      </c>
      <c r="E262" s="10" t="s">
        <v>23</v>
      </c>
      <c r="F262" s="9" t="s">
        <v>961</v>
      </c>
      <c r="G262" s="9" t="s">
        <v>966</v>
      </c>
    </row>
    <row r="263" customFormat="false" ht="26.85" hidden="false" customHeight="false" outlineLevel="0" collapsed="false">
      <c r="A263" s="9" t="n">
        <v>95</v>
      </c>
      <c r="B263" s="9" t="s">
        <v>967</v>
      </c>
      <c r="C263" s="10" t="s">
        <v>968</v>
      </c>
      <c r="D263" s="9" t="s">
        <v>969</v>
      </c>
      <c r="E263" s="10" t="s">
        <v>25</v>
      </c>
      <c r="F263" s="9" t="s">
        <v>961</v>
      </c>
      <c r="G263" s="9"/>
    </row>
    <row r="264" customFormat="false" ht="26.85" hidden="false" customHeight="false" outlineLevel="0" collapsed="false">
      <c r="A264" s="9" t="n">
        <v>95</v>
      </c>
      <c r="B264" s="9" t="s">
        <v>967</v>
      </c>
      <c r="C264" s="10" t="s">
        <v>970</v>
      </c>
      <c r="D264" s="9" t="s">
        <v>971</v>
      </c>
      <c r="E264" s="10" t="s">
        <v>25</v>
      </c>
      <c r="F264" s="9" t="s">
        <v>961</v>
      </c>
      <c r="G264" s="9"/>
    </row>
    <row r="265" customFormat="false" ht="26.85" hidden="false" customHeight="false" outlineLevel="0" collapsed="false">
      <c r="A265" s="9" t="n">
        <v>96</v>
      </c>
      <c r="B265" s="9" t="s">
        <v>972</v>
      </c>
      <c r="C265" s="10" t="s">
        <v>973</v>
      </c>
      <c r="D265" s="9" t="s">
        <v>974</v>
      </c>
      <c r="E265" s="10" t="s">
        <v>25</v>
      </c>
      <c r="F265" s="9" t="s">
        <v>961</v>
      </c>
      <c r="G265" s="9"/>
    </row>
    <row r="266" customFormat="false" ht="26.85" hidden="false" customHeight="false" outlineLevel="0" collapsed="false">
      <c r="A266" s="9" t="n">
        <v>96</v>
      </c>
      <c r="B266" s="9" t="s">
        <v>972</v>
      </c>
      <c r="C266" s="10" t="s">
        <v>975</v>
      </c>
      <c r="D266" s="9" t="s">
        <v>976</v>
      </c>
      <c r="E266" s="10" t="s">
        <v>25</v>
      </c>
      <c r="F266" s="9" t="s">
        <v>961</v>
      </c>
      <c r="G266" s="9"/>
    </row>
    <row r="267" customFormat="false" ht="26.85" hidden="false" customHeight="false" outlineLevel="0" collapsed="false">
      <c r="A267" s="9" t="n">
        <v>97</v>
      </c>
      <c r="B267" s="9" t="s">
        <v>977</v>
      </c>
      <c r="C267" s="10" t="s">
        <v>978</v>
      </c>
      <c r="D267" s="9" t="s">
        <v>979</v>
      </c>
      <c r="E267" s="10" t="s">
        <v>25</v>
      </c>
      <c r="F267" s="9" t="s">
        <v>961</v>
      </c>
      <c r="G267" s="9"/>
    </row>
    <row r="268" customFormat="false" ht="26.85" hidden="false" customHeight="false" outlineLevel="0" collapsed="false">
      <c r="A268" s="9" t="n">
        <v>97</v>
      </c>
      <c r="B268" s="9" t="s">
        <v>977</v>
      </c>
      <c r="C268" s="10" t="s">
        <v>980</v>
      </c>
      <c r="D268" s="9" t="s">
        <v>981</v>
      </c>
      <c r="E268" s="10" t="s">
        <v>25</v>
      </c>
      <c r="F268" s="9" t="s">
        <v>961</v>
      </c>
      <c r="G268" s="9"/>
    </row>
    <row r="269" customFormat="false" ht="26.85" hidden="false" customHeight="false" outlineLevel="0" collapsed="false">
      <c r="A269" s="9" t="n">
        <v>98</v>
      </c>
      <c r="B269" s="9" t="s">
        <v>982</v>
      </c>
      <c r="C269" s="10" t="s">
        <v>983</v>
      </c>
      <c r="D269" s="9" t="s">
        <v>984</v>
      </c>
      <c r="E269" s="10" t="s">
        <v>25</v>
      </c>
      <c r="F269" s="9" t="s">
        <v>961</v>
      </c>
      <c r="G269" s="9" t="s">
        <v>985</v>
      </c>
    </row>
    <row r="270" customFormat="false" ht="26.85" hidden="false" customHeight="false" outlineLevel="0" collapsed="false">
      <c r="A270" s="9" t="n">
        <v>99</v>
      </c>
      <c r="B270" s="9" t="s">
        <v>986</v>
      </c>
      <c r="C270" s="10" t="s">
        <v>987</v>
      </c>
      <c r="D270" s="9" t="s">
        <v>988</v>
      </c>
      <c r="E270" s="10" t="s">
        <v>24</v>
      </c>
      <c r="F270" s="9" t="s">
        <v>961</v>
      </c>
      <c r="G270" s="9" t="s">
        <v>989</v>
      </c>
    </row>
    <row r="271" customFormat="false" ht="26.85" hidden="false" customHeight="false" outlineLevel="0" collapsed="false">
      <c r="A271" s="9" t="n">
        <v>100</v>
      </c>
      <c r="B271" s="9" t="s">
        <v>990</v>
      </c>
      <c r="C271" s="10" t="s">
        <v>991</v>
      </c>
      <c r="D271" s="9" t="s">
        <v>992</v>
      </c>
      <c r="E271" s="10" t="s">
        <v>25</v>
      </c>
      <c r="F271" s="9" t="s">
        <v>961</v>
      </c>
      <c r="G271" s="9"/>
    </row>
    <row r="272" customFormat="false" ht="26.85" hidden="false" customHeight="false" outlineLevel="0" collapsed="false">
      <c r="A272" s="9" t="n">
        <v>100</v>
      </c>
      <c r="B272" s="9" t="s">
        <v>990</v>
      </c>
      <c r="C272" s="10" t="s">
        <v>993</v>
      </c>
      <c r="D272" s="9" t="s">
        <v>994</v>
      </c>
      <c r="E272" s="10" t="s">
        <v>25</v>
      </c>
      <c r="F272" s="9" t="s">
        <v>961</v>
      </c>
      <c r="G272" s="9"/>
    </row>
    <row r="273" customFormat="false" ht="26.85" hidden="false" customHeight="false" outlineLevel="0" collapsed="false">
      <c r="A273" s="9" t="n">
        <v>101</v>
      </c>
      <c r="B273" s="9" t="s">
        <v>995</v>
      </c>
      <c r="C273" s="10" t="s">
        <v>996</v>
      </c>
      <c r="D273" s="9" t="s">
        <v>997</v>
      </c>
      <c r="E273" s="10" t="s">
        <v>25</v>
      </c>
      <c r="F273" s="9" t="s">
        <v>961</v>
      </c>
      <c r="G273" s="9"/>
    </row>
    <row r="274" customFormat="false" ht="26.85" hidden="false" customHeight="false" outlineLevel="0" collapsed="false">
      <c r="A274" s="9" t="n">
        <v>101</v>
      </c>
      <c r="B274" s="9" t="s">
        <v>995</v>
      </c>
      <c r="C274" s="10" t="s">
        <v>998</v>
      </c>
      <c r="D274" s="9" t="s">
        <v>999</v>
      </c>
      <c r="E274" s="10" t="s">
        <v>25</v>
      </c>
      <c r="F274" s="9" t="s">
        <v>961</v>
      </c>
      <c r="G274" s="9"/>
    </row>
    <row r="275" customFormat="false" ht="26.85" hidden="false" customHeight="false" outlineLevel="0" collapsed="false">
      <c r="A275" s="9" t="n">
        <v>102</v>
      </c>
      <c r="B275" s="9" t="s">
        <v>1000</v>
      </c>
      <c r="C275" s="10" t="s">
        <v>1001</v>
      </c>
      <c r="D275" s="9" t="s">
        <v>1002</v>
      </c>
      <c r="E275" s="10" t="s">
        <v>24</v>
      </c>
      <c r="F275" s="9" t="s">
        <v>961</v>
      </c>
      <c r="G275" s="9"/>
    </row>
    <row r="276" customFormat="false" ht="26.85" hidden="false" customHeight="false" outlineLevel="0" collapsed="false">
      <c r="A276" s="9" t="n">
        <v>102</v>
      </c>
      <c r="B276" s="9" t="s">
        <v>1000</v>
      </c>
      <c r="C276" s="10" t="s">
        <v>1003</v>
      </c>
      <c r="D276" s="9" t="s">
        <v>1004</v>
      </c>
      <c r="E276" s="10" t="s">
        <v>24</v>
      </c>
      <c r="F276" s="9" t="s">
        <v>961</v>
      </c>
      <c r="G276" s="9"/>
    </row>
    <row r="277" customFormat="false" ht="26.85" hidden="false" customHeight="false" outlineLevel="0" collapsed="false">
      <c r="A277" s="9" t="n">
        <v>102</v>
      </c>
      <c r="B277" s="9" t="s">
        <v>1000</v>
      </c>
      <c r="C277" s="10" t="s">
        <v>1005</v>
      </c>
      <c r="D277" s="9" t="s">
        <v>1006</v>
      </c>
      <c r="E277" s="10" t="s">
        <v>24</v>
      </c>
      <c r="F277" s="9" t="s">
        <v>961</v>
      </c>
      <c r="G277" s="9"/>
    </row>
    <row r="278" customFormat="false" ht="26.85" hidden="false" customHeight="false" outlineLevel="0" collapsed="false">
      <c r="A278" s="9" t="n">
        <v>102</v>
      </c>
      <c r="B278" s="9" t="s">
        <v>1000</v>
      </c>
      <c r="C278" s="10" t="s">
        <v>1007</v>
      </c>
      <c r="D278" s="9" t="s">
        <v>1008</v>
      </c>
      <c r="E278" s="10" t="s">
        <v>24</v>
      </c>
      <c r="F278" s="9" t="s">
        <v>961</v>
      </c>
      <c r="G278" s="9"/>
    </row>
    <row r="279" customFormat="false" ht="26.85" hidden="false" customHeight="false" outlineLevel="0" collapsed="false">
      <c r="A279" s="9" t="n">
        <v>103</v>
      </c>
      <c r="B279" s="9" t="s">
        <v>1009</v>
      </c>
      <c r="C279" s="10" t="s">
        <v>1010</v>
      </c>
      <c r="D279" s="9" t="s">
        <v>1011</v>
      </c>
      <c r="E279" s="10" t="s">
        <v>23</v>
      </c>
      <c r="F279" s="9" t="s">
        <v>961</v>
      </c>
      <c r="G279" s="9"/>
    </row>
    <row r="280" customFormat="false" ht="26.85" hidden="false" customHeight="false" outlineLevel="0" collapsed="false">
      <c r="A280" s="9" t="n">
        <v>103</v>
      </c>
      <c r="B280" s="9" t="s">
        <v>1009</v>
      </c>
      <c r="C280" s="10" t="s">
        <v>1012</v>
      </c>
      <c r="D280" s="9" t="s">
        <v>1013</v>
      </c>
      <c r="E280" s="10" t="s">
        <v>23</v>
      </c>
      <c r="F280" s="9" t="s">
        <v>961</v>
      </c>
      <c r="G280" s="9"/>
    </row>
    <row r="281" customFormat="false" ht="26.85" hidden="false" customHeight="false" outlineLevel="0" collapsed="false">
      <c r="A281" s="9" t="n">
        <v>104</v>
      </c>
      <c r="B281" s="9" t="s">
        <v>1014</v>
      </c>
      <c r="C281" s="10" t="s">
        <v>1015</v>
      </c>
      <c r="D281" s="9" t="s">
        <v>1016</v>
      </c>
      <c r="E281" s="10" t="s">
        <v>23</v>
      </c>
      <c r="F281" s="9" t="s">
        <v>961</v>
      </c>
      <c r="G281" s="9"/>
    </row>
    <row r="282" customFormat="false" ht="26.85" hidden="false" customHeight="false" outlineLevel="0" collapsed="false">
      <c r="A282" s="9" t="n">
        <v>104</v>
      </c>
      <c r="B282" s="9" t="s">
        <v>1014</v>
      </c>
      <c r="C282" s="10" t="s">
        <v>1017</v>
      </c>
      <c r="D282" s="9" t="s">
        <v>1018</v>
      </c>
      <c r="E282" s="10" t="s">
        <v>23</v>
      </c>
      <c r="F282" s="9" t="s">
        <v>961</v>
      </c>
      <c r="G282" s="9"/>
    </row>
    <row r="283" customFormat="false" ht="26.85" hidden="false" customHeight="false" outlineLevel="0" collapsed="false">
      <c r="A283" s="9" t="n">
        <v>105</v>
      </c>
      <c r="B283" s="9" t="s">
        <v>1019</v>
      </c>
      <c r="C283" s="10" t="s">
        <v>1020</v>
      </c>
      <c r="D283" s="9" t="s">
        <v>1021</v>
      </c>
      <c r="E283" s="10" t="s">
        <v>25</v>
      </c>
      <c r="F283" s="9" t="s">
        <v>961</v>
      </c>
      <c r="G283" s="9"/>
    </row>
    <row r="284" customFormat="false" ht="26.85" hidden="false" customHeight="false" outlineLevel="0" collapsed="false">
      <c r="A284" s="9" t="n">
        <v>105</v>
      </c>
      <c r="B284" s="9" t="s">
        <v>1019</v>
      </c>
      <c r="C284" s="10" t="s">
        <v>1022</v>
      </c>
      <c r="D284" s="9" t="s">
        <v>1023</v>
      </c>
      <c r="E284" s="10" t="s">
        <v>25</v>
      </c>
      <c r="F284" s="9" t="s">
        <v>961</v>
      </c>
      <c r="G284" s="9"/>
    </row>
    <row r="285" customFormat="false" ht="26.85" hidden="false" customHeight="false" outlineLevel="0" collapsed="false">
      <c r="A285" s="9" t="n">
        <v>106</v>
      </c>
      <c r="B285" s="9" t="s">
        <v>1024</v>
      </c>
      <c r="C285" s="10" t="s">
        <v>1025</v>
      </c>
      <c r="D285" s="9" t="s">
        <v>1026</v>
      </c>
      <c r="E285" s="10" t="s">
        <v>25</v>
      </c>
      <c r="F285" s="9" t="s">
        <v>961</v>
      </c>
      <c r="G285" s="9"/>
    </row>
    <row r="286" customFormat="false" ht="26.85" hidden="false" customHeight="false" outlineLevel="0" collapsed="false">
      <c r="A286" s="9" t="n">
        <v>106</v>
      </c>
      <c r="B286" s="9" t="s">
        <v>1024</v>
      </c>
      <c r="C286" s="10" t="s">
        <v>1027</v>
      </c>
      <c r="D286" s="9" t="s">
        <v>1028</v>
      </c>
      <c r="E286" s="10" t="s">
        <v>25</v>
      </c>
      <c r="F286" s="9" t="s">
        <v>961</v>
      </c>
      <c r="G286" s="9"/>
    </row>
    <row r="287" customFormat="false" ht="26.85" hidden="false" customHeight="false" outlineLevel="0" collapsed="false">
      <c r="A287" s="9" t="n">
        <v>107</v>
      </c>
      <c r="B287" s="9" t="s">
        <v>1029</v>
      </c>
      <c r="C287" s="10" t="s">
        <v>1030</v>
      </c>
      <c r="D287" s="9" t="s">
        <v>1031</v>
      </c>
      <c r="E287" s="10" t="s">
        <v>24</v>
      </c>
      <c r="F287" s="9" t="s">
        <v>961</v>
      </c>
      <c r="G287" s="9"/>
    </row>
    <row r="288" customFormat="false" ht="26.85" hidden="false" customHeight="false" outlineLevel="0" collapsed="false">
      <c r="A288" s="9" t="n">
        <v>107</v>
      </c>
      <c r="B288" s="9" t="s">
        <v>1029</v>
      </c>
      <c r="C288" s="10" t="s">
        <v>1032</v>
      </c>
      <c r="D288" s="9" t="s">
        <v>1033</v>
      </c>
      <c r="E288" s="10" t="s">
        <v>24</v>
      </c>
      <c r="F288" s="9" t="s">
        <v>961</v>
      </c>
      <c r="G288" s="9"/>
    </row>
    <row r="289" customFormat="false" ht="26.85" hidden="false" customHeight="false" outlineLevel="0" collapsed="false">
      <c r="A289" s="9" t="n">
        <v>108</v>
      </c>
      <c r="B289" s="9" t="s">
        <v>1034</v>
      </c>
      <c r="C289" s="10" t="s">
        <v>1035</v>
      </c>
      <c r="D289" s="9" t="s">
        <v>1036</v>
      </c>
      <c r="E289" s="10" t="s">
        <v>23</v>
      </c>
      <c r="F289" s="9" t="s">
        <v>961</v>
      </c>
      <c r="G289" s="9"/>
    </row>
    <row r="290" customFormat="false" ht="26.85" hidden="false" customHeight="false" outlineLevel="0" collapsed="false">
      <c r="A290" s="9" t="n">
        <v>108</v>
      </c>
      <c r="B290" s="9" t="s">
        <v>1034</v>
      </c>
      <c r="C290" s="10" t="s">
        <v>1037</v>
      </c>
      <c r="D290" s="9" t="s">
        <v>1038</v>
      </c>
      <c r="E290" s="10" t="s">
        <v>23</v>
      </c>
      <c r="F290" s="9" t="s">
        <v>961</v>
      </c>
      <c r="G290" s="9"/>
    </row>
    <row r="291" customFormat="false" ht="26.85" hidden="false" customHeight="false" outlineLevel="0" collapsed="false">
      <c r="A291" s="9" t="n">
        <v>109</v>
      </c>
      <c r="B291" s="9" t="s">
        <v>1039</v>
      </c>
      <c r="C291" s="10" t="s">
        <v>1040</v>
      </c>
      <c r="D291" s="9" t="s">
        <v>1041</v>
      </c>
      <c r="E291" s="10" t="s">
        <v>24</v>
      </c>
      <c r="F291" s="9" t="s">
        <v>961</v>
      </c>
      <c r="G291" s="9"/>
    </row>
    <row r="292" customFormat="false" ht="26.85" hidden="false" customHeight="false" outlineLevel="0" collapsed="false">
      <c r="A292" s="9" t="n">
        <v>109</v>
      </c>
      <c r="B292" s="9" t="s">
        <v>1039</v>
      </c>
      <c r="C292" s="10" t="s">
        <v>1042</v>
      </c>
      <c r="D292" s="9" t="s">
        <v>1043</v>
      </c>
      <c r="E292" s="10" t="s">
        <v>24</v>
      </c>
      <c r="F292" s="9" t="s">
        <v>961</v>
      </c>
      <c r="G292" s="9"/>
    </row>
    <row r="293" customFormat="false" ht="26.85" hidden="false" customHeight="false" outlineLevel="0" collapsed="false">
      <c r="A293" s="9" t="n">
        <v>109</v>
      </c>
      <c r="B293" s="9" t="s">
        <v>1039</v>
      </c>
      <c r="C293" s="10" t="s">
        <v>1044</v>
      </c>
      <c r="D293" s="9" t="s">
        <v>1045</v>
      </c>
      <c r="E293" s="10" t="s">
        <v>22</v>
      </c>
      <c r="F293" s="9" t="s">
        <v>961</v>
      </c>
      <c r="G293" s="9" t="s">
        <v>1046</v>
      </c>
    </row>
    <row r="294" customFormat="false" ht="26.85" hidden="false" customHeight="false" outlineLevel="0" collapsed="false">
      <c r="A294" s="9" t="n">
        <v>110</v>
      </c>
      <c r="B294" s="9" t="s">
        <v>1047</v>
      </c>
      <c r="C294" s="10" t="s">
        <v>1048</v>
      </c>
      <c r="D294" s="9" t="s">
        <v>1047</v>
      </c>
      <c r="E294" s="10" t="s">
        <v>22</v>
      </c>
      <c r="F294" s="9" t="s">
        <v>961</v>
      </c>
      <c r="G294" s="9" t="s">
        <v>1049</v>
      </c>
    </row>
    <row r="295" customFormat="false" ht="26.85" hidden="false" customHeight="false" outlineLevel="0" collapsed="false">
      <c r="A295" s="9" t="n">
        <v>111</v>
      </c>
      <c r="B295" s="9" t="s">
        <v>1050</v>
      </c>
      <c r="C295" s="10" t="s">
        <v>1051</v>
      </c>
      <c r="D295" s="9" t="s">
        <v>1052</v>
      </c>
      <c r="E295" s="10" t="s">
        <v>23</v>
      </c>
      <c r="F295" s="9" t="s">
        <v>961</v>
      </c>
      <c r="G295" s="9" t="s">
        <v>1053</v>
      </c>
    </row>
    <row r="296" customFormat="false" ht="26.85" hidden="false" customHeight="false" outlineLevel="0" collapsed="false">
      <c r="A296" s="9" t="n">
        <v>112</v>
      </c>
      <c r="B296" s="9" t="s">
        <v>1054</v>
      </c>
      <c r="C296" s="10" t="s">
        <v>1055</v>
      </c>
      <c r="D296" s="9" t="s">
        <v>1056</v>
      </c>
      <c r="E296" s="10" t="s">
        <v>20</v>
      </c>
      <c r="F296" s="9" t="s">
        <v>961</v>
      </c>
      <c r="G296" s="9"/>
    </row>
    <row r="297" customFormat="false" ht="26.85" hidden="false" customHeight="false" outlineLevel="0" collapsed="false">
      <c r="A297" s="9" t="n">
        <v>112</v>
      </c>
      <c r="B297" s="9" t="s">
        <v>1054</v>
      </c>
      <c r="C297" s="10" t="s">
        <v>1057</v>
      </c>
      <c r="D297" s="9" t="s">
        <v>1058</v>
      </c>
      <c r="E297" s="10" t="s">
        <v>20</v>
      </c>
      <c r="F297" s="9" t="s">
        <v>961</v>
      </c>
      <c r="G297" s="9"/>
    </row>
    <row r="298" customFormat="false" ht="26.85" hidden="false" customHeight="false" outlineLevel="0" collapsed="false">
      <c r="A298" s="9" t="n">
        <v>112</v>
      </c>
      <c r="B298" s="9" t="s">
        <v>1054</v>
      </c>
      <c r="C298" s="10" t="s">
        <v>1059</v>
      </c>
      <c r="D298" s="9" t="s">
        <v>1060</v>
      </c>
      <c r="E298" s="10" t="s">
        <v>20</v>
      </c>
      <c r="F298" s="9" t="s">
        <v>961</v>
      </c>
      <c r="G298" s="9"/>
    </row>
    <row r="299" customFormat="false" ht="26.85" hidden="false" customHeight="false" outlineLevel="0" collapsed="false">
      <c r="A299" s="9" t="n">
        <v>112</v>
      </c>
      <c r="B299" s="9" t="s">
        <v>1054</v>
      </c>
      <c r="C299" s="10" t="s">
        <v>1061</v>
      </c>
      <c r="D299" s="9" t="s">
        <v>1062</v>
      </c>
      <c r="E299" s="10" t="s">
        <v>20</v>
      </c>
      <c r="F299" s="9" t="s">
        <v>961</v>
      </c>
      <c r="G299" s="9"/>
    </row>
    <row r="300" customFormat="false" ht="26.85" hidden="false" customHeight="false" outlineLevel="0" collapsed="false">
      <c r="A300" s="9" t="n">
        <v>113</v>
      </c>
      <c r="B300" s="9" t="s">
        <v>1063</v>
      </c>
      <c r="C300" s="10" t="s">
        <v>1064</v>
      </c>
      <c r="D300" s="9" t="s">
        <v>1065</v>
      </c>
      <c r="E300" s="10" t="s">
        <v>22</v>
      </c>
      <c r="F300" s="9" t="s">
        <v>961</v>
      </c>
      <c r="G300" s="9"/>
    </row>
    <row r="301" customFormat="false" ht="26.85" hidden="false" customHeight="false" outlineLevel="0" collapsed="false">
      <c r="A301" s="9" t="n">
        <v>113</v>
      </c>
      <c r="B301" s="9" t="s">
        <v>1063</v>
      </c>
      <c r="C301" s="10" t="s">
        <v>1066</v>
      </c>
      <c r="D301" s="9" t="s">
        <v>1067</v>
      </c>
      <c r="E301" s="10" t="s">
        <v>22</v>
      </c>
      <c r="F301" s="9" t="s">
        <v>961</v>
      </c>
      <c r="G301" s="9"/>
    </row>
    <row r="302" customFormat="false" ht="26.85" hidden="false" customHeight="false" outlineLevel="0" collapsed="false">
      <c r="A302" s="9" t="n">
        <v>113</v>
      </c>
      <c r="B302" s="9" t="s">
        <v>1063</v>
      </c>
      <c r="C302" s="10" t="s">
        <v>1068</v>
      </c>
      <c r="D302" s="9" t="s">
        <v>1069</v>
      </c>
      <c r="E302" s="10" t="s">
        <v>22</v>
      </c>
      <c r="F302" s="9" t="s">
        <v>961</v>
      </c>
      <c r="G302" s="9"/>
    </row>
    <row r="303" customFormat="false" ht="26.85" hidden="false" customHeight="false" outlineLevel="0" collapsed="false">
      <c r="A303" s="9" t="n">
        <v>113</v>
      </c>
      <c r="B303" s="9" t="s">
        <v>1063</v>
      </c>
      <c r="C303" s="10" t="s">
        <v>1070</v>
      </c>
      <c r="D303" s="9" t="s">
        <v>1071</v>
      </c>
      <c r="E303" s="10" t="s">
        <v>22</v>
      </c>
      <c r="F303" s="9" t="s">
        <v>961</v>
      </c>
      <c r="G303" s="9"/>
    </row>
    <row r="304" customFormat="false" ht="26.85" hidden="false" customHeight="false" outlineLevel="0" collapsed="false">
      <c r="A304" s="9" t="n">
        <v>114</v>
      </c>
      <c r="B304" s="9" t="s">
        <v>1072</v>
      </c>
      <c r="C304" s="10" t="s">
        <v>1073</v>
      </c>
      <c r="D304" s="9" t="s">
        <v>1074</v>
      </c>
      <c r="E304" s="10" t="s">
        <v>20</v>
      </c>
      <c r="F304" s="9" t="s">
        <v>961</v>
      </c>
      <c r="G304" s="9"/>
    </row>
    <row r="305" customFormat="false" ht="26.85" hidden="false" customHeight="false" outlineLevel="0" collapsed="false">
      <c r="A305" s="9" t="n">
        <v>114</v>
      </c>
      <c r="B305" s="9" t="s">
        <v>1072</v>
      </c>
      <c r="C305" s="10" t="s">
        <v>1075</v>
      </c>
      <c r="D305" s="9" t="s">
        <v>1076</v>
      </c>
      <c r="E305" s="10" t="s">
        <v>20</v>
      </c>
      <c r="F305" s="9" t="s">
        <v>961</v>
      </c>
      <c r="G305" s="9"/>
    </row>
    <row r="306" customFormat="false" ht="26.85" hidden="false" customHeight="false" outlineLevel="0" collapsed="false">
      <c r="A306" s="9" t="n">
        <v>114</v>
      </c>
      <c r="B306" s="9" t="s">
        <v>1072</v>
      </c>
      <c r="C306" s="10" t="s">
        <v>1077</v>
      </c>
      <c r="D306" s="9" t="s">
        <v>1078</v>
      </c>
      <c r="E306" s="10" t="s">
        <v>20</v>
      </c>
      <c r="F306" s="9" t="s">
        <v>961</v>
      </c>
      <c r="G306" s="9"/>
    </row>
    <row r="307" customFormat="false" ht="26.85" hidden="false" customHeight="false" outlineLevel="0" collapsed="false">
      <c r="A307" s="9" t="n">
        <v>114</v>
      </c>
      <c r="B307" s="9" t="s">
        <v>1072</v>
      </c>
      <c r="C307" s="10" t="s">
        <v>1079</v>
      </c>
      <c r="D307" s="9" t="s">
        <v>1080</v>
      </c>
      <c r="E307" s="10" t="s">
        <v>20</v>
      </c>
      <c r="F307" s="9" t="s">
        <v>961</v>
      </c>
      <c r="G307" s="9"/>
    </row>
    <row r="308" customFormat="false" ht="26.85" hidden="false" customHeight="false" outlineLevel="0" collapsed="false">
      <c r="A308" s="9" t="n">
        <v>115</v>
      </c>
      <c r="B308" s="9" t="s">
        <v>1081</v>
      </c>
      <c r="C308" s="10" t="s">
        <v>1082</v>
      </c>
      <c r="D308" s="9" t="s">
        <v>1083</v>
      </c>
      <c r="E308" s="10" t="s">
        <v>20</v>
      </c>
      <c r="F308" s="9" t="s">
        <v>961</v>
      </c>
      <c r="G308" s="9" t="s">
        <v>1084</v>
      </c>
    </row>
    <row r="309" customFormat="false" ht="26.85" hidden="false" customHeight="false" outlineLevel="0" collapsed="false">
      <c r="A309" s="9" t="n">
        <v>116</v>
      </c>
      <c r="B309" s="9" t="s">
        <v>1085</v>
      </c>
      <c r="C309" s="10" t="s">
        <v>1086</v>
      </c>
      <c r="D309" s="9" t="s">
        <v>1087</v>
      </c>
      <c r="E309" s="10" t="s">
        <v>20</v>
      </c>
      <c r="F309" s="9" t="s">
        <v>961</v>
      </c>
      <c r="G309" s="9"/>
    </row>
    <row r="310" customFormat="false" ht="26.85" hidden="false" customHeight="false" outlineLevel="0" collapsed="false">
      <c r="A310" s="9" t="n">
        <v>116</v>
      </c>
      <c r="B310" s="9" t="s">
        <v>1085</v>
      </c>
      <c r="C310" s="10" t="s">
        <v>1088</v>
      </c>
      <c r="D310" s="9" t="s">
        <v>1089</v>
      </c>
      <c r="E310" s="10" t="s">
        <v>20</v>
      </c>
      <c r="F310" s="9" t="s">
        <v>961</v>
      </c>
      <c r="G310" s="9"/>
    </row>
    <row r="311" customFormat="false" ht="26.85" hidden="false" customHeight="false" outlineLevel="0" collapsed="false">
      <c r="A311" s="9" t="n">
        <v>117</v>
      </c>
      <c r="B311" s="9" t="s">
        <v>1090</v>
      </c>
      <c r="C311" s="10" t="s">
        <v>1091</v>
      </c>
      <c r="D311" s="9" t="s">
        <v>1092</v>
      </c>
      <c r="E311" s="10" t="s">
        <v>20</v>
      </c>
      <c r="F311" s="9" t="s">
        <v>961</v>
      </c>
      <c r="G311" s="9"/>
    </row>
    <row r="312" customFormat="false" ht="26.85" hidden="false" customHeight="false" outlineLevel="0" collapsed="false">
      <c r="A312" s="9" t="n">
        <v>117</v>
      </c>
      <c r="B312" s="9" t="s">
        <v>1090</v>
      </c>
      <c r="C312" s="10" t="s">
        <v>1093</v>
      </c>
      <c r="D312" s="9" t="s">
        <v>1094</v>
      </c>
      <c r="E312" s="10" t="s">
        <v>20</v>
      </c>
      <c r="F312" s="9" t="s">
        <v>961</v>
      </c>
      <c r="G312" s="9"/>
    </row>
    <row r="313" customFormat="false" ht="26.85" hidden="false" customHeight="false" outlineLevel="0" collapsed="false">
      <c r="A313" s="9" t="n">
        <v>117</v>
      </c>
      <c r="B313" s="9" t="s">
        <v>1090</v>
      </c>
      <c r="C313" s="10" t="s">
        <v>1095</v>
      </c>
      <c r="D313" s="9" t="s">
        <v>1096</v>
      </c>
      <c r="E313" s="10" t="s">
        <v>20</v>
      </c>
      <c r="F313" s="9" t="s">
        <v>961</v>
      </c>
      <c r="G313" s="9"/>
    </row>
    <row r="314" customFormat="false" ht="26.85" hidden="false" customHeight="false" outlineLevel="0" collapsed="false">
      <c r="A314" s="9" t="n">
        <v>118</v>
      </c>
      <c r="B314" s="9" t="s">
        <v>1097</v>
      </c>
      <c r="C314" s="10" t="s">
        <v>1098</v>
      </c>
      <c r="D314" s="9" t="s">
        <v>1099</v>
      </c>
      <c r="E314" s="10" t="s">
        <v>20</v>
      </c>
      <c r="F314" s="9" t="s">
        <v>961</v>
      </c>
      <c r="G314" s="9" t="s">
        <v>1100</v>
      </c>
    </row>
    <row r="315" customFormat="false" ht="26.85" hidden="false" customHeight="false" outlineLevel="0" collapsed="false">
      <c r="A315" s="9" t="n">
        <v>119</v>
      </c>
      <c r="B315" s="9" t="s">
        <v>1101</v>
      </c>
      <c r="C315" s="10" t="s">
        <v>1102</v>
      </c>
      <c r="D315" s="9" t="s">
        <v>1103</v>
      </c>
      <c r="E315" s="10" t="s">
        <v>20</v>
      </c>
      <c r="F315" s="9" t="s">
        <v>961</v>
      </c>
      <c r="G315" s="9"/>
    </row>
    <row r="316" customFormat="false" ht="26.85" hidden="false" customHeight="false" outlineLevel="0" collapsed="false">
      <c r="A316" s="9" t="n">
        <v>119</v>
      </c>
      <c r="B316" s="9" t="s">
        <v>1101</v>
      </c>
      <c r="C316" s="10" t="s">
        <v>1104</v>
      </c>
      <c r="D316" s="9" t="s">
        <v>1105</v>
      </c>
      <c r="E316" s="10" t="s">
        <v>20</v>
      </c>
      <c r="F316" s="9" t="s">
        <v>961</v>
      </c>
      <c r="G316" s="9"/>
    </row>
    <row r="317" customFormat="false" ht="26.85" hidden="false" customHeight="false" outlineLevel="0" collapsed="false">
      <c r="A317" s="9" t="n">
        <v>120</v>
      </c>
      <c r="B317" s="9" t="s">
        <v>1106</v>
      </c>
      <c r="C317" s="10" t="s">
        <v>1107</v>
      </c>
      <c r="D317" s="9" t="s">
        <v>1108</v>
      </c>
      <c r="E317" s="10" t="s">
        <v>20</v>
      </c>
      <c r="F317" s="9" t="s">
        <v>961</v>
      </c>
      <c r="G317" s="9"/>
    </row>
    <row r="318" customFormat="false" ht="26.85" hidden="false" customHeight="false" outlineLevel="0" collapsed="false">
      <c r="A318" s="9" t="n">
        <v>120</v>
      </c>
      <c r="B318" s="9" t="s">
        <v>1106</v>
      </c>
      <c r="C318" s="10" t="s">
        <v>1109</v>
      </c>
      <c r="D318" s="9" t="s">
        <v>1110</v>
      </c>
      <c r="E318" s="10" t="s">
        <v>20</v>
      </c>
      <c r="F318" s="9" t="s">
        <v>961</v>
      </c>
      <c r="G318" s="9"/>
    </row>
    <row r="319" customFormat="false" ht="26.85" hidden="false" customHeight="false" outlineLevel="0" collapsed="false">
      <c r="A319" s="9" t="n">
        <v>121</v>
      </c>
      <c r="B319" s="9" t="s">
        <v>1111</v>
      </c>
      <c r="C319" s="10" t="s">
        <v>1112</v>
      </c>
      <c r="D319" s="9" t="s">
        <v>1113</v>
      </c>
      <c r="E319" s="10" t="s">
        <v>20</v>
      </c>
      <c r="F319" s="9" t="s">
        <v>961</v>
      </c>
      <c r="G319" s="9"/>
    </row>
    <row r="320" customFormat="false" ht="26.85" hidden="false" customHeight="false" outlineLevel="0" collapsed="false">
      <c r="A320" s="9" t="n">
        <v>121</v>
      </c>
      <c r="B320" s="9" t="s">
        <v>1111</v>
      </c>
      <c r="C320" s="10" t="s">
        <v>1114</v>
      </c>
      <c r="D320" s="9" t="s">
        <v>1115</v>
      </c>
      <c r="E320" s="10" t="s">
        <v>20</v>
      </c>
      <c r="F320" s="9" t="s">
        <v>961</v>
      </c>
      <c r="G320" s="9"/>
    </row>
    <row r="321" customFormat="false" ht="26.85" hidden="false" customHeight="false" outlineLevel="0" collapsed="false">
      <c r="A321" s="9" t="n">
        <v>122</v>
      </c>
      <c r="B321" s="9" t="s">
        <v>1116</v>
      </c>
      <c r="C321" s="10" t="s">
        <v>1117</v>
      </c>
      <c r="D321" s="9" t="s">
        <v>1118</v>
      </c>
      <c r="E321" s="10" t="s">
        <v>20</v>
      </c>
      <c r="F321" s="9" t="s">
        <v>961</v>
      </c>
      <c r="G321" s="9" t="s">
        <v>1119</v>
      </c>
    </row>
    <row r="322" customFormat="false" ht="26.85" hidden="false" customHeight="false" outlineLevel="0" collapsed="false">
      <c r="A322" s="9" t="n">
        <v>123</v>
      </c>
      <c r="B322" s="9" t="s">
        <v>1120</v>
      </c>
      <c r="C322" s="10" t="s">
        <v>1121</v>
      </c>
      <c r="D322" s="9" t="s">
        <v>1122</v>
      </c>
      <c r="E322" s="10" t="s">
        <v>20</v>
      </c>
      <c r="F322" s="9" t="s">
        <v>961</v>
      </c>
      <c r="G322" s="9"/>
    </row>
    <row r="323" customFormat="false" ht="26.85" hidden="false" customHeight="false" outlineLevel="0" collapsed="false">
      <c r="A323" s="9" t="n">
        <v>123</v>
      </c>
      <c r="B323" s="9" t="s">
        <v>1120</v>
      </c>
      <c r="C323" s="10" t="s">
        <v>1123</v>
      </c>
      <c r="D323" s="9" t="s">
        <v>1124</v>
      </c>
      <c r="E323" s="10" t="s">
        <v>20</v>
      </c>
      <c r="F323" s="9" t="s">
        <v>961</v>
      </c>
      <c r="G323" s="9"/>
    </row>
    <row r="324" customFormat="false" ht="26.85" hidden="false" customHeight="false" outlineLevel="0" collapsed="false">
      <c r="A324" s="9" t="n">
        <v>124</v>
      </c>
      <c r="B324" s="9" t="s">
        <v>1125</v>
      </c>
      <c r="C324" s="10" t="s">
        <v>1126</v>
      </c>
      <c r="D324" s="9" t="s">
        <v>1125</v>
      </c>
      <c r="E324" s="10" t="s">
        <v>20</v>
      </c>
      <c r="F324" s="9" t="s">
        <v>961</v>
      </c>
      <c r="G324" s="9" t="s">
        <v>1127</v>
      </c>
    </row>
    <row r="325" customFormat="false" ht="26.85" hidden="false" customHeight="false" outlineLevel="0" collapsed="false">
      <c r="A325" s="9" t="n">
        <v>125</v>
      </c>
      <c r="B325" s="9" t="s">
        <v>1128</v>
      </c>
      <c r="C325" s="10" t="s">
        <v>1129</v>
      </c>
      <c r="D325" s="9" t="s">
        <v>1130</v>
      </c>
      <c r="E325" s="10" t="s">
        <v>20</v>
      </c>
      <c r="F325" s="9" t="s">
        <v>961</v>
      </c>
      <c r="G325" s="9" t="s">
        <v>1131</v>
      </c>
    </row>
    <row r="326" customFormat="false" ht="26.85" hidden="false" customHeight="false" outlineLevel="0" collapsed="false">
      <c r="A326" s="9" t="n">
        <v>126</v>
      </c>
      <c r="B326" s="9" t="s">
        <v>1132</v>
      </c>
      <c r="C326" s="10" t="s">
        <v>1133</v>
      </c>
      <c r="D326" s="9" t="s">
        <v>1134</v>
      </c>
      <c r="E326" s="10" t="s">
        <v>22</v>
      </c>
      <c r="F326" s="9" t="s">
        <v>961</v>
      </c>
      <c r="G326" s="9" t="s">
        <v>1135</v>
      </c>
    </row>
    <row r="327" customFormat="false" ht="26.85" hidden="false" customHeight="false" outlineLevel="0" collapsed="false">
      <c r="A327" s="9" t="n">
        <v>127</v>
      </c>
      <c r="B327" s="9" t="s">
        <v>1136</v>
      </c>
      <c r="C327" s="10" t="s">
        <v>1137</v>
      </c>
      <c r="D327" s="9" t="s">
        <v>1138</v>
      </c>
      <c r="E327" s="10" t="s">
        <v>20</v>
      </c>
      <c r="F327" s="9" t="s">
        <v>961</v>
      </c>
      <c r="G327" s="9"/>
    </row>
    <row r="328" customFormat="false" ht="26.85" hidden="false" customHeight="false" outlineLevel="0" collapsed="false">
      <c r="A328" s="9" t="n">
        <v>127</v>
      </c>
      <c r="B328" s="9" t="s">
        <v>1136</v>
      </c>
      <c r="C328" s="10" t="s">
        <v>1139</v>
      </c>
      <c r="D328" s="9" t="s">
        <v>1140</v>
      </c>
      <c r="E328" s="10" t="s">
        <v>20</v>
      </c>
      <c r="F328" s="9" t="s">
        <v>961</v>
      </c>
      <c r="G328" s="9"/>
    </row>
    <row r="329" customFormat="false" ht="26.85" hidden="false" customHeight="false" outlineLevel="0" collapsed="false">
      <c r="A329" s="9" t="n">
        <v>127</v>
      </c>
      <c r="B329" s="9" t="s">
        <v>1136</v>
      </c>
      <c r="C329" s="10" t="s">
        <v>1141</v>
      </c>
      <c r="D329" s="9" t="s">
        <v>1142</v>
      </c>
      <c r="E329" s="10" t="s">
        <v>20</v>
      </c>
      <c r="F329" s="9" t="s">
        <v>961</v>
      </c>
      <c r="G329" s="9"/>
    </row>
    <row r="330" customFormat="false" ht="26.85" hidden="false" customHeight="false" outlineLevel="0" collapsed="false">
      <c r="A330" s="9" t="n">
        <v>128</v>
      </c>
      <c r="B330" s="9" t="s">
        <v>1143</v>
      </c>
      <c r="C330" s="10" t="s">
        <v>1144</v>
      </c>
      <c r="D330" s="9" t="s">
        <v>1145</v>
      </c>
      <c r="E330" s="10" t="s">
        <v>20</v>
      </c>
      <c r="F330" s="9" t="s">
        <v>961</v>
      </c>
      <c r="G330" s="9"/>
    </row>
    <row r="331" customFormat="false" ht="26.85" hidden="false" customHeight="false" outlineLevel="0" collapsed="false">
      <c r="A331" s="9" t="n">
        <v>128</v>
      </c>
      <c r="B331" s="9" t="s">
        <v>1143</v>
      </c>
      <c r="C331" s="10" t="s">
        <v>1146</v>
      </c>
      <c r="D331" s="9" t="s">
        <v>1147</v>
      </c>
      <c r="E331" s="10" t="s">
        <v>20</v>
      </c>
      <c r="F331" s="9" t="s">
        <v>961</v>
      </c>
      <c r="G331" s="9"/>
    </row>
    <row r="332" customFormat="false" ht="26.85" hidden="false" customHeight="false" outlineLevel="0" collapsed="false">
      <c r="A332" s="9" t="n">
        <v>128</v>
      </c>
      <c r="B332" s="9" t="s">
        <v>1143</v>
      </c>
      <c r="C332" s="10" t="s">
        <v>1148</v>
      </c>
      <c r="D332" s="9" t="s">
        <v>1149</v>
      </c>
      <c r="E332" s="10" t="s">
        <v>20</v>
      </c>
      <c r="F332" s="9" t="s">
        <v>961</v>
      </c>
      <c r="G332" s="9"/>
    </row>
    <row r="333" customFormat="false" ht="26.85" hidden="false" customHeight="false" outlineLevel="0" collapsed="false">
      <c r="A333" s="9" t="n">
        <v>129</v>
      </c>
      <c r="B333" s="9" t="s">
        <v>1150</v>
      </c>
      <c r="C333" s="10" t="s">
        <v>1151</v>
      </c>
      <c r="D333" s="9" t="s">
        <v>1150</v>
      </c>
      <c r="E333" s="10" t="s">
        <v>20</v>
      </c>
      <c r="F333" s="9" t="s">
        <v>961</v>
      </c>
      <c r="G333" s="9"/>
    </row>
    <row r="334" customFormat="false" ht="26.85" hidden="false" customHeight="false" outlineLevel="0" collapsed="false">
      <c r="A334" s="9" t="n">
        <v>129</v>
      </c>
      <c r="B334" s="9" t="s">
        <v>1150</v>
      </c>
      <c r="C334" s="10" t="s">
        <v>1152</v>
      </c>
      <c r="D334" s="9" t="s">
        <v>1153</v>
      </c>
      <c r="E334" s="10" t="s">
        <v>20</v>
      </c>
      <c r="F334" s="9" t="s">
        <v>961</v>
      </c>
      <c r="G334" s="9"/>
    </row>
    <row r="335" customFormat="false" ht="26.85" hidden="false" customHeight="false" outlineLevel="0" collapsed="false">
      <c r="A335" s="9" t="n">
        <v>130</v>
      </c>
      <c r="B335" s="9" t="s">
        <v>1154</v>
      </c>
      <c r="C335" s="10" t="s">
        <v>1155</v>
      </c>
      <c r="D335" s="9" t="s">
        <v>1156</v>
      </c>
      <c r="E335" s="10" t="s">
        <v>20</v>
      </c>
      <c r="F335" s="9" t="s">
        <v>961</v>
      </c>
      <c r="G335" s="9" t="s">
        <v>1157</v>
      </c>
    </row>
    <row r="336" customFormat="false" ht="26.85" hidden="false" customHeight="false" outlineLevel="0" collapsed="false">
      <c r="A336" s="9" t="n">
        <v>131</v>
      </c>
      <c r="B336" s="9" t="s">
        <v>1158</v>
      </c>
      <c r="C336" s="10" t="s">
        <v>1159</v>
      </c>
      <c r="D336" s="9" t="s">
        <v>1158</v>
      </c>
      <c r="E336" s="10" t="s">
        <v>20</v>
      </c>
      <c r="F336" s="9" t="s">
        <v>961</v>
      </c>
      <c r="G336" s="9" t="s">
        <v>1160</v>
      </c>
    </row>
    <row r="337" customFormat="false" ht="26.85" hidden="false" customHeight="false" outlineLevel="0" collapsed="false">
      <c r="A337" s="9" t="n">
        <v>132</v>
      </c>
      <c r="B337" s="9" t="s">
        <v>1161</v>
      </c>
      <c r="C337" s="10" t="s">
        <v>1162</v>
      </c>
      <c r="D337" s="9" t="s">
        <v>1163</v>
      </c>
      <c r="E337" s="10" t="s">
        <v>21</v>
      </c>
      <c r="F337" s="9" t="s">
        <v>961</v>
      </c>
      <c r="G337" s="9" t="s">
        <v>1164</v>
      </c>
    </row>
    <row r="338" customFormat="false" ht="26.85" hidden="false" customHeight="false" outlineLevel="0" collapsed="false">
      <c r="A338" s="9" t="n">
        <v>133</v>
      </c>
      <c r="B338" s="9" t="s">
        <v>1165</v>
      </c>
      <c r="C338" s="10" t="s">
        <v>1166</v>
      </c>
      <c r="D338" s="9" t="s">
        <v>1167</v>
      </c>
      <c r="E338" s="10" t="s">
        <v>21</v>
      </c>
      <c r="F338" s="9" t="s">
        <v>961</v>
      </c>
      <c r="G338" s="9" t="s">
        <v>1168</v>
      </c>
    </row>
    <row r="339" customFormat="false" ht="15" hidden="false" customHeight="false" outlineLevel="0" collapsed="false">
      <c r="A339" s="9" t="n">
        <v>134</v>
      </c>
      <c r="B339" s="9" t="s">
        <v>1169</v>
      </c>
      <c r="C339" s="10" t="s">
        <v>1170</v>
      </c>
      <c r="D339" s="9" t="s">
        <v>1169</v>
      </c>
      <c r="E339" s="10" t="s">
        <v>25</v>
      </c>
      <c r="F339" s="9" t="s">
        <v>1171</v>
      </c>
      <c r="G339" s="9" t="s">
        <v>1172</v>
      </c>
    </row>
    <row r="340" customFormat="false" ht="15" hidden="false" customHeight="false" outlineLevel="0" collapsed="false">
      <c r="A340" s="9" t="n">
        <v>135</v>
      </c>
      <c r="B340" s="9" t="s">
        <v>1173</v>
      </c>
      <c r="C340" s="10" t="s">
        <v>1174</v>
      </c>
      <c r="D340" s="9" t="s">
        <v>1175</v>
      </c>
      <c r="E340" s="10" t="s">
        <v>25</v>
      </c>
      <c r="F340" s="9" t="s">
        <v>1171</v>
      </c>
      <c r="G340" s="9" t="s">
        <v>1176</v>
      </c>
    </row>
    <row r="341" customFormat="false" ht="15" hidden="false" customHeight="false" outlineLevel="0" collapsed="false">
      <c r="A341" s="9" t="n">
        <v>135</v>
      </c>
      <c r="B341" s="9" t="s">
        <v>1173</v>
      </c>
      <c r="C341" s="10" t="s">
        <v>1177</v>
      </c>
      <c r="D341" s="9" t="s">
        <v>1178</v>
      </c>
      <c r="E341" s="10" t="s">
        <v>24</v>
      </c>
      <c r="F341" s="9" t="s">
        <v>1171</v>
      </c>
      <c r="G341" s="9" t="s">
        <v>1178</v>
      </c>
    </row>
    <row r="342" customFormat="false" ht="15" hidden="false" customHeight="false" outlineLevel="0" collapsed="false">
      <c r="A342" s="9" t="n">
        <v>136</v>
      </c>
      <c r="B342" s="9" t="s">
        <v>1179</v>
      </c>
      <c r="C342" s="10" t="s">
        <v>1180</v>
      </c>
      <c r="D342" s="9" t="s">
        <v>1181</v>
      </c>
      <c r="E342" s="10" t="s">
        <v>25</v>
      </c>
      <c r="F342" s="9" t="s">
        <v>1171</v>
      </c>
      <c r="G342" s="9" t="s">
        <v>1182</v>
      </c>
    </row>
    <row r="343" customFormat="false" ht="15" hidden="false" customHeight="false" outlineLevel="0" collapsed="false">
      <c r="A343" s="9" t="n">
        <v>137</v>
      </c>
      <c r="B343" s="9" t="s">
        <v>1183</v>
      </c>
      <c r="C343" s="10" t="s">
        <v>1184</v>
      </c>
      <c r="D343" s="9" t="s">
        <v>1185</v>
      </c>
      <c r="E343" s="10" t="s">
        <v>25</v>
      </c>
      <c r="F343" s="9" t="s">
        <v>1171</v>
      </c>
      <c r="G343" s="9"/>
    </row>
    <row r="344" customFormat="false" ht="15" hidden="false" customHeight="false" outlineLevel="0" collapsed="false">
      <c r="A344" s="9" t="n">
        <v>137</v>
      </c>
      <c r="B344" s="9" t="s">
        <v>1183</v>
      </c>
      <c r="C344" s="10" t="s">
        <v>1186</v>
      </c>
      <c r="D344" s="9" t="s">
        <v>1187</v>
      </c>
      <c r="E344" s="10" t="s">
        <v>25</v>
      </c>
      <c r="F344" s="9" t="s">
        <v>1171</v>
      </c>
      <c r="G344" s="9"/>
    </row>
    <row r="345" customFormat="false" ht="15" hidden="false" customHeight="false" outlineLevel="0" collapsed="false">
      <c r="A345" s="9" t="n">
        <v>137</v>
      </c>
      <c r="B345" s="9" t="s">
        <v>1183</v>
      </c>
      <c r="C345" s="10" t="s">
        <v>1188</v>
      </c>
      <c r="D345" s="9" t="s">
        <v>1189</v>
      </c>
      <c r="E345" s="10" t="s">
        <v>24</v>
      </c>
      <c r="F345" s="9" t="s">
        <v>1171</v>
      </c>
      <c r="G345" s="9"/>
    </row>
    <row r="346" customFormat="false" ht="15" hidden="false" customHeight="false" outlineLevel="0" collapsed="false">
      <c r="A346" s="9" t="n">
        <v>137</v>
      </c>
      <c r="B346" s="9" t="s">
        <v>1183</v>
      </c>
      <c r="C346" s="10" t="s">
        <v>1190</v>
      </c>
      <c r="D346" s="9" t="s">
        <v>1191</v>
      </c>
      <c r="E346" s="10" t="s">
        <v>24</v>
      </c>
      <c r="F346" s="9" t="s">
        <v>1171</v>
      </c>
      <c r="G346" s="9"/>
    </row>
    <row r="347" customFormat="false" ht="15" hidden="false" customHeight="false" outlineLevel="0" collapsed="false">
      <c r="A347" s="9" t="n">
        <v>138</v>
      </c>
      <c r="B347" s="9" t="s">
        <v>1192</v>
      </c>
      <c r="C347" s="10" t="s">
        <v>1193</v>
      </c>
      <c r="D347" s="9" t="s">
        <v>1194</v>
      </c>
      <c r="E347" s="10" t="s">
        <v>23</v>
      </c>
      <c r="F347" s="9" t="s">
        <v>1171</v>
      </c>
      <c r="G347" s="9"/>
    </row>
    <row r="348" customFormat="false" ht="15" hidden="false" customHeight="false" outlineLevel="0" collapsed="false">
      <c r="A348" s="9" t="n">
        <v>138</v>
      </c>
      <c r="B348" s="9" t="s">
        <v>1192</v>
      </c>
      <c r="C348" s="10" t="s">
        <v>1195</v>
      </c>
      <c r="D348" s="9" t="s">
        <v>1196</v>
      </c>
      <c r="E348" s="10" t="s">
        <v>23</v>
      </c>
      <c r="F348" s="9" t="s">
        <v>1171</v>
      </c>
      <c r="G348" s="9"/>
    </row>
    <row r="349" customFormat="false" ht="15" hidden="false" customHeight="false" outlineLevel="0" collapsed="false">
      <c r="A349" s="9" t="n">
        <v>139</v>
      </c>
      <c r="B349" s="9" t="s">
        <v>1197</v>
      </c>
      <c r="C349" s="10" t="s">
        <v>1198</v>
      </c>
      <c r="D349" s="9" t="s">
        <v>1199</v>
      </c>
      <c r="E349" s="10" t="s">
        <v>23</v>
      </c>
      <c r="F349" s="9" t="s">
        <v>1171</v>
      </c>
      <c r="G349" s="9" t="s">
        <v>1200</v>
      </c>
    </row>
    <row r="350" customFormat="false" ht="15" hidden="false" customHeight="false" outlineLevel="0" collapsed="false">
      <c r="A350" s="9" t="n">
        <v>140</v>
      </c>
      <c r="B350" s="9" t="s">
        <v>1201</v>
      </c>
      <c r="C350" s="10" t="s">
        <v>1202</v>
      </c>
      <c r="D350" s="9" t="s">
        <v>1203</v>
      </c>
      <c r="E350" s="10" t="s">
        <v>25</v>
      </c>
      <c r="F350" s="9" t="s">
        <v>1171</v>
      </c>
      <c r="G350" s="9"/>
    </row>
    <row r="351" customFormat="false" ht="15" hidden="false" customHeight="false" outlineLevel="0" collapsed="false">
      <c r="A351" s="9" t="n">
        <v>140</v>
      </c>
      <c r="B351" s="9" t="s">
        <v>1201</v>
      </c>
      <c r="C351" s="10" t="s">
        <v>1204</v>
      </c>
      <c r="D351" s="9" t="s">
        <v>1205</v>
      </c>
      <c r="E351" s="10" t="s">
        <v>25</v>
      </c>
      <c r="F351" s="9" t="s">
        <v>1171</v>
      </c>
      <c r="G351" s="9"/>
    </row>
    <row r="352" customFormat="false" ht="15" hidden="false" customHeight="false" outlineLevel="0" collapsed="false">
      <c r="A352" s="9" t="n">
        <v>141</v>
      </c>
      <c r="B352" s="9" t="s">
        <v>1206</v>
      </c>
      <c r="C352" s="10" t="s">
        <v>1207</v>
      </c>
      <c r="D352" s="9" t="s">
        <v>1208</v>
      </c>
      <c r="E352" s="10" t="s">
        <v>24</v>
      </c>
      <c r="F352" s="9" t="s">
        <v>1171</v>
      </c>
      <c r="G352" s="9"/>
    </row>
    <row r="353" customFormat="false" ht="15" hidden="false" customHeight="false" outlineLevel="0" collapsed="false">
      <c r="A353" s="9" t="n">
        <v>141</v>
      </c>
      <c r="B353" s="9" t="s">
        <v>1206</v>
      </c>
      <c r="C353" s="10" t="s">
        <v>1209</v>
      </c>
      <c r="D353" s="9" t="s">
        <v>1210</v>
      </c>
      <c r="E353" s="10" t="s">
        <v>24</v>
      </c>
      <c r="F353" s="9" t="s">
        <v>1171</v>
      </c>
      <c r="G353" s="9"/>
    </row>
    <row r="354" customFormat="false" ht="15" hidden="false" customHeight="false" outlineLevel="0" collapsed="false">
      <c r="A354" s="9" t="n">
        <v>142</v>
      </c>
      <c r="B354" s="9" t="s">
        <v>1211</v>
      </c>
      <c r="C354" s="10" t="s">
        <v>1212</v>
      </c>
      <c r="D354" s="9" t="s">
        <v>1213</v>
      </c>
      <c r="E354" s="10" t="s">
        <v>24</v>
      </c>
      <c r="F354" s="9" t="s">
        <v>1171</v>
      </c>
      <c r="G354" s="9"/>
    </row>
    <row r="355" customFormat="false" ht="15" hidden="false" customHeight="false" outlineLevel="0" collapsed="false">
      <c r="A355" s="9" t="n">
        <v>142</v>
      </c>
      <c r="B355" s="9" t="s">
        <v>1211</v>
      </c>
      <c r="C355" s="10" t="s">
        <v>1214</v>
      </c>
      <c r="D355" s="9" t="s">
        <v>1215</v>
      </c>
      <c r="E355" s="10" t="s">
        <v>24</v>
      </c>
      <c r="F355" s="9" t="s">
        <v>1171</v>
      </c>
      <c r="G355" s="9"/>
    </row>
    <row r="356" customFormat="false" ht="26.85" hidden="false" customHeight="false" outlineLevel="0" collapsed="false">
      <c r="A356" s="9" t="n">
        <v>143</v>
      </c>
      <c r="B356" s="9" t="s">
        <v>1216</v>
      </c>
      <c r="C356" s="10" t="s">
        <v>1217</v>
      </c>
      <c r="D356" s="9" t="s">
        <v>1218</v>
      </c>
      <c r="E356" s="10" t="s">
        <v>23</v>
      </c>
      <c r="F356" s="9" t="s">
        <v>1171</v>
      </c>
      <c r="G356" s="9"/>
    </row>
    <row r="357" customFormat="false" ht="26.85" hidden="false" customHeight="false" outlineLevel="0" collapsed="false">
      <c r="A357" s="9" t="n">
        <v>143</v>
      </c>
      <c r="B357" s="9" t="s">
        <v>1216</v>
      </c>
      <c r="C357" s="10" t="s">
        <v>1219</v>
      </c>
      <c r="D357" s="9" t="s">
        <v>1220</v>
      </c>
      <c r="E357" s="10" t="s">
        <v>23</v>
      </c>
      <c r="F357" s="9" t="s">
        <v>1171</v>
      </c>
      <c r="G357" s="9"/>
    </row>
    <row r="358" customFormat="false" ht="15" hidden="false" customHeight="false" outlineLevel="0" collapsed="false">
      <c r="A358" s="9" t="n">
        <v>143</v>
      </c>
      <c r="B358" s="9" t="s">
        <v>1216</v>
      </c>
      <c r="C358" s="10" t="s">
        <v>1221</v>
      </c>
      <c r="D358" s="9" t="s">
        <v>1222</v>
      </c>
      <c r="E358" s="10" t="s">
        <v>23</v>
      </c>
      <c r="F358" s="9" t="s">
        <v>1171</v>
      </c>
      <c r="G358" s="9"/>
    </row>
    <row r="359" customFormat="false" ht="15" hidden="false" customHeight="false" outlineLevel="0" collapsed="false">
      <c r="A359" s="9" t="n">
        <v>143</v>
      </c>
      <c r="B359" s="9" t="s">
        <v>1216</v>
      </c>
      <c r="C359" s="10" t="s">
        <v>1223</v>
      </c>
      <c r="D359" s="9" t="s">
        <v>1224</v>
      </c>
      <c r="E359" s="10" t="s">
        <v>23</v>
      </c>
      <c r="F359" s="9" t="s">
        <v>1171</v>
      </c>
      <c r="G359" s="9"/>
    </row>
    <row r="360" customFormat="false" ht="15" hidden="false" customHeight="false" outlineLevel="0" collapsed="false">
      <c r="A360" s="9" t="n">
        <v>143</v>
      </c>
      <c r="B360" s="9" t="s">
        <v>1216</v>
      </c>
      <c r="C360" s="10" t="s">
        <v>1225</v>
      </c>
      <c r="D360" s="9" t="s">
        <v>1226</v>
      </c>
      <c r="E360" s="10" t="s">
        <v>23</v>
      </c>
      <c r="F360" s="9" t="s">
        <v>1171</v>
      </c>
      <c r="G360" s="9"/>
    </row>
    <row r="361" customFormat="false" ht="15" hidden="false" customHeight="false" outlineLevel="0" collapsed="false">
      <c r="A361" s="9" t="n">
        <v>143</v>
      </c>
      <c r="B361" s="9" t="s">
        <v>1216</v>
      </c>
      <c r="C361" s="10" t="s">
        <v>1227</v>
      </c>
      <c r="D361" s="9" t="s">
        <v>1228</v>
      </c>
      <c r="E361" s="10" t="s">
        <v>23</v>
      </c>
      <c r="F361" s="9" t="s">
        <v>1171</v>
      </c>
      <c r="G361" s="9"/>
    </row>
    <row r="362" customFormat="false" ht="26.85" hidden="false" customHeight="false" outlineLevel="0" collapsed="false">
      <c r="A362" s="9" t="n">
        <v>143</v>
      </c>
      <c r="B362" s="9" t="s">
        <v>1216</v>
      </c>
      <c r="C362" s="10" t="s">
        <v>1229</v>
      </c>
      <c r="D362" s="9" t="s">
        <v>1230</v>
      </c>
      <c r="E362" s="10" t="s">
        <v>23</v>
      </c>
      <c r="F362" s="9" t="s">
        <v>1171</v>
      </c>
      <c r="G362" s="9"/>
    </row>
    <row r="363" customFormat="false" ht="26.85" hidden="false" customHeight="false" outlineLevel="0" collapsed="false">
      <c r="A363" s="9" t="n">
        <v>143</v>
      </c>
      <c r="B363" s="9" t="s">
        <v>1216</v>
      </c>
      <c r="C363" s="10" t="s">
        <v>1231</v>
      </c>
      <c r="D363" s="9" t="s">
        <v>1232</v>
      </c>
      <c r="E363" s="10" t="s">
        <v>23</v>
      </c>
      <c r="F363" s="9" t="s">
        <v>1171</v>
      </c>
      <c r="G363" s="9"/>
    </row>
    <row r="364" customFormat="false" ht="15" hidden="false" customHeight="false" outlineLevel="0" collapsed="false">
      <c r="A364" s="9" t="n">
        <v>144</v>
      </c>
      <c r="B364" s="9" t="s">
        <v>1233</v>
      </c>
      <c r="C364" s="10" t="s">
        <v>1234</v>
      </c>
      <c r="D364" s="9" t="s">
        <v>1235</v>
      </c>
      <c r="E364" s="10" t="s">
        <v>25</v>
      </c>
      <c r="F364" s="9" t="s">
        <v>1171</v>
      </c>
      <c r="G364" s="9"/>
    </row>
    <row r="365" customFormat="false" ht="15" hidden="false" customHeight="false" outlineLevel="0" collapsed="false">
      <c r="A365" s="9" t="n">
        <v>144</v>
      </c>
      <c r="B365" s="9" t="s">
        <v>1233</v>
      </c>
      <c r="C365" s="10" t="s">
        <v>1236</v>
      </c>
      <c r="D365" s="9" t="s">
        <v>1237</v>
      </c>
      <c r="E365" s="10" t="s">
        <v>25</v>
      </c>
      <c r="F365" s="9" t="s">
        <v>1171</v>
      </c>
      <c r="G365" s="9"/>
    </row>
    <row r="366" customFormat="false" ht="15" hidden="false" customHeight="false" outlineLevel="0" collapsed="false">
      <c r="A366" s="9" t="n">
        <v>145</v>
      </c>
      <c r="B366" s="9" t="s">
        <v>1238</v>
      </c>
      <c r="C366" s="10" t="s">
        <v>1239</v>
      </c>
      <c r="D366" s="9" t="s">
        <v>1240</v>
      </c>
      <c r="E366" s="10" t="s">
        <v>23</v>
      </c>
      <c r="F366" s="9" t="s">
        <v>1171</v>
      </c>
      <c r="G366" s="9"/>
    </row>
    <row r="367" customFormat="false" ht="15" hidden="false" customHeight="false" outlineLevel="0" collapsed="false">
      <c r="A367" s="9" t="n">
        <v>145</v>
      </c>
      <c r="B367" s="9" t="s">
        <v>1238</v>
      </c>
      <c r="C367" s="10" t="s">
        <v>1241</v>
      </c>
      <c r="D367" s="9" t="s">
        <v>1242</v>
      </c>
      <c r="E367" s="10" t="s">
        <v>23</v>
      </c>
      <c r="F367" s="9" t="s">
        <v>1171</v>
      </c>
      <c r="G367" s="9"/>
    </row>
    <row r="368" customFormat="false" ht="15" hidden="false" customHeight="false" outlineLevel="0" collapsed="false">
      <c r="A368" s="9" t="n">
        <v>146</v>
      </c>
      <c r="B368" s="9" t="s">
        <v>1243</v>
      </c>
      <c r="C368" s="10" t="s">
        <v>1244</v>
      </c>
      <c r="D368" s="9" t="s">
        <v>1245</v>
      </c>
      <c r="E368" s="10" t="s">
        <v>22</v>
      </c>
      <c r="F368" s="9" t="s">
        <v>1171</v>
      </c>
      <c r="G368" s="9"/>
    </row>
    <row r="369" customFormat="false" ht="15" hidden="false" customHeight="false" outlineLevel="0" collapsed="false">
      <c r="A369" s="9" t="n">
        <v>146</v>
      </c>
      <c r="B369" s="9" t="s">
        <v>1243</v>
      </c>
      <c r="C369" s="10" t="s">
        <v>1246</v>
      </c>
      <c r="D369" s="9" t="s">
        <v>1247</v>
      </c>
      <c r="E369" s="10" t="s">
        <v>20</v>
      </c>
      <c r="F369" s="9" t="s">
        <v>1171</v>
      </c>
      <c r="G369" s="9" t="s">
        <v>1248</v>
      </c>
    </row>
    <row r="370" customFormat="false" ht="15" hidden="false" customHeight="false" outlineLevel="0" collapsed="false">
      <c r="A370" s="9" t="n">
        <v>146</v>
      </c>
      <c r="B370" s="9" t="s">
        <v>1243</v>
      </c>
      <c r="C370" s="10" t="s">
        <v>1249</v>
      </c>
      <c r="D370" s="9" t="s">
        <v>1250</v>
      </c>
      <c r="E370" s="10" t="s">
        <v>22</v>
      </c>
      <c r="F370" s="9" t="s">
        <v>1171</v>
      </c>
      <c r="G370" s="9"/>
    </row>
    <row r="371" customFormat="false" ht="15" hidden="false" customHeight="false" outlineLevel="0" collapsed="false">
      <c r="A371" s="9" t="n">
        <v>146</v>
      </c>
      <c r="B371" s="9" t="s">
        <v>1243</v>
      </c>
      <c r="C371" s="10" t="s">
        <v>1251</v>
      </c>
      <c r="D371" s="9" t="s">
        <v>1252</v>
      </c>
      <c r="E371" s="10" t="s">
        <v>22</v>
      </c>
      <c r="F371" s="9" t="s">
        <v>1171</v>
      </c>
      <c r="G371" s="9"/>
    </row>
    <row r="372" customFormat="false" ht="15" hidden="false" customHeight="false" outlineLevel="0" collapsed="false">
      <c r="A372" s="9" t="n">
        <v>146</v>
      </c>
      <c r="B372" s="9" t="s">
        <v>1243</v>
      </c>
      <c r="C372" s="10" t="s">
        <v>1253</v>
      </c>
      <c r="D372" s="9" t="s">
        <v>1254</v>
      </c>
      <c r="E372" s="10" t="s">
        <v>22</v>
      </c>
      <c r="F372" s="9" t="s">
        <v>1171</v>
      </c>
      <c r="G372" s="9"/>
    </row>
    <row r="373" customFormat="false" ht="15" hidden="false" customHeight="false" outlineLevel="0" collapsed="false">
      <c r="A373" s="9" t="n">
        <v>147</v>
      </c>
      <c r="B373" s="9" t="s">
        <v>1255</v>
      </c>
      <c r="C373" s="10" t="s">
        <v>1256</v>
      </c>
      <c r="D373" s="9" t="s">
        <v>1257</v>
      </c>
      <c r="E373" s="10" t="s">
        <v>22</v>
      </c>
      <c r="F373" s="9" t="s">
        <v>1171</v>
      </c>
      <c r="G373" s="9"/>
    </row>
    <row r="374" customFormat="false" ht="15" hidden="false" customHeight="false" outlineLevel="0" collapsed="false">
      <c r="A374" s="9" t="n">
        <v>147</v>
      </c>
      <c r="B374" s="9" t="s">
        <v>1255</v>
      </c>
      <c r="C374" s="10" t="s">
        <v>1258</v>
      </c>
      <c r="D374" s="9" t="s">
        <v>1259</v>
      </c>
      <c r="E374" s="10" t="s">
        <v>22</v>
      </c>
      <c r="F374" s="9" t="s">
        <v>1171</v>
      </c>
      <c r="G374" s="9"/>
    </row>
    <row r="375" customFormat="false" ht="15" hidden="false" customHeight="false" outlineLevel="0" collapsed="false">
      <c r="A375" s="9" t="n">
        <v>147</v>
      </c>
      <c r="B375" s="9" t="s">
        <v>1255</v>
      </c>
      <c r="C375" s="10" t="s">
        <v>1260</v>
      </c>
      <c r="D375" s="9" t="s">
        <v>1261</v>
      </c>
      <c r="E375" s="10" t="s">
        <v>22</v>
      </c>
      <c r="F375" s="9" t="s">
        <v>1171</v>
      </c>
      <c r="G375" s="9"/>
    </row>
    <row r="376" customFormat="false" ht="15" hidden="false" customHeight="false" outlineLevel="0" collapsed="false">
      <c r="A376" s="9" t="n">
        <v>147</v>
      </c>
      <c r="B376" s="9" t="s">
        <v>1255</v>
      </c>
      <c r="C376" s="10" t="s">
        <v>1262</v>
      </c>
      <c r="D376" s="9" t="s">
        <v>1263</v>
      </c>
      <c r="E376" s="10" t="s">
        <v>24</v>
      </c>
      <c r="F376" s="9" t="s">
        <v>1171</v>
      </c>
      <c r="G376" s="9"/>
    </row>
    <row r="377" customFormat="false" ht="15" hidden="false" customHeight="false" outlineLevel="0" collapsed="false">
      <c r="A377" s="9" t="n">
        <v>147</v>
      </c>
      <c r="B377" s="9" t="s">
        <v>1255</v>
      </c>
      <c r="C377" s="10" t="s">
        <v>1264</v>
      </c>
      <c r="D377" s="9" t="s">
        <v>1265</v>
      </c>
      <c r="E377" s="10" t="s">
        <v>24</v>
      </c>
      <c r="F377" s="9" t="s">
        <v>1171</v>
      </c>
      <c r="G377" s="9"/>
    </row>
    <row r="378" customFormat="false" ht="15" hidden="false" customHeight="false" outlineLevel="0" collapsed="false">
      <c r="A378" s="9" t="n">
        <v>148</v>
      </c>
      <c r="B378" s="9" t="s">
        <v>1266</v>
      </c>
      <c r="C378" s="10" t="s">
        <v>1267</v>
      </c>
      <c r="D378" s="9" t="s">
        <v>1268</v>
      </c>
      <c r="E378" s="10" t="s">
        <v>20</v>
      </c>
      <c r="F378" s="9" t="s">
        <v>1171</v>
      </c>
      <c r="G378" s="9" t="s">
        <v>1269</v>
      </c>
    </row>
    <row r="379" customFormat="false" ht="15" hidden="false" customHeight="false" outlineLevel="0" collapsed="false">
      <c r="A379" s="9" t="n">
        <v>149</v>
      </c>
      <c r="B379" s="9" t="s">
        <v>1270</v>
      </c>
      <c r="C379" s="10" t="s">
        <v>1271</v>
      </c>
      <c r="D379" s="9" t="s">
        <v>1272</v>
      </c>
      <c r="E379" s="10" t="s">
        <v>24</v>
      </c>
      <c r="F379" s="9" t="s">
        <v>1171</v>
      </c>
      <c r="G379" s="9" t="s">
        <v>1273</v>
      </c>
    </row>
    <row r="380" customFormat="false" ht="15" hidden="false" customHeight="false" outlineLevel="0" collapsed="false">
      <c r="A380" s="9" t="n">
        <v>150</v>
      </c>
      <c r="B380" s="9" t="s">
        <v>1274</v>
      </c>
      <c r="C380" s="10" t="s">
        <v>1275</v>
      </c>
      <c r="D380" s="9" t="s">
        <v>1276</v>
      </c>
      <c r="E380" s="10" t="s">
        <v>22</v>
      </c>
      <c r="F380" s="9" t="s">
        <v>1171</v>
      </c>
      <c r="G380" s="9" t="s">
        <v>1277</v>
      </c>
    </row>
    <row r="381" customFormat="false" ht="15" hidden="false" customHeight="false" outlineLevel="0" collapsed="false">
      <c r="A381" s="9" t="n">
        <v>151</v>
      </c>
      <c r="B381" s="9" t="s">
        <v>1278</v>
      </c>
      <c r="C381" s="10" t="s">
        <v>1279</v>
      </c>
      <c r="D381" s="9" t="s">
        <v>1280</v>
      </c>
      <c r="E381" s="10" t="s">
        <v>23</v>
      </c>
      <c r="F381" s="9" t="s">
        <v>1281</v>
      </c>
      <c r="G381" s="9" t="s">
        <v>1282</v>
      </c>
    </row>
    <row r="382" customFormat="false" ht="15" hidden="false" customHeight="false" outlineLevel="0" collapsed="false">
      <c r="A382" s="9" t="n">
        <v>151</v>
      </c>
      <c r="B382" s="9" t="s">
        <v>1278</v>
      </c>
      <c r="C382" s="10" t="s">
        <v>1283</v>
      </c>
      <c r="D382" s="9" t="s">
        <v>1284</v>
      </c>
      <c r="E382" s="10" t="s">
        <v>22</v>
      </c>
      <c r="F382" s="9" t="s">
        <v>1281</v>
      </c>
      <c r="G382" s="9" t="s">
        <v>1285</v>
      </c>
    </row>
    <row r="383" customFormat="false" ht="15" hidden="false" customHeight="false" outlineLevel="0" collapsed="false">
      <c r="A383" s="9" t="n">
        <v>152</v>
      </c>
      <c r="B383" s="9" t="s">
        <v>1286</v>
      </c>
      <c r="C383" s="10" t="s">
        <v>1287</v>
      </c>
      <c r="D383" s="9" t="s">
        <v>1288</v>
      </c>
      <c r="E383" s="10" t="s">
        <v>23</v>
      </c>
      <c r="F383" s="9" t="s">
        <v>1281</v>
      </c>
      <c r="G383" s="9"/>
    </row>
    <row r="384" customFormat="false" ht="15" hidden="false" customHeight="false" outlineLevel="0" collapsed="false">
      <c r="A384" s="9" t="n">
        <v>152</v>
      </c>
      <c r="B384" s="9" t="s">
        <v>1286</v>
      </c>
      <c r="C384" s="10" t="s">
        <v>1289</v>
      </c>
      <c r="D384" s="9" t="s">
        <v>1290</v>
      </c>
      <c r="E384" s="10" t="s">
        <v>23</v>
      </c>
      <c r="F384" s="9" t="s">
        <v>1281</v>
      </c>
      <c r="G384" s="9"/>
    </row>
    <row r="385" customFormat="false" ht="15" hidden="false" customHeight="false" outlineLevel="0" collapsed="false">
      <c r="A385" s="9" t="n">
        <v>152</v>
      </c>
      <c r="B385" s="9" t="s">
        <v>1286</v>
      </c>
      <c r="C385" s="10" t="s">
        <v>1291</v>
      </c>
      <c r="D385" s="9" t="s">
        <v>1292</v>
      </c>
      <c r="E385" s="10" t="s">
        <v>23</v>
      </c>
      <c r="F385" s="9" t="s">
        <v>1281</v>
      </c>
      <c r="G385" s="9"/>
    </row>
    <row r="386" customFormat="false" ht="15" hidden="false" customHeight="false" outlineLevel="0" collapsed="false">
      <c r="A386" s="9" t="n">
        <v>153</v>
      </c>
      <c r="B386" s="9" t="s">
        <v>1293</v>
      </c>
      <c r="C386" s="10" t="s">
        <v>1294</v>
      </c>
      <c r="D386" s="9" t="s">
        <v>1295</v>
      </c>
      <c r="E386" s="10" t="s">
        <v>22</v>
      </c>
      <c r="F386" s="9" t="s">
        <v>1281</v>
      </c>
      <c r="G386" s="9"/>
    </row>
    <row r="387" customFormat="false" ht="15" hidden="false" customHeight="false" outlineLevel="0" collapsed="false">
      <c r="A387" s="9" t="n">
        <v>153</v>
      </c>
      <c r="B387" s="9" t="s">
        <v>1293</v>
      </c>
      <c r="C387" s="10" t="s">
        <v>1296</v>
      </c>
      <c r="D387" s="9" t="s">
        <v>1297</v>
      </c>
      <c r="E387" s="10" t="s">
        <v>22</v>
      </c>
      <c r="F387" s="9" t="s">
        <v>1281</v>
      </c>
      <c r="G387" s="9"/>
    </row>
    <row r="388" customFormat="false" ht="15" hidden="false" customHeight="false" outlineLevel="0" collapsed="false">
      <c r="A388" s="9" t="n">
        <v>153</v>
      </c>
      <c r="B388" s="9" t="s">
        <v>1293</v>
      </c>
      <c r="C388" s="10" t="s">
        <v>1298</v>
      </c>
      <c r="D388" s="9" t="s">
        <v>1299</v>
      </c>
      <c r="E388" s="10" t="s">
        <v>22</v>
      </c>
      <c r="F388" s="9" t="s">
        <v>1281</v>
      </c>
      <c r="G388" s="9"/>
    </row>
    <row r="389" customFormat="false" ht="15" hidden="false" customHeight="false" outlineLevel="0" collapsed="false">
      <c r="A389" s="9" t="n">
        <v>154</v>
      </c>
      <c r="B389" s="9" t="s">
        <v>1300</v>
      </c>
      <c r="C389" s="10" t="s">
        <v>1301</v>
      </c>
      <c r="D389" s="9" t="s">
        <v>1302</v>
      </c>
      <c r="E389" s="10" t="s">
        <v>21</v>
      </c>
      <c r="F389" s="9" t="s">
        <v>1281</v>
      </c>
      <c r="G389" s="9"/>
    </row>
    <row r="390" customFormat="false" ht="15" hidden="false" customHeight="false" outlineLevel="0" collapsed="false">
      <c r="A390" s="9" t="n">
        <v>154</v>
      </c>
      <c r="B390" s="9" t="s">
        <v>1300</v>
      </c>
      <c r="C390" s="10" t="s">
        <v>1303</v>
      </c>
      <c r="D390" s="9" t="s">
        <v>1304</v>
      </c>
      <c r="E390" s="10" t="s">
        <v>21</v>
      </c>
      <c r="F390" s="9" t="s">
        <v>1281</v>
      </c>
      <c r="G390" s="9"/>
    </row>
    <row r="391" customFormat="false" ht="15" hidden="false" customHeight="false" outlineLevel="0" collapsed="false">
      <c r="A391" s="9" t="n">
        <v>154</v>
      </c>
      <c r="B391" s="9" t="s">
        <v>1300</v>
      </c>
      <c r="C391" s="10" t="s">
        <v>1305</v>
      </c>
      <c r="D391" s="9" t="s">
        <v>1306</v>
      </c>
      <c r="E391" s="10" t="s">
        <v>21</v>
      </c>
      <c r="F391" s="9" t="s">
        <v>1281</v>
      </c>
      <c r="G391" s="9"/>
    </row>
    <row r="392" customFormat="false" ht="15" hidden="false" customHeight="false" outlineLevel="0" collapsed="false">
      <c r="A392" s="9" t="n">
        <v>154</v>
      </c>
      <c r="B392" s="9" t="s">
        <v>1300</v>
      </c>
      <c r="C392" s="10" t="s">
        <v>1307</v>
      </c>
      <c r="D392" s="9" t="s">
        <v>1308</v>
      </c>
      <c r="E392" s="10" t="s">
        <v>21</v>
      </c>
      <c r="F392" s="9" t="s">
        <v>1281</v>
      </c>
      <c r="G392" s="9"/>
    </row>
    <row r="393" customFormat="false" ht="15" hidden="false" customHeight="false" outlineLevel="0" collapsed="false">
      <c r="A393" s="9" t="n">
        <v>155</v>
      </c>
      <c r="B393" s="9" t="s">
        <v>1309</v>
      </c>
      <c r="C393" s="10" t="s">
        <v>1310</v>
      </c>
      <c r="D393" s="9" t="s">
        <v>1311</v>
      </c>
      <c r="E393" s="10" t="s">
        <v>23</v>
      </c>
      <c r="F393" s="9" t="s">
        <v>1281</v>
      </c>
      <c r="G393" s="9" t="s">
        <v>1312</v>
      </c>
    </row>
    <row r="394" customFormat="false" ht="15" hidden="false" customHeight="false" outlineLevel="0" collapsed="false">
      <c r="A394" s="9" t="n">
        <v>156</v>
      </c>
      <c r="B394" s="9" t="s">
        <v>479</v>
      </c>
      <c r="C394" s="10" t="s">
        <v>1313</v>
      </c>
      <c r="D394" s="9" t="s">
        <v>481</v>
      </c>
      <c r="E394" s="10" t="s">
        <v>24</v>
      </c>
      <c r="F394" s="9" t="s">
        <v>1281</v>
      </c>
      <c r="G394" s="9"/>
    </row>
    <row r="395" customFormat="false" ht="15" hidden="false" customHeight="false" outlineLevel="0" collapsed="false">
      <c r="A395" s="9" t="n">
        <v>156</v>
      </c>
      <c r="B395" s="9" t="s">
        <v>479</v>
      </c>
      <c r="C395" s="10" t="s">
        <v>1314</v>
      </c>
      <c r="D395" s="9" t="s">
        <v>483</v>
      </c>
      <c r="E395" s="10" t="s">
        <v>24</v>
      </c>
      <c r="F395" s="9" t="s">
        <v>1281</v>
      </c>
      <c r="G395" s="9"/>
    </row>
    <row r="396" customFormat="false" ht="15" hidden="false" customHeight="false" outlineLevel="0" collapsed="false">
      <c r="A396" s="9" t="n">
        <v>156</v>
      </c>
      <c r="B396" s="9" t="s">
        <v>479</v>
      </c>
      <c r="C396" s="10" t="s">
        <v>1315</v>
      </c>
      <c r="D396" s="9" t="s">
        <v>485</v>
      </c>
      <c r="E396" s="10" t="s">
        <v>24</v>
      </c>
      <c r="F396" s="9" t="s">
        <v>1281</v>
      </c>
      <c r="G396" s="9"/>
    </row>
    <row r="397" customFormat="false" ht="15" hidden="false" customHeight="false" outlineLevel="0" collapsed="false">
      <c r="A397" s="9" t="n">
        <v>156</v>
      </c>
      <c r="B397" s="9" t="s">
        <v>479</v>
      </c>
      <c r="C397" s="10" t="s">
        <v>1316</v>
      </c>
      <c r="D397" s="9" t="s">
        <v>487</v>
      </c>
      <c r="E397" s="10" t="s">
        <v>24</v>
      </c>
      <c r="F397" s="9" t="s">
        <v>1281</v>
      </c>
      <c r="G397" s="9"/>
    </row>
    <row r="398" customFormat="false" ht="15" hidden="false" customHeight="false" outlineLevel="0" collapsed="false">
      <c r="A398" s="9" t="n">
        <v>157</v>
      </c>
      <c r="B398" s="9" t="s">
        <v>488</v>
      </c>
      <c r="C398" s="10" t="s">
        <v>1317</v>
      </c>
      <c r="D398" s="9" t="s">
        <v>490</v>
      </c>
      <c r="E398" s="10" t="s">
        <v>24</v>
      </c>
      <c r="F398" s="9" t="s">
        <v>1281</v>
      </c>
      <c r="G398" s="9"/>
    </row>
    <row r="399" customFormat="false" ht="15" hidden="false" customHeight="false" outlineLevel="0" collapsed="false">
      <c r="A399" s="9" t="n">
        <v>157</v>
      </c>
      <c r="B399" s="9" t="s">
        <v>488</v>
      </c>
      <c r="C399" s="10" t="s">
        <v>1318</v>
      </c>
      <c r="D399" s="9" t="s">
        <v>492</v>
      </c>
      <c r="E399" s="10" t="s">
        <v>24</v>
      </c>
      <c r="F399" s="9" t="s">
        <v>1281</v>
      </c>
      <c r="G399" s="9"/>
    </row>
    <row r="400" customFormat="false" ht="15" hidden="false" customHeight="false" outlineLevel="0" collapsed="false">
      <c r="A400" s="9" t="n">
        <v>157</v>
      </c>
      <c r="B400" s="9" t="s">
        <v>488</v>
      </c>
      <c r="C400" s="10" t="s">
        <v>1319</v>
      </c>
      <c r="D400" s="9" t="s">
        <v>1320</v>
      </c>
      <c r="E400" s="10" t="s">
        <v>24</v>
      </c>
      <c r="F400" s="9" t="s">
        <v>1281</v>
      </c>
      <c r="G400" s="9"/>
    </row>
    <row r="401" customFormat="false" ht="15" hidden="false" customHeight="false" outlineLevel="0" collapsed="false">
      <c r="A401" s="9" t="n">
        <v>158</v>
      </c>
      <c r="B401" s="9" t="s">
        <v>495</v>
      </c>
      <c r="C401" s="10" t="s">
        <v>1321</v>
      </c>
      <c r="D401" s="9" t="s">
        <v>497</v>
      </c>
      <c r="E401" s="10" t="s">
        <v>23</v>
      </c>
      <c r="F401" s="9" t="s">
        <v>1281</v>
      </c>
      <c r="G401" s="9"/>
    </row>
    <row r="402" customFormat="false" ht="15" hidden="false" customHeight="false" outlineLevel="0" collapsed="false">
      <c r="A402" s="9" t="n">
        <v>158</v>
      </c>
      <c r="B402" s="9" t="s">
        <v>495</v>
      </c>
      <c r="C402" s="10" t="s">
        <v>1322</v>
      </c>
      <c r="D402" s="9" t="s">
        <v>499</v>
      </c>
      <c r="E402" s="10" t="s">
        <v>23</v>
      </c>
      <c r="F402" s="9" t="s">
        <v>1281</v>
      </c>
      <c r="G402" s="9"/>
    </row>
    <row r="403" customFormat="false" ht="15" hidden="false" customHeight="false" outlineLevel="0" collapsed="false">
      <c r="A403" s="9" t="n">
        <v>158</v>
      </c>
      <c r="B403" s="9" t="s">
        <v>495</v>
      </c>
      <c r="C403" s="10" t="s">
        <v>1323</v>
      </c>
      <c r="D403" s="9" t="s">
        <v>501</v>
      </c>
      <c r="E403" s="10" t="s">
        <v>21</v>
      </c>
      <c r="F403" s="9" t="s">
        <v>1281</v>
      </c>
      <c r="G403" s="9"/>
    </row>
    <row r="404" customFormat="false" ht="15" hidden="false" customHeight="false" outlineLevel="0" collapsed="false">
      <c r="A404" s="9" t="n">
        <v>158</v>
      </c>
      <c r="B404" s="9" t="s">
        <v>495</v>
      </c>
      <c r="C404" s="10" t="s">
        <v>1324</v>
      </c>
      <c r="D404" s="9" t="s">
        <v>503</v>
      </c>
      <c r="E404" s="10" t="s">
        <v>21</v>
      </c>
      <c r="F404" s="9" t="s">
        <v>1281</v>
      </c>
      <c r="G404" s="9"/>
    </row>
    <row r="405" customFormat="false" ht="15" hidden="false" customHeight="false" outlineLevel="0" collapsed="false">
      <c r="A405" s="9" t="n">
        <v>158</v>
      </c>
      <c r="B405" s="9" t="s">
        <v>495</v>
      </c>
      <c r="C405" s="10" t="s">
        <v>1325</v>
      </c>
      <c r="D405" s="9" t="s">
        <v>505</v>
      </c>
      <c r="E405" s="10" t="s">
        <v>20</v>
      </c>
      <c r="F405" s="9" t="s">
        <v>1281</v>
      </c>
      <c r="G405" s="9"/>
    </row>
    <row r="406" customFormat="false" ht="15" hidden="false" customHeight="false" outlineLevel="0" collapsed="false">
      <c r="A406" s="9" t="n">
        <v>158</v>
      </c>
      <c r="B406" s="9" t="s">
        <v>495</v>
      </c>
      <c r="C406" s="10" t="s">
        <v>1326</v>
      </c>
      <c r="D406" s="9" t="s">
        <v>507</v>
      </c>
      <c r="E406" s="10" t="s">
        <v>20</v>
      </c>
      <c r="F406" s="9" t="s">
        <v>1281</v>
      </c>
      <c r="G406" s="9"/>
    </row>
    <row r="407" customFormat="false" ht="15" hidden="false" customHeight="false" outlineLevel="0" collapsed="false">
      <c r="A407" s="9" t="n">
        <v>159</v>
      </c>
      <c r="B407" s="9" t="s">
        <v>1327</v>
      </c>
      <c r="C407" s="10" t="s">
        <v>1328</v>
      </c>
      <c r="D407" s="9" t="s">
        <v>510</v>
      </c>
      <c r="E407" s="10" t="s">
        <v>20</v>
      </c>
      <c r="F407" s="9" t="s">
        <v>1281</v>
      </c>
      <c r="G407" s="9"/>
    </row>
    <row r="408" customFormat="false" ht="15" hidden="false" customHeight="false" outlineLevel="0" collapsed="false">
      <c r="A408" s="9" t="n">
        <v>159</v>
      </c>
      <c r="B408" s="9" t="s">
        <v>1327</v>
      </c>
      <c r="C408" s="10" t="s">
        <v>1329</v>
      </c>
      <c r="D408" s="9" t="s">
        <v>512</v>
      </c>
      <c r="E408" s="10" t="s">
        <v>20</v>
      </c>
      <c r="F408" s="9" t="s">
        <v>1281</v>
      </c>
      <c r="G408" s="9"/>
    </row>
    <row r="409" customFormat="false" ht="26.85" hidden="false" customHeight="false" outlineLevel="0" collapsed="false">
      <c r="A409" s="9" t="n">
        <v>160</v>
      </c>
      <c r="B409" s="9" t="s">
        <v>1330</v>
      </c>
      <c r="C409" s="10" t="s">
        <v>1331</v>
      </c>
      <c r="D409" s="9" t="s">
        <v>515</v>
      </c>
      <c r="E409" s="10" t="s">
        <v>22</v>
      </c>
      <c r="F409" s="9" t="s">
        <v>1281</v>
      </c>
      <c r="G409" s="9" t="s">
        <v>1332</v>
      </c>
    </row>
    <row r="410" customFormat="false" ht="26.85" hidden="false" customHeight="false" outlineLevel="0" collapsed="false">
      <c r="A410" s="9" t="n">
        <v>160</v>
      </c>
      <c r="B410" s="9" t="s">
        <v>1330</v>
      </c>
      <c r="C410" s="10" t="s">
        <v>1333</v>
      </c>
      <c r="D410" s="9" t="s">
        <v>518</v>
      </c>
      <c r="E410" s="10" t="s">
        <v>20</v>
      </c>
      <c r="F410" s="9" t="s">
        <v>1281</v>
      </c>
      <c r="G410" s="9" t="s">
        <v>1334</v>
      </c>
    </row>
    <row r="411" customFormat="false" ht="15" hidden="false" customHeight="false" outlineLevel="0" collapsed="false">
      <c r="A411" s="9" t="n">
        <v>161</v>
      </c>
      <c r="B411" s="9" t="s">
        <v>1335</v>
      </c>
      <c r="C411" s="10" t="s">
        <v>1336</v>
      </c>
      <c r="D411" s="9" t="s">
        <v>1337</v>
      </c>
      <c r="E411" s="10" t="s">
        <v>25</v>
      </c>
      <c r="F411" s="9" t="s">
        <v>1281</v>
      </c>
      <c r="G411" s="9" t="s">
        <v>1338</v>
      </c>
    </row>
    <row r="412" customFormat="false" ht="15" hidden="false" customHeight="false" outlineLevel="0" collapsed="false">
      <c r="A412" s="9" t="n">
        <v>161</v>
      </c>
      <c r="B412" s="9" t="s">
        <v>1335</v>
      </c>
      <c r="C412" s="10" t="s">
        <v>1339</v>
      </c>
      <c r="D412" s="9" t="s">
        <v>1340</v>
      </c>
      <c r="E412" s="10" t="s">
        <v>22</v>
      </c>
      <c r="F412" s="9" t="s">
        <v>1281</v>
      </c>
      <c r="G412" s="9" t="s">
        <v>1340</v>
      </c>
    </row>
    <row r="413" customFormat="false" ht="15" hidden="false" customHeight="false" outlineLevel="0" collapsed="false">
      <c r="A413" s="9" t="n">
        <v>162</v>
      </c>
      <c r="B413" s="9" t="s">
        <v>1341</v>
      </c>
      <c r="C413" s="10" t="s">
        <v>1342</v>
      </c>
      <c r="D413" s="9" t="s">
        <v>1343</v>
      </c>
      <c r="E413" s="10" t="s">
        <v>25</v>
      </c>
      <c r="F413" s="9" t="s">
        <v>1281</v>
      </c>
      <c r="G413" s="9"/>
    </row>
    <row r="414" customFormat="false" ht="15" hidden="false" customHeight="false" outlineLevel="0" collapsed="false">
      <c r="A414" s="9" t="n">
        <v>162</v>
      </c>
      <c r="B414" s="9" t="s">
        <v>1341</v>
      </c>
      <c r="C414" s="10" t="s">
        <v>1344</v>
      </c>
      <c r="D414" s="9" t="s">
        <v>1345</v>
      </c>
      <c r="E414" s="10" t="s">
        <v>25</v>
      </c>
      <c r="F414" s="9" t="s">
        <v>1281</v>
      </c>
      <c r="G414" s="9"/>
    </row>
    <row r="415" customFormat="false" ht="15" hidden="false" customHeight="false" outlineLevel="0" collapsed="false">
      <c r="A415" s="9" t="n">
        <v>162</v>
      </c>
      <c r="B415" s="9" t="s">
        <v>1341</v>
      </c>
      <c r="C415" s="10" t="s">
        <v>1346</v>
      </c>
      <c r="D415" s="9" t="s">
        <v>1347</v>
      </c>
      <c r="E415" s="10" t="s">
        <v>25</v>
      </c>
      <c r="F415" s="9" t="s">
        <v>1281</v>
      </c>
      <c r="G415" s="9"/>
    </row>
    <row r="416" customFormat="false" ht="15" hidden="false" customHeight="false" outlineLevel="0" collapsed="false">
      <c r="A416" s="9" t="n">
        <v>162</v>
      </c>
      <c r="B416" s="9" t="s">
        <v>1341</v>
      </c>
      <c r="C416" s="10" t="s">
        <v>1348</v>
      </c>
      <c r="D416" s="9" t="s">
        <v>1349</v>
      </c>
      <c r="E416" s="10" t="s">
        <v>21</v>
      </c>
      <c r="F416" s="9" t="s">
        <v>1281</v>
      </c>
      <c r="G416" s="9" t="s">
        <v>1350</v>
      </c>
    </row>
    <row r="417" customFormat="false" ht="26.85" hidden="false" customHeight="false" outlineLevel="0" collapsed="false">
      <c r="A417" s="9" t="n">
        <v>163</v>
      </c>
      <c r="B417" s="9" t="s">
        <v>1351</v>
      </c>
      <c r="C417" s="10" t="s">
        <v>1352</v>
      </c>
      <c r="D417" s="9" t="s">
        <v>1353</v>
      </c>
      <c r="E417" s="10" t="s">
        <v>21</v>
      </c>
      <c r="F417" s="9" t="s">
        <v>1281</v>
      </c>
      <c r="G417" s="9" t="s">
        <v>1354</v>
      </c>
    </row>
    <row r="418" customFormat="false" ht="15" hidden="false" customHeight="false" outlineLevel="0" collapsed="false">
      <c r="A418" s="9" t="n">
        <v>163</v>
      </c>
      <c r="B418" s="9" t="s">
        <v>1351</v>
      </c>
      <c r="C418" s="10" t="s">
        <v>1355</v>
      </c>
      <c r="D418" s="9" t="s">
        <v>1356</v>
      </c>
      <c r="E418" s="10" t="s">
        <v>20</v>
      </c>
      <c r="F418" s="9" t="s">
        <v>1281</v>
      </c>
      <c r="G418" s="9"/>
    </row>
    <row r="419" customFormat="false" ht="15" hidden="false" customHeight="false" outlineLevel="0" collapsed="false">
      <c r="A419" s="9" t="n">
        <v>163</v>
      </c>
      <c r="B419" s="9" t="s">
        <v>1351</v>
      </c>
      <c r="C419" s="10" t="s">
        <v>1357</v>
      </c>
      <c r="D419" s="9" t="s">
        <v>1358</v>
      </c>
      <c r="E419" s="10" t="s">
        <v>20</v>
      </c>
      <c r="F419" s="9" t="s">
        <v>1281</v>
      </c>
      <c r="G419" s="9"/>
    </row>
    <row r="420" customFormat="false" ht="15" hidden="false" customHeight="false" outlineLevel="0" collapsed="false">
      <c r="A420" s="9" t="n">
        <v>164</v>
      </c>
      <c r="B420" s="9" t="s">
        <v>1359</v>
      </c>
      <c r="C420" s="10" t="s">
        <v>1360</v>
      </c>
      <c r="D420" s="9" t="s">
        <v>1361</v>
      </c>
      <c r="E420" s="10" t="s">
        <v>22</v>
      </c>
      <c r="F420" s="9" t="s">
        <v>1281</v>
      </c>
      <c r="G420" s="9" t="s">
        <v>1362</v>
      </c>
    </row>
    <row r="421" customFormat="false" ht="15" hidden="false" customHeight="false" outlineLevel="0" collapsed="false">
      <c r="A421" s="9" t="n">
        <v>164</v>
      </c>
      <c r="B421" s="9" t="s">
        <v>1359</v>
      </c>
      <c r="C421" s="10" t="s">
        <v>1363</v>
      </c>
      <c r="D421" s="9" t="s">
        <v>1364</v>
      </c>
      <c r="E421" s="10" t="s">
        <v>21</v>
      </c>
      <c r="F421" s="9" t="s">
        <v>1281</v>
      </c>
      <c r="G421" s="9" t="s">
        <v>1365</v>
      </c>
    </row>
    <row r="422" customFormat="false" ht="15" hidden="false" customHeight="false" outlineLevel="0" collapsed="false">
      <c r="A422" s="9" t="n">
        <v>165</v>
      </c>
      <c r="B422" s="9" t="s">
        <v>1366</v>
      </c>
      <c r="C422" s="10" t="s">
        <v>1367</v>
      </c>
      <c r="D422" s="9" t="s">
        <v>1368</v>
      </c>
      <c r="E422" s="10" t="s">
        <v>21</v>
      </c>
      <c r="F422" s="9" t="s">
        <v>1281</v>
      </c>
      <c r="G422" s="9" t="s">
        <v>1369</v>
      </c>
    </row>
    <row r="423" customFormat="false" ht="15" hidden="false" customHeight="false" outlineLevel="0" collapsed="false">
      <c r="A423" s="9" t="n">
        <v>166</v>
      </c>
      <c r="B423" s="9" t="s">
        <v>1370</v>
      </c>
      <c r="C423" s="10" t="s">
        <v>1371</v>
      </c>
      <c r="D423" s="9" t="s">
        <v>1372</v>
      </c>
      <c r="E423" s="10" t="s">
        <v>21</v>
      </c>
      <c r="F423" s="9" t="s">
        <v>1281</v>
      </c>
      <c r="G423" s="9"/>
    </row>
    <row r="424" customFormat="false" ht="15" hidden="false" customHeight="false" outlineLevel="0" collapsed="false">
      <c r="A424" s="9" t="n">
        <v>166</v>
      </c>
      <c r="B424" s="9" t="s">
        <v>1370</v>
      </c>
      <c r="C424" s="10" t="s">
        <v>1373</v>
      </c>
      <c r="D424" s="9" t="s">
        <v>1374</v>
      </c>
      <c r="E424" s="10" t="s">
        <v>21</v>
      </c>
      <c r="F424" s="9" t="s">
        <v>1281</v>
      </c>
      <c r="G424" s="9"/>
    </row>
    <row r="425" customFormat="false" ht="15" hidden="false" customHeight="false" outlineLevel="0" collapsed="false">
      <c r="A425" s="9" t="n">
        <v>167</v>
      </c>
      <c r="B425" s="9" t="s">
        <v>1375</v>
      </c>
      <c r="C425" s="10" t="s">
        <v>1376</v>
      </c>
      <c r="D425" s="9" t="s">
        <v>1377</v>
      </c>
      <c r="E425" s="10" t="s">
        <v>20</v>
      </c>
      <c r="F425" s="9" t="s">
        <v>1281</v>
      </c>
      <c r="G425" s="9"/>
    </row>
    <row r="426" customFormat="false" ht="15" hidden="false" customHeight="false" outlineLevel="0" collapsed="false">
      <c r="A426" s="9" t="n">
        <v>167</v>
      </c>
      <c r="B426" s="9" t="s">
        <v>1375</v>
      </c>
      <c r="C426" s="10" t="s">
        <v>1378</v>
      </c>
      <c r="D426" s="9" t="s">
        <v>1379</v>
      </c>
      <c r="E426" s="10" t="s">
        <v>20</v>
      </c>
      <c r="F426" s="9" t="s">
        <v>1281</v>
      </c>
      <c r="G426" s="9"/>
    </row>
    <row r="427" customFormat="false" ht="15" hidden="false" customHeight="false" outlineLevel="0" collapsed="false">
      <c r="A427" s="9" t="n">
        <v>167</v>
      </c>
      <c r="B427" s="9" t="s">
        <v>1375</v>
      </c>
      <c r="C427" s="10" t="s">
        <v>1380</v>
      </c>
      <c r="D427" s="9" t="s">
        <v>1381</v>
      </c>
      <c r="E427" s="10" t="s">
        <v>20</v>
      </c>
      <c r="F427" s="9" t="s">
        <v>1281</v>
      </c>
      <c r="G427" s="9"/>
    </row>
    <row r="428" customFormat="false" ht="15" hidden="false" customHeight="false" outlineLevel="0" collapsed="false">
      <c r="A428" s="9" t="n">
        <v>167</v>
      </c>
      <c r="B428" s="9" t="s">
        <v>1375</v>
      </c>
      <c r="C428" s="10" t="s">
        <v>1382</v>
      </c>
      <c r="D428" s="9" t="s">
        <v>1383</v>
      </c>
      <c r="E428" s="10" t="s">
        <v>20</v>
      </c>
      <c r="F428" s="9" t="s">
        <v>1281</v>
      </c>
      <c r="G428" s="9"/>
    </row>
    <row r="429" customFormat="false" ht="15" hidden="false" customHeight="false" outlineLevel="0" collapsed="false">
      <c r="A429" s="9" t="n">
        <v>168</v>
      </c>
      <c r="B429" s="9" t="s">
        <v>1384</v>
      </c>
      <c r="C429" s="10" t="s">
        <v>1385</v>
      </c>
      <c r="D429" s="9" t="s">
        <v>1386</v>
      </c>
      <c r="E429" s="10" t="s">
        <v>20</v>
      </c>
      <c r="F429" s="9" t="s">
        <v>1281</v>
      </c>
      <c r="G429" s="9"/>
    </row>
    <row r="430" customFormat="false" ht="15" hidden="false" customHeight="false" outlineLevel="0" collapsed="false">
      <c r="A430" s="9" t="n">
        <v>168</v>
      </c>
      <c r="B430" s="9" t="s">
        <v>1384</v>
      </c>
      <c r="C430" s="10" t="s">
        <v>1387</v>
      </c>
      <c r="D430" s="9" t="s">
        <v>1388</v>
      </c>
      <c r="E430" s="10" t="s">
        <v>20</v>
      </c>
      <c r="F430" s="9" t="s">
        <v>1281</v>
      </c>
      <c r="G430" s="9"/>
    </row>
    <row r="431" customFormat="false" ht="15" hidden="false" customHeight="false" outlineLevel="0" collapsed="false">
      <c r="A431" s="9" t="n">
        <v>168</v>
      </c>
      <c r="B431" s="9" t="s">
        <v>1384</v>
      </c>
      <c r="C431" s="10" t="s">
        <v>1389</v>
      </c>
      <c r="D431" s="9" t="s">
        <v>1390</v>
      </c>
      <c r="E431" s="10" t="s">
        <v>20</v>
      </c>
      <c r="F431" s="9" t="s">
        <v>1281</v>
      </c>
      <c r="G431" s="9"/>
    </row>
    <row r="432" customFormat="false" ht="15" hidden="false" customHeight="false" outlineLevel="0" collapsed="false">
      <c r="A432" s="9" t="n">
        <v>168</v>
      </c>
      <c r="B432" s="9" t="s">
        <v>1384</v>
      </c>
      <c r="C432" s="10" t="s">
        <v>1391</v>
      </c>
      <c r="D432" s="9" t="s">
        <v>1392</v>
      </c>
      <c r="E432" s="10" t="s">
        <v>20</v>
      </c>
      <c r="F432" s="9" t="s">
        <v>1281</v>
      </c>
      <c r="G432" s="9"/>
    </row>
    <row r="433" customFormat="false" ht="15" hidden="false" customHeight="false" outlineLevel="0" collapsed="false">
      <c r="A433" s="9" t="n">
        <v>169</v>
      </c>
      <c r="B433" s="9" t="s">
        <v>1393</v>
      </c>
      <c r="C433" s="10" t="s">
        <v>1394</v>
      </c>
      <c r="D433" s="9" t="s">
        <v>1395</v>
      </c>
      <c r="E433" s="10" t="s">
        <v>20</v>
      </c>
      <c r="F433" s="9" t="s">
        <v>1281</v>
      </c>
      <c r="G433" s="9" t="s">
        <v>1396</v>
      </c>
    </row>
    <row r="434" customFormat="false" ht="15" hidden="false" customHeight="false" outlineLevel="0" collapsed="false">
      <c r="A434" s="9" t="n">
        <v>170</v>
      </c>
      <c r="B434" s="9" t="s">
        <v>1397</v>
      </c>
      <c r="C434" s="10" t="s">
        <v>1398</v>
      </c>
      <c r="D434" s="9" t="s">
        <v>1399</v>
      </c>
      <c r="E434" s="10" t="s">
        <v>20</v>
      </c>
      <c r="F434" s="9" t="s">
        <v>1281</v>
      </c>
      <c r="G434" s="9"/>
    </row>
    <row r="435" customFormat="false" ht="15" hidden="false" customHeight="false" outlineLevel="0" collapsed="false">
      <c r="A435" s="9" t="n">
        <v>170</v>
      </c>
      <c r="B435" s="9" t="s">
        <v>1397</v>
      </c>
      <c r="C435" s="10" t="s">
        <v>1400</v>
      </c>
      <c r="D435" s="9" t="s">
        <v>1401</v>
      </c>
      <c r="E435" s="10" t="s">
        <v>20</v>
      </c>
      <c r="F435" s="9" t="s">
        <v>1281</v>
      </c>
      <c r="G435" s="9"/>
    </row>
    <row r="436" customFormat="false" ht="15" hidden="false" customHeight="false" outlineLevel="0" collapsed="false">
      <c r="A436" s="9" t="n">
        <v>170</v>
      </c>
      <c r="B436" s="9" t="s">
        <v>1397</v>
      </c>
      <c r="C436" s="10" t="s">
        <v>1402</v>
      </c>
      <c r="D436" s="9" t="s">
        <v>1403</v>
      </c>
      <c r="E436" s="10" t="s">
        <v>20</v>
      </c>
      <c r="F436" s="9" t="s">
        <v>1281</v>
      </c>
      <c r="G436" s="9"/>
    </row>
    <row r="437" customFormat="false" ht="15" hidden="false" customHeight="false" outlineLevel="0" collapsed="false">
      <c r="A437" s="9" t="n">
        <v>171</v>
      </c>
      <c r="B437" s="9" t="s">
        <v>1404</v>
      </c>
      <c r="C437" s="10" t="s">
        <v>1405</v>
      </c>
      <c r="D437" s="9" t="s">
        <v>1404</v>
      </c>
      <c r="E437" s="10" t="s">
        <v>20</v>
      </c>
      <c r="F437" s="9" t="s">
        <v>1281</v>
      </c>
      <c r="G437" s="9" t="s">
        <v>1406</v>
      </c>
    </row>
    <row r="438" customFormat="false" ht="15" hidden="false" customHeight="false" outlineLevel="0" collapsed="false">
      <c r="A438" s="9" t="n">
        <v>172</v>
      </c>
      <c r="B438" s="9" t="s">
        <v>1407</v>
      </c>
      <c r="C438" s="10" t="s">
        <v>1408</v>
      </c>
      <c r="D438" s="9" t="s">
        <v>1409</v>
      </c>
      <c r="E438" s="10" t="s">
        <v>20</v>
      </c>
      <c r="F438" s="9" t="s">
        <v>1281</v>
      </c>
      <c r="G438" s="9"/>
    </row>
    <row r="439" customFormat="false" ht="15" hidden="false" customHeight="false" outlineLevel="0" collapsed="false">
      <c r="A439" s="9" t="n">
        <v>172</v>
      </c>
      <c r="B439" s="9" t="s">
        <v>1407</v>
      </c>
      <c r="C439" s="10" t="s">
        <v>1410</v>
      </c>
      <c r="D439" s="9" t="s">
        <v>1411</v>
      </c>
      <c r="E439" s="10" t="s">
        <v>20</v>
      </c>
      <c r="F439" s="9" t="s">
        <v>1281</v>
      </c>
      <c r="G439" s="9"/>
    </row>
    <row r="440" customFormat="false" ht="15" hidden="false" customHeight="false" outlineLevel="0" collapsed="false">
      <c r="A440" s="9" t="n">
        <v>173</v>
      </c>
      <c r="B440" s="9" t="s">
        <v>1412</v>
      </c>
      <c r="C440" s="10" t="s">
        <v>1413</v>
      </c>
      <c r="D440" s="9" t="s">
        <v>1414</v>
      </c>
      <c r="E440" s="10" t="s">
        <v>22</v>
      </c>
      <c r="F440" s="9" t="s">
        <v>1281</v>
      </c>
      <c r="G440" s="9" t="s">
        <v>1415</v>
      </c>
    </row>
    <row r="441" customFormat="false" ht="15" hidden="false" customHeight="false" outlineLevel="0" collapsed="false">
      <c r="A441" s="9" t="n">
        <v>173</v>
      </c>
      <c r="B441" s="9" t="s">
        <v>1412</v>
      </c>
      <c r="C441" s="10" t="s">
        <v>1416</v>
      </c>
      <c r="D441" s="9" t="s">
        <v>1417</v>
      </c>
      <c r="E441" s="10" t="s">
        <v>21</v>
      </c>
      <c r="F441" s="9" t="s">
        <v>1281</v>
      </c>
      <c r="G441" s="9"/>
    </row>
    <row r="442" customFormat="false" ht="15" hidden="false" customHeight="false" outlineLevel="0" collapsed="false">
      <c r="A442" s="9" t="n">
        <v>173</v>
      </c>
      <c r="B442" s="9" t="s">
        <v>1412</v>
      </c>
      <c r="C442" s="10" t="s">
        <v>1418</v>
      </c>
      <c r="D442" s="9" t="s">
        <v>1419</v>
      </c>
      <c r="E442" s="10" t="s">
        <v>21</v>
      </c>
      <c r="F442" s="9" t="s">
        <v>1281</v>
      </c>
      <c r="G442" s="9"/>
    </row>
    <row r="443" customFormat="false" ht="15" hidden="false" customHeight="false" outlineLevel="0" collapsed="false">
      <c r="A443" s="9" t="n">
        <v>174</v>
      </c>
      <c r="B443" s="9" t="s">
        <v>1420</v>
      </c>
      <c r="C443" s="10" t="s">
        <v>1421</v>
      </c>
      <c r="D443" s="9" t="s">
        <v>1422</v>
      </c>
      <c r="E443" s="10" t="s">
        <v>20</v>
      </c>
      <c r="F443" s="9" t="s">
        <v>1281</v>
      </c>
      <c r="G443" s="9"/>
    </row>
    <row r="444" customFormat="false" ht="15" hidden="false" customHeight="false" outlineLevel="0" collapsed="false">
      <c r="A444" s="9" t="n">
        <v>174</v>
      </c>
      <c r="B444" s="9" t="s">
        <v>1420</v>
      </c>
      <c r="C444" s="10" t="s">
        <v>1423</v>
      </c>
      <c r="D444" s="9" t="s">
        <v>1424</v>
      </c>
      <c r="E444" s="10" t="s">
        <v>20</v>
      </c>
      <c r="F444" s="9" t="s">
        <v>1281</v>
      </c>
      <c r="G444" s="9"/>
    </row>
    <row r="445" customFormat="false" ht="15" hidden="false" customHeight="false" outlineLevel="0" collapsed="false">
      <c r="A445" s="9" t="n">
        <v>174</v>
      </c>
      <c r="B445" s="9" t="s">
        <v>1420</v>
      </c>
      <c r="C445" s="10" t="s">
        <v>1425</v>
      </c>
      <c r="D445" s="9" t="s">
        <v>1426</v>
      </c>
      <c r="E445" s="10" t="s">
        <v>20</v>
      </c>
      <c r="F445" s="9" t="s">
        <v>1281</v>
      </c>
      <c r="G445" s="9"/>
    </row>
    <row r="446" customFormat="false" ht="15" hidden="false" customHeight="false" outlineLevel="0" collapsed="false">
      <c r="A446" s="9" t="n">
        <v>175</v>
      </c>
      <c r="B446" s="9" t="s">
        <v>1427</v>
      </c>
      <c r="C446" s="10" t="s">
        <v>1428</v>
      </c>
      <c r="D446" s="9" t="s">
        <v>1429</v>
      </c>
      <c r="E446" s="10" t="s">
        <v>22</v>
      </c>
      <c r="F446" s="9" t="s">
        <v>1281</v>
      </c>
      <c r="G446" s="9"/>
    </row>
    <row r="447" customFormat="false" ht="15" hidden="false" customHeight="false" outlineLevel="0" collapsed="false">
      <c r="A447" s="9" t="n">
        <v>175</v>
      </c>
      <c r="B447" s="9" t="s">
        <v>1427</v>
      </c>
      <c r="C447" s="10" t="s">
        <v>1430</v>
      </c>
      <c r="D447" s="9" t="s">
        <v>1431</v>
      </c>
      <c r="E447" s="10" t="s">
        <v>22</v>
      </c>
      <c r="F447" s="9" t="s">
        <v>1281</v>
      </c>
      <c r="G447" s="9"/>
    </row>
    <row r="448" customFormat="false" ht="15" hidden="false" customHeight="false" outlineLevel="0" collapsed="false">
      <c r="A448" s="9" t="n">
        <v>175</v>
      </c>
      <c r="B448" s="9" t="s">
        <v>1427</v>
      </c>
      <c r="C448" s="10" t="s">
        <v>1432</v>
      </c>
      <c r="D448" s="9" t="s">
        <v>1433</v>
      </c>
      <c r="E448" s="10" t="s">
        <v>22</v>
      </c>
      <c r="F448" s="9" t="s">
        <v>1281</v>
      </c>
      <c r="G448" s="9"/>
    </row>
    <row r="449" customFormat="false" ht="15" hidden="false" customHeight="false" outlineLevel="0" collapsed="false">
      <c r="A449" s="9" t="n">
        <v>175</v>
      </c>
      <c r="B449" s="9" t="s">
        <v>1427</v>
      </c>
      <c r="C449" s="10" t="s">
        <v>1434</v>
      </c>
      <c r="D449" s="9" t="s">
        <v>1435</v>
      </c>
      <c r="E449" s="10" t="s">
        <v>21</v>
      </c>
      <c r="F449" s="9" t="s">
        <v>1281</v>
      </c>
      <c r="G449" s="9"/>
    </row>
    <row r="450" customFormat="false" ht="15" hidden="false" customHeight="false" outlineLevel="0" collapsed="false">
      <c r="A450" s="9" t="n">
        <v>175</v>
      </c>
      <c r="B450" s="9" t="s">
        <v>1427</v>
      </c>
      <c r="C450" s="10" t="s">
        <v>1436</v>
      </c>
      <c r="D450" s="9" t="s">
        <v>1437</v>
      </c>
      <c r="E450" s="10" t="s">
        <v>22</v>
      </c>
      <c r="F450" s="9" t="s">
        <v>1281</v>
      </c>
      <c r="G450" s="9"/>
    </row>
    <row r="451" customFormat="false" ht="15" hidden="false" customHeight="false" outlineLevel="0" collapsed="false">
      <c r="A451" s="9" t="n">
        <v>175</v>
      </c>
      <c r="B451" s="9" t="s">
        <v>1427</v>
      </c>
      <c r="C451" s="10" t="s">
        <v>1438</v>
      </c>
      <c r="D451" s="9" t="s">
        <v>1439</v>
      </c>
      <c r="E451" s="10" t="s">
        <v>21</v>
      </c>
      <c r="F451" s="9" t="s">
        <v>1281</v>
      </c>
      <c r="G451" s="9"/>
    </row>
    <row r="452" customFormat="false" ht="15" hidden="false" customHeight="false" outlineLevel="0" collapsed="false">
      <c r="A452" s="9" t="n">
        <v>175</v>
      </c>
      <c r="B452" s="9" t="s">
        <v>1427</v>
      </c>
      <c r="C452" s="10" t="s">
        <v>1440</v>
      </c>
      <c r="D452" s="9" t="s">
        <v>1441</v>
      </c>
      <c r="E452" s="10" t="s">
        <v>20</v>
      </c>
      <c r="F452" s="9" t="s">
        <v>1281</v>
      </c>
      <c r="G452" s="9" t="s">
        <v>1442</v>
      </c>
    </row>
    <row r="453" customFormat="false" ht="15" hidden="false" customHeight="false" outlineLevel="0" collapsed="false">
      <c r="A453" s="9" t="n">
        <v>176</v>
      </c>
      <c r="B453" s="9" t="s">
        <v>1443</v>
      </c>
      <c r="C453" s="10" t="s">
        <v>1444</v>
      </c>
      <c r="D453" s="9" t="s">
        <v>1445</v>
      </c>
      <c r="E453" s="10" t="s">
        <v>20</v>
      </c>
      <c r="F453" s="9" t="s">
        <v>1281</v>
      </c>
      <c r="G453" s="9" t="s">
        <v>1445</v>
      </c>
    </row>
    <row r="454" customFormat="false" ht="15" hidden="false" customHeight="false" outlineLevel="0" collapsed="false">
      <c r="A454" s="9" t="n">
        <v>177</v>
      </c>
      <c r="B454" s="9" t="s">
        <v>1446</v>
      </c>
      <c r="C454" s="10" t="s">
        <v>1447</v>
      </c>
      <c r="D454" s="9" t="s">
        <v>1448</v>
      </c>
      <c r="E454" s="10" t="s">
        <v>23</v>
      </c>
      <c r="F454" s="9" t="s">
        <v>1281</v>
      </c>
      <c r="G454" s="9"/>
    </row>
    <row r="455" customFormat="false" ht="15" hidden="false" customHeight="false" outlineLevel="0" collapsed="false">
      <c r="A455" s="9" t="n">
        <v>177</v>
      </c>
      <c r="B455" s="9" t="s">
        <v>1446</v>
      </c>
      <c r="C455" s="10" t="s">
        <v>1449</v>
      </c>
      <c r="D455" s="9" t="s">
        <v>1450</v>
      </c>
      <c r="E455" s="10" t="s">
        <v>23</v>
      </c>
      <c r="F455" s="9" t="s">
        <v>1281</v>
      </c>
      <c r="G455" s="9"/>
    </row>
    <row r="456" customFormat="false" ht="26.85" hidden="false" customHeight="false" outlineLevel="0" collapsed="false">
      <c r="A456" s="9" t="n">
        <v>177</v>
      </c>
      <c r="B456" s="9" t="s">
        <v>1446</v>
      </c>
      <c r="C456" s="10" t="s">
        <v>1451</v>
      </c>
      <c r="D456" s="9" t="s">
        <v>1452</v>
      </c>
      <c r="E456" s="10" t="s">
        <v>21</v>
      </c>
      <c r="F456" s="9" t="s">
        <v>1281</v>
      </c>
      <c r="G456" s="9"/>
    </row>
    <row r="457" customFormat="false" ht="15" hidden="false" customHeight="false" outlineLevel="0" collapsed="false">
      <c r="A457" s="9" t="n">
        <v>177</v>
      </c>
      <c r="B457" s="9" t="s">
        <v>1446</v>
      </c>
      <c r="C457" s="10" t="s">
        <v>1453</v>
      </c>
      <c r="D457" s="9" t="s">
        <v>1454</v>
      </c>
      <c r="E457" s="10" t="s">
        <v>23</v>
      </c>
      <c r="F457" s="9" t="s">
        <v>1281</v>
      </c>
      <c r="G457" s="9"/>
    </row>
    <row r="458" customFormat="false" ht="26.85" hidden="false" customHeight="false" outlineLevel="0" collapsed="false">
      <c r="A458" s="9" t="n">
        <v>177</v>
      </c>
      <c r="B458" s="9" t="s">
        <v>1446</v>
      </c>
      <c r="C458" s="10" t="s">
        <v>1455</v>
      </c>
      <c r="D458" s="9" t="s">
        <v>1456</v>
      </c>
      <c r="E458" s="10" t="s">
        <v>21</v>
      </c>
      <c r="F458" s="9" t="s">
        <v>1281</v>
      </c>
      <c r="G458" s="9"/>
    </row>
    <row r="459" customFormat="false" ht="15" hidden="false" customHeight="false" outlineLevel="0" collapsed="false">
      <c r="A459" s="9" t="n">
        <v>177</v>
      </c>
      <c r="B459" s="9" t="s">
        <v>1446</v>
      </c>
      <c r="C459" s="10" t="s">
        <v>1457</v>
      </c>
      <c r="D459" s="9" t="s">
        <v>1458</v>
      </c>
      <c r="E459" s="10" t="s">
        <v>22</v>
      </c>
      <c r="F459" s="9" t="s">
        <v>1281</v>
      </c>
      <c r="G459" s="9" t="s">
        <v>1459</v>
      </c>
    </row>
    <row r="460" customFormat="false" ht="15" hidden="false" customHeight="false" outlineLevel="0" collapsed="false">
      <c r="A460" s="9" t="n">
        <v>178</v>
      </c>
      <c r="B460" s="9" t="s">
        <v>531</v>
      </c>
      <c r="C460" s="10" t="s">
        <v>1460</v>
      </c>
      <c r="D460" s="9" t="s">
        <v>533</v>
      </c>
      <c r="E460" s="10" t="s">
        <v>23</v>
      </c>
      <c r="F460" s="9" t="s">
        <v>1281</v>
      </c>
      <c r="G460" s="9" t="s">
        <v>533</v>
      </c>
    </row>
    <row r="461" customFormat="false" ht="15" hidden="false" customHeight="false" outlineLevel="0" collapsed="false">
      <c r="A461" s="9" t="n">
        <v>178</v>
      </c>
      <c r="B461" s="9" t="s">
        <v>531</v>
      </c>
      <c r="C461" s="10" t="s">
        <v>1461</v>
      </c>
      <c r="D461" s="9" t="s">
        <v>535</v>
      </c>
      <c r="E461" s="10" t="s">
        <v>21</v>
      </c>
      <c r="F461" s="9" t="s">
        <v>1281</v>
      </c>
      <c r="G461" s="9" t="s">
        <v>535</v>
      </c>
    </row>
    <row r="462" customFormat="false" ht="15" hidden="false" customHeight="false" outlineLevel="0" collapsed="false">
      <c r="A462" s="9" t="n">
        <v>179</v>
      </c>
      <c r="B462" s="9" t="s">
        <v>1462</v>
      </c>
      <c r="C462" s="10" t="s">
        <v>1463</v>
      </c>
      <c r="D462" s="9" t="s">
        <v>1464</v>
      </c>
      <c r="E462" s="10" t="s">
        <v>21</v>
      </c>
      <c r="F462" s="9" t="s">
        <v>1281</v>
      </c>
      <c r="G462" s="9"/>
    </row>
    <row r="463" customFormat="false" ht="15" hidden="false" customHeight="false" outlineLevel="0" collapsed="false">
      <c r="A463" s="9" t="n">
        <v>179</v>
      </c>
      <c r="B463" s="9" t="s">
        <v>1462</v>
      </c>
      <c r="C463" s="10" t="s">
        <v>1465</v>
      </c>
      <c r="D463" s="9" t="s">
        <v>1466</v>
      </c>
      <c r="E463" s="10" t="s">
        <v>21</v>
      </c>
      <c r="F463" s="9" t="s">
        <v>1281</v>
      </c>
      <c r="G463" s="9"/>
    </row>
    <row r="464" customFormat="false" ht="15" hidden="false" customHeight="false" outlineLevel="0" collapsed="false">
      <c r="A464" s="9" t="n">
        <v>179</v>
      </c>
      <c r="B464" s="9" t="s">
        <v>1462</v>
      </c>
      <c r="C464" s="10" t="s">
        <v>1467</v>
      </c>
      <c r="D464" s="9" t="s">
        <v>1468</v>
      </c>
      <c r="E464" s="10" t="s">
        <v>20</v>
      </c>
      <c r="F464" s="9" t="s">
        <v>1281</v>
      </c>
      <c r="G464" s="9"/>
    </row>
    <row r="465" customFormat="false" ht="15" hidden="false" customHeight="false" outlineLevel="0" collapsed="false">
      <c r="A465" s="9" t="n">
        <v>179</v>
      </c>
      <c r="B465" s="9" t="s">
        <v>1462</v>
      </c>
      <c r="C465" s="10" t="s">
        <v>1469</v>
      </c>
      <c r="D465" s="9" t="s">
        <v>1470</v>
      </c>
      <c r="E465" s="10" t="s">
        <v>21</v>
      </c>
      <c r="F465" s="9" t="s">
        <v>1281</v>
      </c>
      <c r="G465" s="9"/>
    </row>
    <row r="466" customFormat="false" ht="15" hidden="false" customHeight="false" outlineLevel="0" collapsed="false">
      <c r="A466" s="9" t="n">
        <v>179</v>
      </c>
      <c r="B466" s="9" t="s">
        <v>1462</v>
      </c>
      <c r="C466" s="10" t="s">
        <v>1471</v>
      </c>
      <c r="D466" s="9" t="s">
        <v>1472</v>
      </c>
      <c r="E466" s="10" t="s">
        <v>20</v>
      </c>
      <c r="F466" s="9" t="s">
        <v>1281</v>
      </c>
      <c r="G466" s="9"/>
    </row>
    <row r="467" customFormat="false" ht="15" hidden="false" customHeight="false" outlineLevel="0" collapsed="false">
      <c r="A467" s="9" t="n">
        <v>180</v>
      </c>
      <c r="B467" s="9" t="s">
        <v>1473</v>
      </c>
      <c r="C467" s="10" t="s">
        <v>1474</v>
      </c>
      <c r="D467" s="9" t="s">
        <v>1475</v>
      </c>
      <c r="E467" s="10" t="s">
        <v>20</v>
      </c>
      <c r="F467" s="9" t="s">
        <v>1281</v>
      </c>
      <c r="G467" s="9"/>
    </row>
    <row r="468" customFormat="false" ht="15" hidden="false" customHeight="false" outlineLevel="0" collapsed="false">
      <c r="A468" s="9" t="n">
        <v>180</v>
      </c>
      <c r="B468" s="9" t="s">
        <v>1473</v>
      </c>
      <c r="C468" s="10" t="s">
        <v>1476</v>
      </c>
      <c r="D468" s="9" t="s">
        <v>1477</v>
      </c>
      <c r="E468" s="10" t="s">
        <v>20</v>
      </c>
      <c r="F468" s="9" t="s">
        <v>1281</v>
      </c>
      <c r="G468" s="9"/>
    </row>
    <row r="469" customFormat="false" ht="15" hidden="false" customHeight="false" outlineLevel="0" collapsed="false">
      <c r="A469" s="9" t="n">
        <v>181</v>
      </c>
      <c r="B469" s="9" t="s">
        <v>1478</v>
      </c>
      <c r="C469" s="10" t="s">
        <v>1479</v>
      </c>
      <c r="D469" s="9" t="s">
        <v>1480</v>
      </c>
      <c r="E469" s="10" t="s">
        <v>20</v>
      </c>
      <c r="F469" s="9" t="s">
        <v>1281</v>
      </c>
      <c r="G469" s="9" t="s">
        <v>1481</v>
      </c>
    </row>
    <row r="470" customFormat="false" ht="26.85" hidden="false" customHeight="false" outlineLevel="0" collapsed="false">
      <c r="A470" s="9" t="n">
        <v>182</v>
      </c>
      <c r="B470" s="9" t="s">
        <v>1482</v>
      </c>
      <c r="C470" s="10" t="s">
        <v>1483</v>
      </c>
      <c r="D470" s="9" t="s">
        <v>1484</v>
      </c>
      <c r="E470" s="10" t="s">
        <v>22</v>
      </c>
      <c r="F470" s="9" t="s">
        <v>46</v>
      </c>
      <c r="G470" s="9" t="s">
        <v>1485</v>
      </c>
    </row>
    <row r="471" customFormat="false" ht="26.85" hidden="false" customHeight="false" outlineLevel="0" collapsed="false">
      <c r="A471" s="9" t="n">
        <v>183</v>
      </c>
      <c r="B471" s="9" t="s">
        <v>1486</v>
      </c>
      <c r="C471" s="10" t="s">
        <v>1487</v>
      </c>
      <c r="D471" s="9" t="s">
        <v>1488</v>
      </c>
      <c r="E471" s="10" t="s">
        <v>21</v>
      </c>
      <c r="F471" s="9" t="s">
        <v>46</v>
      </c>
      <c r="G471" s="9"/>
    </row>
    <row r="472" customFormat="false" ht="26.85" hidden="false" customHeight="false" outlineLevel="0" collapsed="false">
      <c r="A472" s="9" t="n">
        <v>183</v>
      </c>
      <c r="B472" s="9" t="s">
        <v>1486</v>
      </c>
      <c r="C472" s="10" t="s">
        <v>1489</v>
      </c>
      <c r="D472" s="9" t="s">
        <v>1490</v>
      </c>
      <c r="E472" s="10" t="s">
        <v>21</v>
      </c>
      <c r="F472" s="9" t="s">
        <v>46</v>
      </c>
      <c r="G472" s="9"/>
    </row>
    <row r="473" customFormat="false" ht="26.85" hidden="false" customHeight="false" outlineLevel="0" collapsed="false">
      <c r="A473" s="9" t="n">
        <v>184</v>
      </c>
      <c r="B473" s="9" t="s">
        <v>1491</v>
      </c>
      <c r="C473" s="10" t="s">
        <v>1492</v>
      </c>
      <c r="D473" s="9" t="s">
        <v>1493</v>
      </c>
      <c r="E473" s="10" t="s">
        <v>21</v>
      </c>
      <c r="F473" s="9" t="s">
        <v>46</v>
      </c>
      <c r="G473" s="9"/>
    </row>
    <row r="474" customFormat="false" ht="26.85" hidden="false" customHeight="false" outlineLevel="0" collapsed="false">
      <c r="A474" s="9" t="n">
        <v>184</v>
      </c>
      <c r="B474" s="9" t="s">
        <v>1491</v>
      </c>
      <c r="C474" s="10" t="s">
        <v>1494</v>
      </c>
      <c r="D474" s="9" t="s">
        <v>1495</v>
      </c>
      <c r="E474" s="10" t="s">
        <v>21</v>
      </c>
      <c r="F474" s="9" t="s">
        <v>46</v>
      </c>
      <c r="G474" s="9"/>
    </row>
    <row r="475" customFormat="false" ht="15" hidden="false" customHeight="false" outlineLevel="0" collapsed="false">
      <c r="A475" s="9" t="n">
        <v>185</v>
      </c>
      <c r="B475" s="9" t="s">
        <v>1496</v>
      </c>
      <c r="C475" s="10" t="s">
        <v>1497</v>
      </c>
      <c r="D475" s="9" t="s">
        <v>1498</v>
      </c>
      <c r="E475" s="10" t="s">
        <v>23</v>
      </c>
      <c r="F475" s="9" t="s">
        <v>46</v>
      </c>
      <c r="G475" s="9" t="s">
        <v>1499</v>
      </c>
    </row>
    <row r="476" customFormat="false" ht="15" hidden="false" customHeight="false" outlineLevel="0" collapsed="false">
      <c r="A476" s="9" t="n">
        <v>185</v>
      </c>
      <c r="B476" s="9" t="s">
        <v>1496</v>
      </c>
      <c r="C476" s="10" t="s">
        <v>1500</v>
      </c>
      <c r="D476" s="9" t="s">
        <v>1501</v>
      </c>
      <c r="E476" s="10" t="s">
        <v>20</v>
      </c>
      <c r="F476" s="9" t="s">
        <v>46</v>
      </c>
      <c r="G476" s="9"/>
    </row>
    <row r="477" customFormat="false" ht="15" hidden="false" customHeight="false" outlineLevel="0" collapsed="false">
      <c r="A477" s="9" t="n">
        <v>185</v>
      </c>
      <c r="B477" s="9" t="s">
        <v>1496</v>
      </c>
      <c r="C477" s="10" t="s">
        <v>1502</v>
      </c>
      <c r="D477" s="9" t="s">
        <v>1503</v>
      </c>
      <c r="E477" s="10" t="s">
        <v>20</v>
      </c>
      <c r="F477" s="9" t="s">
        <v>46</v>
      </c>
      <c r="G477" s="9"/>
    </row>
    <row r="478" customFormat="false" ht="15" hidden="false" customHeight="false" outlineLevel="0" collapsed="false">
      <c r="A478" s="9" t="n">
        <v>186</v>
      </c>
      <c r="B478" s="9" t="s">
        <v>1504</v>
      </c>
      <c r="C478" s="10" t="s">
        <v>1505</v>
      </c>
      <c r="D478" s="9" t="s">
        <v>1506</v>
      </c>
      <c r="E478" s="10" t="s">
        <v>22</v>
      </c>
      <c r="F478" s="9" t="s">
        <v>46</v>
      </c>
      <c r="G478" s="9"/>
    </row>
    <row r="479" customFormat="false" ht="15" hidden="false" customHeight="false" outlineLevel="0" collapsed="false">
      <c r="A479" s="9" t="n">
        <v>186</v>
      </c>
      <c r="B479" s="9" t="s">
        <v>1504</v>
      </c>
      <c r="C479" s="10" t="s">
        <v>1507</v>
      </c>
      <c r="D479" s="9" t="s">
        <v>1508</v>
      </c>
      <c r="E479" s="10" t="s">
        <v>22</v>
      </c>
      <c r="F479" s="9" t="s">
        <v>46</v>
      </c>
      <c r="G479" s="9"/>
    </row>
    <row r="480" customFormat="false" ht="15" hidden="false" customHeight="false" outlineLevel="0" collapsed="false">
      <c r="A480" s="9" t="n">
        <v>187</v>
      </c>
      <c r="B480" s="9" t="s">
        <v>1509</v>
      </c>
      <c r="C480" s="10" t="s">
        <v>1510</v>
      </c>
      <c r="D480" s="9" t="s">
        <v>1511</v>
      </c>
      <c r="E480" s="10" t="s">
        <v>25</v>
      </c>
      <c r="F480" s="9" t="s">
        <v>46</v>
      </c>
      <c r="G480" s="9"/>
    </row>
    <row r="481" customFormat="false" ht="15" hidden="false" customHeight="false" outlineLevel="0" collapsed="false">
      <c r="A481" s="9" t="n">
        <v>187</v>
      </c>
      <c r="B481" s="9" t="s">
        <v>1509</v>
      </c>
      <c r="C481" s="10" t="s">
        <v>1512</v>
      </c>
      <c r="D481" s="9" t="s">
        <v>1513</v>
      </c>
      <c r="E481" s="10" t="s">
        <v>25</v>
      </c>
      <c r="F481" s="9" t="s">
        <v>46</v>
      </c>
      <c r="G481" s="9"/>
    </row>
    <row r="482" customFormat="false" ht="15" hidden="false" customHeight="false" outlineLevel="0" collapsed="false">
      <c r="A482" s="9" t="n">
        <v>187</v>
      </c>
      <c r="B482" s="9" t="s">
        <v>1509</v>
      </c>
      <c r="C482" s="10" t="s">
        <v>1514</v>
      </c>
      <c r="D482" s="9" t="s">
        <v>1515</v>
      </c>
      <c r="E482" s="10" t="s">
        <v>21</v>
      </c>
      <c r="F482" s="9" t="s">
        <v>46</v>
      </c>
      <c r="G482" s="9" t="s">
        <v>1516</v>
      </c>
    </row>
    <row r="483" customFormat="false" ht="15" hidden="false" customHeight="false" outlineLevel="0" collapsed="false">
      <c r="A483" s="9" t="n">
        <v>188</v>
      </c>
      <c r="B483" s="9" t="s">
        <v>1517</v>
      </c>
      <c r="C483" s="10" t="s">
        <v>1518</v>
      </c>
      <c r="D483" s="9" t="s">
        <v>1519</v>
      </c>
      <c r="E483" s="10" t="s">
        <v>20</v>
      </c>
      <c r="F483" s="9" t="s">
        <v>46</v>
      </c>
      <c r="G483" s="9"/>
    </row>
    <row r="484" customFormat="false" ht="15" hidden="false" customHeight="false" outlineLevel="0" collapsed="false">
      <c r="A484" s="9" t="n">
        <v>188</v>
      </c>
      <c r="B484" s="9" t="s">
        <v>1517</v>
      </c>
      <c r="C484" s="10" t="s">
        <v>1520</v>
      </c>
      <c r="D484" s="9" t="s">
        <v>1521</v>
      </c>
      <c r="E484" s="10" t="s">
        <v>20</v>
      </c>
      <c r="F484" s="9" t="s">
        <v>46</v>
      </c>
      <c r="G484" s="9"/>
    </row>
    <row r="485" customFormat="false" ht="15" hidden="false" customHeight="false" outlineLevel="0" collapsed="false">
      <c r="A485" s="9" t="n">
        <v>189</v>
      </c>
      <c r="B485" s="9" t="s">
        <v>1522</v>
      </c>
      <c r="C485" s="10" t="s">
        <v>1523</v>
      </c>
      <c r="D485" s="9" t="s">
        <v>1524</v>
      </c>
      <c r="E485" s="10" t="s">
        <v>23</v>
      </c>
      <c r="F485" s="9" t="s">
        <v>46</v>
      </c>
      <c r="G485" s="9" t="s">
        <v>1525</v>
      </c>
    </row>
    <row r="486" customFormat="false" ht="15" hidden="false" customHeight="false" outlineLevel="0" collapsed="false">
      <c r="A486" s="9" t="n">
        <v>189</v>
      </c>
      <c r="B486" s="9" t="s">
        <v>1522</v>
      </c>
      <c r="C486" s="10" t="s">
        <v>1526</v>
      </c>
      <c r="D486" s="9" t="s">
        <v>1527</v>
      </c>
      <c r="E486" s="10" t="s">
        <v>20</v>
      </c>
      <c r="F486" s="9" t="s">
        <v>46</v>
      </c>
      <c r="G486" s="9" t="s">
        <v>1528</v>
      </c>
    </row>
    <row r="487" customFormat="false" ht="15" hidden="false" customHeight="false" outlineLevel="0" collapsed="false">
      <c r="A487" s="9" t="n">
        <v>190</v>
      </c>
      <c r="B487" s="9" t="s">
        <v>1529</v>
      </c>
      <c r="C487" s="10" t="s">
        <v>1530</v>
      </c>
      <c r="D487" s="9" t="s">
        <v>1531</v>
      </c>
      <c r="E487" s="10" t="s">
        <v>20</v>
      </c>
      <c r="F487" s="9" t="s">
        <v>46</v>
      </c>
      <c r="G487" s="9" t="s">
        <v>1532</v>
      </c>
    </row>
    <row r="488" customFormat="false" ht="15" hidden="false" customHeight="false" outlineLevel="0" collapsed="false">
      <c r="A488" s="9" t="n">
        <v>191</v>
      </c>
      <c r="B488" s="9" t="s">
        <v>1533</v>
      </c>
      <c r="C488" s="10" t="s">
        <v>1534</v>
      </c>
      <c r="D488" s="9" t="s">
        <v>1535</v>
      </c>
      <c r="E488" s="10" t="s">
        <v>20</v>
      </c>
      <c r="F488" s="9" t="s">
        <v>46</v>
      </c>
      <c r="G488" s="9" t="s">
        <v>1536</v>
      </c>
    </row>
    <row r="489" customFormat="false" ht="15" hidden="false" customHeight="false" outlineLevel="0" collapsed="false">
      <c r="A489" s="9" t="n">
        <v>191</v>
      </c>
      <c r="B489" s="9" t="s">
        <v>1533</v>
      </c>
      <c r="C489" s="10" t="s">
        <v>1537</v>
      </c>
      <c r="D489" s="9" t="s">
        <v>1538</v>
      </c>
      <c r="E489" s="10" t="s">
        <v>21</v>
      </c>
      <c r="F489" s="9" t="s">
        <v>46</v>
      </c>
      <c r="G489" s="9" t="s">
        <v>1539</v>
      </c>
    </row>
    <row r="490" customFormat="false" ht="15" hidden="false" customHeight="false" outlineLevel="0" collapsed="false">
      <c r="A490" s="9" t="n">
        <v>192</v>
      </c>
      <c r="B490" s="9" t="s">
        <v>1540</v>
      </c>
      <c r="C490" s="10" t="s">
        <v>1541</v>
      </c>
      <c r="D490" s="9" t="s">
        <v>1542</v>
      </c>
      <c r="E490" s="10" t="s">
        <v>25</v>
      </c>
      <c r="F490" s="9" t="s">
        <v>191</v>
      </c>
      <c r="G490" s="9" t="s">
        <v>1543</v>
      </c>
    </row>
    <row r="491" customFormat="false" ht="15" hidden="false" customHeight="false" outlineLevel="0" collapsed="false">
      <c r="A491" s="9" t="n">
        <v>192</v>
      </c>
      <c r="B491" s="9" t="s">
        <v>1540</v>
      </c>
      <c r="C491" s="10" t="s">
        <v>1544</v>
      </c>
      <c r="D491" s="9" t="s">
        <v>1545</v>
      </c>
      <c r="E491" s="10" t="s">
        <v>22</v>
      </c>
      <c r="F491" s="9" t="s">
        <v>191</v>
      </c>
      <c r="G491" s="9" t="s">
        <v>1546</v>
      </c>
    </row>
    <row r="492" customFormat="false" ht="15" hidden="false" customHeight="false" outlineLevel="0" collapsed="false">
      <c r="A492" s="9" t="n">
        <v>193</v>
      </c>
      <c r="B492" s="9" t="s">
        <v>1547</v>
      </c>
      <c r="C492" s="10" t="s">
        <v>1548</v>
      </c>
      <c r="D492" s="9" t="s">
        <v>1549</v>
      </c>
      <c r="E492" s="10" t="s">
        <v>26</v>
      </c>
      <c r="F492" s="9" t="s">
        <v>191</v>
      </c>
      <c r="G492" s="9"/>
    </row>
    <row r="493" customFormat="false" ht="15" hidden="false" customHeight="false" outlineLevel="0" collapsed="false">
      <c r="A493" s="9" t="n">
        <v>193</v>
      </c>
      <c r="B493" s="9" t="s">
        <v>1547</v>
      </c>
      <c r="C493" s="10" t="s">
        <v>1550</v>
      </c>
      <c r="D493" s="9" t="s">
        <v>1551</v>
      </c>
      <c r="E493" s="10" t="s">
        <v>26</v>
      </c>
      <c r="F493" s="9" t="s">
        <v>191</v>
      </c>
      <c r="G493" s="9"/>
    </row>
    <row r="494" customFormat="false" ht="15" hidden="false" customHeight="false" outlineLevel="0" collapsed="false">
      <c r="A494" s="9" t="n">
        <v>193</v>
      </c>
      <c r="B494" s="9" t="s">
        <v>1547</v>
      </c>
      <c r="C494" s="10" t="s">
        <v>1552</v>
      </c>
      <c r="D494" s="9" t="s">
        <v>1553</v>
      </c>
      <c r="E494" s="10" t="s">
        <v>26</v>
      </c>
      <c r="F494" s="9" t="s">
        <v>191</v>
      </c>
      <c r="G494" s="9"/>
    </row>
    <row r="495" customFormat="false" ht="15" hidden="false" customHeight="false" outlineLevel="0" collapsed="false">
      <c r="A495" s="9" t="n">
        <v>194</v>
      </c>
      <c r="B495" s="9" t="s">
        <v>1554</v>
      </c>
      <c r="C495" s="10" t="s">
        <v>1555</v>
      </c>
      <c r="D495" s="9" t="s">
        <v>1556</v>
      </c>
      <c r="E495" s="10" t="s">
        <v>23</v>
      </c>
      <c r="F495" s="9" t="s">
        <v>191</v>
      </c>
      <c r="G495" s="9"/>
    </row>
    <row r="496" customFormat="false" ht="15" hidden="false" customHeight="false" outlineLevel="0" collapsed="false">
      <c r="A496" s="9" t="n">
        <v>194</v>
      </c>
      <c r="B496" s="9" t="s">
        <v>1554</v>
      </c>
      <c r="C496" s="10" t="s">
        <v>1557</v>
      </c>
      <c r="D496" s="9" t="s">
        <v>1558</v>
      </c>
      <c r="E496" s="10" t="s">
        <v>23</v>
      </c>
      <c r="F496" s="9" t="s">
        <v>191</v>
      </c>
      <c r="G496" s="9"/>
    </row>
    <row r="497" customFormat="false" ht="26.85" hidden="false" customHeight="false" outlineLevel="0" collapsed="false">
      <c r="A497" s="9" t="n">
        <v>195</v>
      </c>
      <c r="B497" s="9" t="s">
        <v>1559</v>
      </c>
      <c r="C497" s="10" t="s">
        <v>1560</v>
      </c>
      <c r="D497" s="9" t="s">
        <v>1561</v>
      </c>
      <c r="E497" s="10" t="s">
        <v>21</v>
      </c>
      <c r="F497" s="9" t="s">
        <v>191</v>
      </c>
      <c r="G497" s="9"/>
    </row>
    <row r="498" customFormat="false" ht="26.85" hidden="false" customHeight="false" outlineLevel="0" collapsed="false">
      <c r="A498" s="9" t="n">
        <v>195</v>
      </c>
      <c r="B498" s="9" t="s">
        <v>1559</v>
      </c>
      <c r="C498" s="10" t="s">
        <v>1562</v>
      </c>
      <c r="D498" s="9" t="s">
        <v>1563</v>
      </c>
      <c r="E498" s="10" t="s">
        <v>21</v>
      </c>
      <c r="F498" s="9" t="s">
        <v>191</v>
      </c>
      <c r="G498" s="9"/>
    </row>
    <row r="499" customFormat="false" ht="26.85" hidden="false" customHeight="false" outlineLevel="0" collapsed="false">
      <c r="A499" s="9" t="n">
        <v>195</v>
      </c>
      <c r="B499" s="9" t="s">
        <v>1559</v>
      </c>
      <c r="C499" s="10" t="s">
        <v>1564</v>
      </c>
      <c r="D499" s="9" t="s">
        <v>1565</v>
      </c>
      <c r="E499" s="10" t="s">
        <v>21</v>
      </c>
      <c r="F499" s="9" t="s">
        <v>191</v>
      </c>
      <c r="G499" s="9"/>
    </row>
    <row r="500" customFormat="false" ht="15" hidden="false" customHeight="false" outlineLevel="0" collapsed="false">
      <c r="A500" s="9" t="n">
        <v>196</v>
      </c>
      <c r="B500" s="9" t="s">
        <v>1566</v>
      </c>
      <c r="C500" s="10" t="s">
        <v>1567</v>
      </c>
      <c r="D500" s="9" t="s">
        <v>1568</v>
      </c>
      <c r="E500" s="10" t="s">
        <v>21</v>
      </c>
      <c r="F500" s="9" t="s">
        <v>191</v>
      </c>
      <c r="G500" s="9"/>
    </row>
    <row r="501" customFormat="false" ht="15" hidden="false" customHeight="false" outlineLevel="0" collapsed="false">
      <c r="A501" s="9" t="n">
        <v>196</v>
      </c>
      <c r="B501" s="9" t="s">
        <v>1566</v>
      </c>
      <c r="C501" s="10" t="s">
        <v>1569</v>
      </c>
      <c r="D501" s="9" t="s">
        <v>1570</v>
      </c>
      <c r="E501" s="10" t="s">
        <v>21</v>
      </c>
      <c r="F501" s="9" t="s">
        <v>191</v>
      </c>
      <c r="G501" s="9"/>
    </row>
    <row r="502" customFormat="false" ht="15" hidden="false" customHeight="false" outlineLevel="0" collapsed="false">
      <c r="A502" s="9" t="n">
        <v>197</v>
      </c>
      <c r="B502" s="9" t="s">
        <v>1571</v>
      </c>
      <c r="C502" s="10" t="s">
        <v>1572</v>
      </c>
      <c r="D502" s="9" t="s">
        <v>1573</v>
      </c>
      <c r="E502" s="10" t="s">
        <v>23</v>
      </c>
      <c r="F502" s="9" t="s">
        <v>191</v>
      </c>
      <c r="G502" s="9"/>
    </row>
    <row r="503" customFormat="false" ht="15" hidden="false" customHeight="false" outlineLevel="0" collapsed="false">
      <c r="A503" s="9" t="n">
        <v>197</v>
      </c>
      <c r="B503" s="9" t="s">
        <v>1571</v>
      </c>
      <c r="C503" s="10" t="s">
        <v>1574</v>
      </c>
      <c r="D503" s="9" t="s">
        <v>1575</v>
      </c>
      <c r="E503" s="10" t="s">
        <v>23</v>
      </c>
      <c r="F503" s="9" t="s">
        <v>191</v>
      </c>
      <c r="G503" s="9"/>
    </row>
    <row r="504" customFormat="false" ht="15" hidden="false" customHeight="false" outlineLevel="0" collapsed="false">
      <c r="A504" s="9" t="n">
        <v>198</v>
      </c>
      <c r="B504" s="9" t="s">
        <v>1576</v>
      </c>
      <c r="C504" s="10" t="s">
        <v>1577</v>
      </c>
      <c r="D504" s="9" t="s">
        <v>1578</v>
      </c>
      <c r="E504" s="10" t="s">
        <v>21</v>
      </c>
      <c r="F504" s="9" t="s">
        <v>191</v>
      </c>
      <c r="G504" s="9"/>
    </row>
    <row r="505" customFormat="false" ht="15" hidden="false" customHeight="false" outlineLevel="0" collapsed="false">
      <c r="A505" s="9" t="n">
        <v>198</v>
      </c>
      <c r="B505" s="9" t="s">
        <v>1576</v>
      </c>
      <c r="C505" s="10" t="s">
        <v>1579</v>
      </c>
      <c r="D505" s="9" t="s">
        <v>1580</v>
      </c>
      <c r="E505" s="10" t="s">
        <v>21</v>
      </c>
      <c r="F505" s="9" t="s">
        <v>191</v>
      </c>
      <c r="G505" s="9"/>
    </row>
    <row r="506" customFormat="false" ht="15" hidden="false" customHeight="false" outlineLevel="0" collapsed="false">
      <c r="A506" s="9" t="n">
        <v>199</v>
      </c>
      <c r="B506" s="9" t="s">
        <v>1581</v>
      </c>
      <c r="C506" s="10" t="s">
        <v>1582</v>
      </c>
      <c r="D506" s="9" t="s">
        <v>1583</v>
      </c>
      <c r="E506" s="10" t="s">
        <v>20</v>
      </c>
      <c r="F506" s="9" t="s">
        <v>191</v>
      </c>
      <c r="G506" s="9" t="s">
        <v>1583</v>
      </c>
    </row>
    <row r="507" customFormat="false" ht="15" hidden="false" customHeight="false" outlineLevel="0" collapsed="false">
      <c r="A507" s="9" t="n">
        <v>200</v>
      </c>
      <c r="B507" s="9" t="s">
        <v>1584</v>
      </c>
      <c r="C507" s="10" t="s">
        <v>1585</v>
      </c>
      <c r="D507" s="9" t="s">
        <v>1586</v>
      </c>
      <c r="E507" s="10" t="s">
        <v>20</v>
      </c>
      <c r="F507" s="9" t="s">
        <v>191</v>
      </c>
      <c r="G507" s="9"/>
    </row>
    <row r="508" customFormat="false" ht="15" hidden="false" customHeight="false" outlineLevel="0" collapsed="false">
      <c r="A508" s="9" t="n">
        <v>200</v>
      </c>
      <c r="B508" s="9" t="s">
        <v>1584</v>
      </c>
      <c r="C508" s="10" t="s">
        <v>1587</v>
      </c>
      <c r="D508" s="9" t="s">
        <v>1588</v>
      </c>
      <c r="E508" s="10" t="s">
        <v>20</v>
      </c>
      <c r="F508" s="9" t="s">
        <v>191</v>
      </c>
      <c r="G508" s="9"/>
    </row>
    <row r="509" customFormat="false" ht="15" hidden="false" customHeight="false" outlineLevel="0" collapsed="false">
      <c r="A509" s="9" t="n">
        <v>200</v>
      </c>
      <c r="B509" s="9" t="s">
        <v>1584</v>
      </c>
      <c r="C509" s="10" t="s">
        <v>1589</v>
      </c>
      <c r="D509" s="9" t="s">
        <v>1590</v>
      </c>
      <c r="E509" s="10" t="s">
        <v>20</v>
      </c>
      <c r="F509" s="9" t="s">
        <v>191</v>
      </c>
      <c r="G509" s="9"/>
    </row>
    <row r="510" customFormat="false" ht="15" hidden="false" customHeight="false" outlineLevel="0" collapsed="false">
      <c r="A510" s="9" t="n">
        <v>201</v>
      </c>
      <c r="B510" s="9" t="s">
        <v>1591</v>
      </c>
      <c r="C510" s="10" t="s">
        <v>1592</v>
      </c>
      <c r="D510" s="9" t="s">
        <v>1593</v>
      </c>
      <c r="E510" s="10" t="s">
        <v>21</v>
      </c>
      <c r="F510" s="9" t="s">
        <v>1594</v>
      </c>
      <c r="G510" s="9" t="s">
        <v>1595</v>
      </c>
    </row>
    <row r="511" customFormat="false" ht="15" hidden="false" customHeight="false" outlineLevel="0" collapsed="false">
      <c r="A511" s="9" t="n">
        <v>202</v>
      </c>
      <c r="B511" s="9" t="s">
        <v>1596</v>
      </c>
      <c r="C511" s="10" t="s">
        <v>1597</v>
      </c>
      <c r="D511" s="9" t="s">
        <v>1598</v>
      </c>
      <c r="E511" s="10" t="s">
        <v>25</v>
      </c>
      <c r="F511" s="9" t="s">
        <v>1594</v>
      </c>
      <c r="G511" s="9"/>
    </row>
    <row r="512" customFormat="false" ht="15" hidden="false" customHeight="false" outlineLevel="0" collapsed="false">
      <c r="A512" s="9" t="n">
        <v>202</v>
      </c>
      <c r="B512" s="9" t="s">
        <v>1596</v>
      </c>
      <c r="C512" s="10" t="s">
        <v>1599</v>
      </c>
      <c r="D512" s="9" t="s">
        <v>1600</v>
      </c>
      <c r="E512" s="10" t="s">
        <v>25</v>
      </c>
      <c r="F512" s="9" t="s">
        <v>1594</v>
      </c>
      <c r="G512" s="9"/>
    </row>
    <row r="513" customFormat="false" ht="15" hidden="false" customHeight="false" outlineLevel="0" collapsed="false">
      <c r="A513" s="9" t="n">
        <v>202</v>
      </c>
      <c r="B513" s="9" t="s">
        <v>1596</v>
      </c>
      <c r="C513" s="10" t="s">
        <v>1601</v>
      </c>
      <c r="D513" s="9" t="s">
        <v>1602</v>
      </c>
      <c r="E513" s="10" t="s">
        <v>25</v>
      </c>
      <c r="F513" s="9" t="s">
        <v>1594</v>
      </c>
      <c r="G513" s="9"/>
    </row>
    <row r="514" customFormat="false" ht="15" hidden="false" customHeight="false" outlineLevel="0" collapsed="false">
      <c r="A514" s="9" t="n">
        <v>202</v>
      </c>
      <c r="B514" s="9" t="s">
        <v>1596</v>
      </c>
      <c r="C514" s="10" t="s">
        <v>1603</v>
      </c>
      <c r="D514" s="9" t="s">
        <v>1604</v>
      </c>
      <c r="E514" s="10" t="s">
        <v>24</v>
      </c>
      <c r="F514" s="9" t="s">
        <v>1594</v>
      </c>
      <c r="G514" s="9" t="s">
        <v>1605</v>
      </c>
    </row>
    <row r="515" customFormat="false" ht="15" hidden="false" customHeight="false" outlineLevel="0" collapsed="false">
      <c r="A515" s="9" t="n">
        <v>202</v>
      </c>
      <c r="B515" s="9" t="s">
        <v>1596</v>
      </c>
      <c r="C515" s="10" t="s">
        <v>1606</v>
      </c>
      <c r="D515" s="9" t="s">
        <v>1607</v>
      </c>
      <c r="E515" s="10" t="s">
        <v>23</v>
      </c>
      <c r="F515" s="9" t="s">
        <v>1594</v>
      </c>
      <c r="G515" s="9"/>
    </row>
    <row r="516" customFormat="false" ht="15" hidden="false" customHeight="false" outlineLevel="0" collapsed="false">
      <c r="A516" s="9" t="n">
        <v>202</v>
      </c>
      <c r="B516" s="9" t="s">
        <v>1596</v>
      </c>
      <c r="C516" s="10" t="s">
        <v>1608</v>
      </c>
      <c r="D516" s="9" t="s">
        <v>1609</v>
      </c>
      <c r="E516" s="10" t="s">
        <v>23</v>
      </c>
      <c r="F516" s="9" t="s">
        <v>1594</v>
      </c>
      <c r="G516" s="9"/>
    </row>
    <row r="517" customFormat="false" ht="15" hidden="false" customHeight="false" outlineLevel="0" collapsed="false">
      <c r="A517" s="9" t="n">
        <v>202</v>
      </c>
      <c r="B517" s="9" t="s">
        <v>1596</v>
      </c>
      <c r="C517" s="10" t="s">
        <v>1610</v>
      </c>
      <c r="D517" s="9" t="s">
        <v>1611</v>
      </c>
      <c r="E517" s="10" t="s">
        <v>25</v>
      </c>
      <c r="F517" s="9" t="s">
        <v>1594</v>
      </c>
      <c r="G517" s="9"/>
    </row>
    <row r="518" customFormat="false" ht="15" hidden="false" customHeight="false" outlineLevel="0" collapsed="false">
      <c r="A518" s="9" t="n">
        <v>203</v>
      </c>
      <c r="B518" s="9" t="s">
        <v>1612</v>
      </c>
      <c r="C518" s="10" t="s">
        <v>1613</v>
      </c>
      <c r="D518" s="9" t="s">
        <v>1614</v>
      </c>
      <c r="E518" s="10" t="s">
        <v>23</v>
      </c>
      <c r="F518" s="9" t="s">
        <v>1594</v>
      </c>
      <c r="G518" s="9"/>
    </row>
    <row r="519" customFormat="false" ht="15" hidden="false" customHeight="false" outlineLevel="0" collapsed="false">
      <c r="A519" s="9" t="n">
        <v>203</v>
      </c>
      <c r="B519" s="9" t="s">
        <v>1612</v>
      </c>
      <c r="C519" s="10" t="s">
        <v>1615</v>
      </c>
      <c r="D519" s="9" t="s">
        <v>1616</v>
      </c>
      <c r="E519" s="10" t="s">
        <v>23</v>
      </c>
      <c r="F519" s="9" t="s">
        <v>1594</v>
      </c>
      <c r="G519" s="9"/>
    </row>
    <row r="520" customFormat="false" ht="15" hidden="false" customHeight="false" outlineLevel="0" collapsed="false">
      <c r="A520" s="9" t="n">
        <v>203</v>
      </c>
      <c r="B520" s="9" t="s">
        <v>1612</v>
      </c>
      <c r="C520" s="10" t="s">
        <v>1617</v>
      </c>
      <c r="D520" s="9" t="s">
        <v>1618</v>
      </c>
      <c r="E520" s="10" t="s">
        <v>22</v>
      </c>
      <c r="F520" s="9" t="s">
        <v>1594</v>
      </c>
      <c r="G520" s="9"/>
    </row>
    <row r="521" customFormat="false" ht="15" hidden="false" customHeight="false" outlineLevel="0" collapsed="false">
      <c r="A521" s="9" t="n">
        <v>203</v>
      </c>
      <c r="B521" s="9" t="s">
        <v>1612</v>
      </c>
      <c r="C521" s="10" t="s">
        <v>1619</v>
      </c>
      <c r="D521" s="9" t="s">
        <v>1620</v>
      </c>
      <c r="E521" s="10" t="s">
        <v>22</v>
      </c>
      <c r="F521" s="9" t="s">
        <v>1594</v>
      </c>
      <c r="G521" s="9"/>
    </row>
    <row r="522" customFormat="false" ht="15" hidden="false" customHeight="false" outlineLevel="0" collapsed="false">
      <c r="A522" s="9" t="n">
        <v>204</v>
      </c>
      <c r="B522" s="9" t="s">
        <v>1621</v>
      </c>
      <c r="C522" s="10" t="s">
        <v>1622</v>
      </c>
      <c r="D522" s="9" t="s">
        <v>1621</v>
      </c>
      <c r="E522" s="10" t="s">
        <v>21</v>
      </c>
      <c r="F522" s="9" t="s">
        <v>1594</v>
      </c>
      <c r="G522" s="9" t="s">
        <v>1623</v>
      </c>
    </row>
    <row r="523" customFormat="false" ht="15" hidden="false" customHeight="false" outlineLevel="0" collapsed="false">
      <c r="A523" s="9" t="n">
        <v>205</v>
      </c>
      <c r="B523" s="9" t="s">
        <v>1624</v>
      </c>
      <c r="C523" s="10" t="s">
        <v>1625</v>
      </c>
      <c r="D523" s="9" t="s">
        <v>1626</v>
      </c>
      <c r="E523" s="10" t="s">
        <v>23</v>
      </c>
      <c r="F523" s="9" t="s">
        <v>1594</v>
      </c>
      <c r="G523" s="9" t="s">
        <v>1626</v>
      </c>
    </row>
    <row r="524" customFormat="false" ht="15" hidden="false" customHeight="false" outlineLevel="0" collapsed="false">
      <c r="A524" s="9" t="n">
        <v>205</v>
      </c>
      <c r="B524" s="9" t="s">
        <v>1624</v>
      </c>
      <c r="C524" s="10" t="s">
        <v>1627</v>
      </c>
      <c r="D524" s="9" t="s">
        <v>1628</v>
      </c>
      <c r="E524" s="10" t="s">
        <v>21</v>
      </c>
      <c r="F524" s="9" t="s">
        <v>1594</v>
      </c>
      <c r="G524" s="9" t="s">
        <v>1628</v>
      </c>
    </row>
    <row r="525" customFormat="false" ht="15" hidden="false" customHeight="false" outlineLevel="0" collapsed="false">
      <c r="A525" s="9" t="n">
        <v>205</v>
      </c>
      <c r="B525" s="9" t="s">
        <v>1624</v>
      </c>
      <c r="C525" s="10" t="s">
        <v>1629</v>
      </c>
      <c r="D525" s="9" t="s">
        <v>1630</v>
      </c>
      <c r="E525" s="10" t="s">
        <v>20</v>
      </c>
      <c r="F525" s="9" t="s">
        <v>1594</v>
      </c>
      <c r="G525" s="9" t="s">
        <v>1630</v>
      </c>
    </row>
    <row r="526" customFormat="false" ht="15" hidden="false" customHeight="false" outlineLevel="0" collapsed="false">
      <c r="A526" s="9" t="n">
        <v>206</v>
      </c>
      <c r="B526" s="9" t="s">
        <v>1631</v>
      </c>
      <c r="C526" s="10" t="s">
        <v>1632</v>
      </c>
      <c r="D526" s="9" t="s">
        <v>1633</v>
      </c>
      <c r="E526" s="10" t="s">
        <v>21</v>
      </c>
      <c r="F526" s="9" t="s">
        <v>1594</v>
      </c>
      <c r="G526" s="9" t="s">
        <v>1634</v>
      </c>
    </row>
    <row r="527" customFormat="false" ht="15" hidden="false" customHeight="false" outlineLevel="0" collapsed="false">
      <c r="A527" s="9" t="n">
        <v>207</v>
      </c>
      <c r="B527" s="9" t="s">
        <v>1635</v>
      </c>
      <c r="C527" s="10" t="s">
        <v>1636</v>
      </c>
      <c r="D527" s="9" t="s">
        <v>1637</v>
      </c>
      <c r="E527" s="10" t="s">
        <v>20</v>
      </c>
      <c r="F527" s="9" t="s">
        <v>1594</v>
      </c>
      <c r="G527" s="9"/>
    </row>
    <row r="528" customFormat="false" ht="15" hidden="false" customHeight="false" outlineLevel="0" collapsed="false">
      <c r="A528" s="9" t="n">
        <v>207</v>
      </c>
      <c r="B528" s="9" t="s">
        <v>1635</v>
      </c>
      <c r="C528" s="10" t="s">
        <v>1638</v>
      </c>
      <c r="D528" s="9" t="s">
        <v>1639</v>
      </c>
      <c r="E528" s="10" t="s">
        <v>20</v>
      </c>
      <c r="F528" s="9" t="s">
        <v>1594</v>
      </c>
      <c r="G528" s="9"/>
    </row>
    <row r="529" customFormat="false" ht="15" hidden="false" customHeight="false" outlineLevel="0" collapsed="false">
      <c r="A529" s="9" t="n">
        <v>207</v>
      </c>
      <c r="B529" s="9" t="s">
        <v>1635</v>
      </c>
      <c r="C529" s="10" t="s">
        <v>1640</v>
      </c>
      <c r="D529" s="9" t="s">
        <v>1641</v>
      </c>
      <c r="E529" s="10" t="s">
        <v>20</v>
      </c>
      <c r="F529" s="9" t="s">
        <v>1594</v>
      </c>
      <c r="G529" s="9"/>
    </row>
    <row r="530" customFormat="false" ht="15" hidden="false" customHeight="false" outlineLevel="0" collapsed="false">
      <c r="A530" s="9" t="n">
        <v>207</v>
      </c>
      <c r="B530" s="9" t="s">
        <v>1635</v>
      </c>
      <c r="C530" s="10" t="s">
        <v>1642</v>
      </c>
      <c r="D530" s="9" t="s">
        <v>1643</v>
      </c>
      <c r="E530" s="10" t="s">
        <v>20</v>
      </c>
      <c r="F530" s="9" t="s">
        <v>1594</v>
      </c>
      <c r="G530" s="9"/>
    </row>
    <row r="531" customFormat="false" ht="15" hidden="false" customHeight="false" outlineLevel="0" collapsed="false">
      <c r="A531" s="9" t="n">
        <v>207</v>
      </c>
      <c r="B531" s="9" t="s">
        <v>1635</v>
      </c>
      <c r="C531" s="10" t="s">
        <v>1644</v>
      </c>
      <c r="D531" s="9" t="s">
        <v>1645</v>
      </c>
      <c r="E531" s="10" t="s">
        <v>20</v>
      </c>
      <c r="F531" s="9" t="s">
        <v>1594</v>
      </c>
      <c r="G531" s="9"/>
    </row>
    <row r="532" customFormat="false" ht="15" hidden="false" customHeight="false" outlineLevel="0" collapsed="false">
      <c r="A532" s="9" t="n">
        <v>208</v>
      </c>
      <c r="B532" s="9" t="s">
        <v>1646</v>
      </c>
      <c r="C532" s="10" t="s">
        <v>1647</v>
      </c>
      <c r="D532" s="9" t="s">
        <v>1648</v>
      </c>
      <c r="E532" s="10" t="s">
        <v>23</v>
      </c>
      <c r="F532" s="9" t="s">
        <v>1594</v>
      </c>
      <c r="G532" s="9"/>
    </row>
    <row r="533" customFormat="false" ht="15" hidden="false" customHeight="false" outlineLevel="0" collapsed="false">
      <c r="A533" s="9" t="n">
        <v>208</v>
      </c>
      <c r="B533" s="9" t="s">
        <v>1646</v>
      </c>
      <c r="C533" s="10" t="s">
        <v>1649</v>
      </c>
      <c r="D533" s="9" t="s">
        <v>1650</v>
      </c>
      <c r="E533" s="10" t="s">
        <v>23</v>
      </c>
      <c r="F533" s="9" t="s">
        <v>1594</v>
      </c>
      <c r="G533" s="9"/>
    </row>
    <row r="534" customFormat="false" ht="15" hidden="false" customHeight="false" outlineLevel="0" collapsed="false">
      <c r="A534" s="9" t="n">
        <v>208</v>
      </c>
      <c r="B534" s="9" t="s">
        <v>1646</v>
      </c>
      <c r="C534" s="10" t="s">
        <v>1651</v>
      </c>
      <c r="D534" s="9" t="s">
        <v>1652</v>
      </c>
      <c r="E534" s="10" t="s">
        <v>21</v>
      </c>
      <c r="F534" s="9" t="s">
        <v>1594</v>
      </c>
      <c r="G534" s="9"/>
    </row>
    <row r="535" customFormat="false" ht="15" hidden="false" customHeight="false" outlineLevel="0" collapsed="false">
      <c r="A535" s="9" t="n">
        <v>208</v>
      </c>
      <c r="B535" s="9" t="s">
        <v>1646</v>
      </c>
      <c r="C535" s="10" t="s">
        <v>1653</v>
      </c>
      <c r="D535" s="9" t="s">
        <v>1654</v>
      </c>
      <c r="E535" s="10" t="s">
        <v>23</v>
      </c>
      <c r="F535" s="9" t="s">
        <v>1594</v>
      </c>
      <c r="G535" s="9"/>
    </row>
    <row r="536" customFormat="false" ht="15" hidden="false" customHeight="false" outlineLevel="0" collapsed="false">
      <c r="A536" s="9" t="n">
        <v>208</v>
      </c>
      <c r="B536" s="9" t="s">
        <v>1646</v>
      </c>
      <c r="C536" s="10" t="s">
        <v>1655</v>
      </c>
      <c r="D536" s="9" t="s">
        <v>1656</v>
      </c>
      <c r="E536" s="10" t="s">
        <v>21</v>
      </c>
      <c r="F536" s="9" t="s">
        <v>1594</v>
      </c>
      <c r="G536" s="9"/>
    </row>
    <row r="537" customFormat="false" ht="15" hidden="false" customHeight="false" outlineLevel="0" collapsed="false">
      <c r="A537" s="9" t="n">
        <v>209</v>
      </c>
      <c r="B537" s="9" t="s">
        <v>1657</v>
      </c>
      <c r="C537" s="10" t="s">
        <v>1658</v>
      </c>
      <c r="D537" s="9" t="s">
        <v>1659</v>
      </c>
      <c r="E537" s="10" t="s">
        <v>20</v>
      </c>
      <c r="F537" s="9" t="s">
        <v>1594</v>
      </c>
      <c r="G537" s="9"/>
    </row>
    <row r="538" customFormat="false" ht="15" hidden="false" customHeight="false" outlineLevel="0" collapsed="false">
      <c r="A538" s="9" t="n">
        <v>209</v>
      </c>
      <c r="B538" s="9" t="s">
        <v>1657</v>
      </c>
      <c r="C538" s="10" t="s">
        <v>1660</v>
      </c>
      <c r="D538" s="9" t="s">
        <v>1661</v>
      </c>
      <c r="E538" s="10" t="s">
        <v>20</v>
      </c>
      <c r="F538" s="9" t="s">
        <v>1594</v>
      </c>
      <c r="G538" s="9"/>
    </row>
    <row r="539" customFormat="false" ht="15" hidden="false" customHeight="false" outlineLevel="0" collapsed="false">
      <c r="A539" s="9" t="n">
        <v>210</v>
      </c>
      <c r="B539" s="9" t="s">
        <v>1662</v>
      </c>
      <c r="C539" s="10" t="s">
        <v>1663</v>
      </c>
      <c r="D539" s="9" t="s">
        <v>1664</v>
      </c>
      <c r="E539" s="10" t="s">
        <v>22</v>
      </c>
      <c r="F539" s="9" t="s">
        <v>1594</v>
      </c>
      <c r="G539" s="9" t="s">
        <v>1665</v>
      </c>
    </row>
    <row r="540" customFormat="false" ht="15" hidden="false" customHeight="false" outlineLevel="0" collapsed="false">
      <c r="A540" s="9" t="n">
        <v>210</v>
      </c>
      <c r="B540" s="9" t="s">
        <v>1662</v>
      </c>
      <c r="C540" s="10" t="s">
        <v>1666</v>
      </c>
      <c r="D540" s="9" t="s">
        <v>1667</v>
      </c>
      <c r="E540" s="10" t="s">
        <v>20</v>
      </c>
      <c r="F540" s="9" t="s">
        <v>1594</v>
      </c>
      <c r="G540" s="9" t="s">
        <v>1668</v>
      </c>
    </row>
    <row r="541" customFormat="false" ht="15" hidden="false" customHeight="false" outlineLevel="0" collapsed="false">
      <c r="A541" s="9" t="n">
        <v>211</v>
      </c>
      <c r="B541" s="9" t="s">
        <v>1669</v>
      </c>
      <c r="C541" s="10" t="s">
        <v>1670</v>
      </c>
      <c r="D541" s="9" t="s">
        <v>1671</v>
      </c>
      <c r="E541" s="10" t="s">
        <v>20</v>
      </c>
      <c r="F541" s="9" t="s">
        <v>1594</v>
      </c>
      <c r="G541" s="9"/>
    </row>
    <row r="542" customFormat="false" ht="15" hidden="false" customHeight="false" outlineLevel="0" collapsed="false">
      <c r="A542" s="9" t="n">
        <v>211</v>
      </c>
      <c r="B542" s="9" t="s">
        <v>1669</v>
      </c>
      <c r="C542" s="10" t="s">
        <v>1672</v>
      </c>
      <c r="D542" s="9" t="s">
        <v>1673</v>
      </c>
      <c r="E542" s="10" t="s">
        <v>20</v>
      </c>
      <c r="F542" s="9" t="s">
        <v>1594</v>
      </c>
      <c r="G542" s="9"/>
    </row>
    <row r="543" customFormat="false" ht="15" hidden="false" customHeight="false" outlineLevel="0" collapsed="false">
      <c r="A543" s="9" t="n">
        <v>212</v>
      </c>
      <c r="B543" s="9" t="s">
        <v>1674</v>
      </c>
      <c r="C543" s="10" t="s">
        <v>1675</v>
      </c>
      <c r="D543" s="9" t="s">
        <v>1676</v>
      </c>
      <c r="E543" s="10" t="s">
        <v>21</v>
      </c>
      <c r="F543" s="9" t="s">
        <v>1594</v>
      </c>
      <c r="G543" s="9" t="s">
        <v>1677</v>
      </c>
    </row>
    <row r="544" customFormat="false" ht="15" hidden="false" customHeight="false" outlineLevel="0" collapsed="false">
      <c r="A544" s="9" t="n">
        <v>213</v>
      </c>
      <c r="B544" s="9" t="s">
        <v>1678</v>
      </c>
      <c r="C544" s="10" t="s">
        <v>1679</v>
      </c>
      <c r="D544" s="9" t="s">
        <v>1680</v>
      </c>
      <c r="E544" s="10" t="s">
        <v>21</v>
      </c>
      <c r="F544" s="9" t="s">
        <v>1594</v>
      </c>
      <c r="G544" s="9"/>
    </row>
    <row r="545" customFormat="false" ht="15" hidden="false" customHeight="false" outlineLevel="0" collapsed="false">
      <c r="A545" s="9" t="n">
        <v>213</v>
      </c>
      <c r="B545" s="9" t="s">
        <v>1678</v>
      </c>
      <c r="C545" s="10" t="s">
        <v>1681</v>
      </c>
      <c r="D545" s="9" t="s">
        <v>1682</v>
      </c>
      <c r="E545" s="10" t="s">
        <v>21</v>
      </c>
      <c r="F545" s="9" t="s">
        <v>1594</v>
      </c>
      <c r="G545" s="9"/>
    </row>
    <row r="546" customFormat="false" ht="15" hidden="false" customHeight="false" outlineLevel="0" collapsed="false">
      <c r="A546" s="9" t="n">
        <v>213</v>
      </c>
      <c r="B546" s="9" t="s">
        <v>1678</v>
      </c>
      <c r="C546" s="10" t="s">
        <v>1683</v>
      </c>
      <c r="D546" s="9" t="s">
        <v>1684</v>
      </c>
      <c r="E546" s="10" t="s">
        <v>21</v>
      </c>
      <c r="F546" s="9" t="s">
        <v>1594</v>
      </c>
      <c r="G546" s="9"/>
    </row>
    <row r="547" customFormat="false" ht="15" hidden="false" customHeight="false" outlineLevel="0" collapsed="false">
      <c r="A547" s="9" t="n">
        <v>213</v>
      </c>
      <c r="B547" s="9" t="s">
        <v>1678</v>
      </c>
      <c r="C547" s="10" t="s">
        <v>1685</v>
      </c>
      <c r="D547" s="9" t="s">
        <v>1686</v>
      </c>
      <c r="E547" s="10" t="s">
        <v>20</v>
      </c>
      <c r="F547" s="9" t="s">
        <v>1594</v>
      </c>
      <c r="G547" s="9" t="s">
        <v>1687</v>
      </c>
    </row>
    <row r="548" customFormat="false" ht="15" hidden="false" customHeight="false" outlineLevel="0" collapsed="false">
      <c r="A548" s="9" t="n">
        <v>214</v>
      </c>
      <c r="B548" s="9" t="s">
        <v>1688</v>
      </c>
      <c r="C548" s="10" t="s">
        <v>1689</v>
      </c>
      <c r="D548" s="9" t="s">
        <v>1688</v>
      </c>
      <c r="E548" s="10" t="s">
        <v>20</v>
      </c>
      <c r="F548" s="9" t="s">
        <v>1594</v>
      </c>
      <c r="G548" s="9" t="s">
        <v>1690</v>
      </c>
    </row>
    <row r="549" customFormat="false" ht="15" hidden="false" customHeight="false" outlineLevel="0" collapsed="false">
      <c r="A549" s="9" t="n">
        <v>215</v>
      </c>
      <c r="B549" s="9" t="s">
        <v>1691</v>
      </c>
      <c r="C549" s="10" t="s">
        <v>1692</v>
      </c>
      <c r="D549" s="9" t="s">
        <v>1693</v>
      </c>
      <c r="E549" s="10" t="s">
        <v>20</v>
      </c>
      <c r="F549" s="9" t="s">
        <v>1594</v>
      </c>
      <c r="G549" s="9" t="s">
        <v>1694</v>
      </c>
    </row>
    <row r="550" customFormat="false" ht="15" hidden="false" customHeight="false" outlineLevel="0" collapsed="false">
      <c r="A550" s="9" t="n">
        <v>216</v>
      </c>
      <c r="B550" s="9" t="s">
        <v>1695</v>
      </c>
      <c r="C550" s="10" t="s">
        <v>1696</v>
      </c>
      <c r="D550" s="9" t="s">
        <v>1697</v>
      </c>
      <c r="E550" s="10" t="s">
        <v>20</v>
      </c>
      <c r="F550" s="9" t="s">
        <v>1594</v>
      </c>
      <c r="G550" s="9" t="s">
        <v>1698</v>
      </c>
    </row>
    <row r="551" customFormat="false" ht="15" hidden="false" customHeight="false" outlineLevel="0" collapsed="false">
      <c r="A551" s="9" t="n">
        <v>217</v>
      </c>
      <c r="B551" s="9" t="s">
        <v>1699</v>
      </c>
      <c r="C551" s="10" t="s">
        <v>1700</v>
      </c>
      <c r="D551" s="9" t="s">
        <v>1701</v>
      </c>
      <c r="E551" s="10" t="s">
        <v>20</v>
      </c>
      <c r="F551" s="9" t="s">
        <v>1702</v>
      </c>
      <c r="G551" s="9" t="s">
        <v>1701</v>
      </c>
    </row>
    <row r="552" customFormat="false" ht="15" hidden="false" customHeight="false" outlineLevel="0" collapsed="false">
      <c r="A552" s="9" t="n">
        <v>218</v>
      </c>
      <c r="B552" s="9" t="s">
        <v>1703</v>
      </c>
      <c r="C552" s="10" t="s">
        <v>1704</v>
      </c>
      <c r="D552" s="9" t="s">
        <v>1705</v>
      </c>
      <c r="E552" s="10" t="s">
        <v>23</v>
      </c>
      <c r="F552" s="9" t="s">
        <v>1702</v>
      </c>
      <c r="G552" s="9" t="s">
        <v>1706</v>
      </c>
    </row>
    <row r="553" customFormat="false" ht="15" hidden="false" customHeight="false" outlineLevel="0" collapsed="false">
      <c r="A553" s="9" t="n">
        <v>218</v>
      </c>
      <c r="B553" s="9" t="s">
        <v>1703</v>
      </c>
      <c r="C553" s="10" t="s">
        <v>1707</v>
      </c>
      <c r="D553" s="9" t="s">
        <v>1708</v>
      </c>
      <c r="E553" s="10" t="s">
        <v>22</v>
      </c>
      <c r="F553" s="9" t="s">
        <v>1702</v>
      </c>
      <c r="G553" s="9" t="s">
        <v>1708</v>
      </c>
    </row>
    <row r="554" customFormat="false" ht="15" hidden="false" customHeight="false" outlineLevel="0" collapsed="false">
      <c r="A554" s="9" t="n">
        <v>219</v>
      </c>
      <c r="B554" s="9" t="s">
        <v>1709</v>
      </c>
      <c r="C554" s="10" t="s">
        <v>1710</v>
      </c>
      <c r="D554" s="9" t="s">
        <v>1711</v>
      </c>
      <c r="E554" s="10" t="s">
        <v>20</v>
      </c>
      <c r="F554" s="9" t="s">
        <v>1702</v>
      </c>
      <c r="G554" s="9" t="s">
        <v>1711</v>
      </c>
    </row>
    <row r="555" customFormat="false" ht="15" hidden="false" customHeight="false" outlineLevel="0" collapsed="false">
      <c r="A555" s="9" t="n">
        <v>220</v>
      </c>
      <c r="B555" s="9" t="s">
        <v>1712</v>
      </c>
      <c r="C555" s="10" t="s">
        <v>1713</v>
      </c>
      <c r="D555" s="9" t="s">
        <v>1714</v>
      </c>
      <c r="E555" s="10" t="s">
        <v>20</v>
      </c>
      <c r="F555" s="9" t="s">
        <v>1702</v>
      </c>
      <c r="G555" s="9"/>
    </row>
    <row r="556" customFormat="false" ht="15" hidden="false" customHeight="false" outlineLevel="0" collapsed="false">
      <c r="A556" s="9" t="n">
        <v>220</v>
      </c>
      <c r="B556" s="9" t="s">
        <v>1712</v>
      </c>
      <c r="C556" s="10" t="s">
        <v>1715</v>
      </c>
      <c r="D556" s="9" t="s">
        <v>1716</v>
      </c>
      <c r="E556" s="10" t="s">
        <v>20</v>
      </c>
      <c r="F556" s="9" t="s">
        <v>1702</v>
      </c>
      <c r="G556" s="9"/>
    </row>
    <row r="557" customFormat="false" ht="15" hidden="false" customHeight="false" outlineLevel="0" collapsed="false">
      <c r="A557" s="9" t="n">
        <v>220</v>
      </c>
      <c r="B557" s="9" t="s">
        <v>1712</v>
      </c>
      <c r="C557" s="10" t="s">
        <v>1717</v>
      </c>
      <c r="D557" s="9" t="s">
        <v>1718</v>
      </c>
      <c r="E557" s="10" t="s">
        <v>20</v>
      </c>
      <c r="F557" s="9" t="s">
        <v>1702</v>
      </c>
      <c r="G557" s="9"/>
    </row>
    <row r="558" customFormat="false" ht="15" hidden="false" customHeight="false" outlineLevel="0" collapsed="false">
      <c r="A558" s="9" t="n">
        <v>221</v>
      </c>
      <c r="B558" s="9" t="s">
        <v>1719</v>
      </c>
      <c r="C558" s="10" t="s">
        <v>1720</v>
      </c>
      <c r="D558" s="9" t="s">
        <v>1719</v>
      </c>
      <c r="E558" s="10" t="s">
        <v>20</v>
      </c>
      <c r="F558" s="9" t="s">
        <v>1702</v>
      </c>
      <c r="G558" s="9" t="s">
        <v>1719</v>
      </c>
    </row>
    <row r="559" customFormat="false" ht="15" hidden="false" customHeight="false" outlineLevel="0" collapsed="false">
      <c r="A559" s="9" t="n">
        <v>222</v>
      </c>
      <c r="B559" s="9" t="s">
        <v>1635</v>
      </c>
      <c r="C559" s="10" t="s">
        <v>1721</v>
      </c>
      <c r="D559" s="9" t="s">
        <v>1637</v>
      </c>
      <c r="E559" s="10" t="s">
        <v>20</v>
      </c>
      <c r="F559" s="9" t="s">
        <v>1702</v>
      </c>
      <c r="G559" s="9"/>
    </row>
    <row r="560" customFormat="false" ht="15" hidden="false" customHeight="false" outlineLevel="0" collapsed="false">
      <c r="A560" s="9" t="n">
        <v>222</v>
      </c>
      <c r="B560" s="9" t="s">
        <v>1635</v>
      </c>
      <c r="C560" s="10" t="s">
        <v>1722</v>
      </c>
      <c r="D560" s="9" t="s">
        <v>1723</v>
      </c>
      <c r="E560" s="10" t="s">
        <v>20</v>
      </c>
      <c r="F560" s="9" t="s">
        <v>1702</v>
      </c>
      <c r="G560" s="9"/>
    </row>
    <row r="561" customFormat="false" ht="15" hidden="false" customHeight="false" outlineLevel="0" collapsed="false">
      <c r="A561" s="9" t="n">
        <v>223</v>
      </c>
      <c r="B561" s="9" t="s">
        <v>1724</v>
      </c>
      <c r="C561" s="10" t="s">
        <v>1725</v>
      </c>
      <c r="D561" s="9" t="s">
        <v>1726</v>
      </c>
      <c r="E561" s="10" t="s">
        <v>20</v>
      </c>
      <c r="F561" s="9" t="s">
        <v>1702</v>
      </c>
      <c r="G561" s="9"/>
    </row>
    <row r="562" customFormat="false" ht="15" hidden="false" customHeight="false" outlineLevel="0" collapsed="false">
      <c r="A562" s="9" t="n">
        <v>223</v>
      </c>
      <c r="B562" s="9" t="s">
        <v>1724</v>
      </c>
      <c r="C562" s="10" t="s">
        <v>1727</v>
      </c>
      <c r="D562" s="9" t="s">
        <v>1728</v>
      </c>
      <c r="E562" s="10" t="s">
        <v>20</v>
      </c>
      <c r="F562" s="9" t="s">
        <v>1702</v>
      </c>
      <c r="G562" s="9"/>
    </row>
    <row r="563" customFormat="false" ht="15" hidden="false" customHeight="false" outlineLevel="0" collapsed="false">
      <c r="A563" s="9" t="n">
        <v>224</v>
      </c>
      <c r="B563" s="9" t="s">
        <v>1729</v>
      </c>
      <c r="C563" s="10" t="s">
        <v>1730</v>
      </c>
      <c r="D563" s="9" t="s">
        <v>1731</v>
      </c>
      <c r="E563" s="10" t="s">
        <v>23</v>
      </c>
      <c r="F563" s="9" t="s">
        <v>1702</v>
      </c>
      <c r="G563" s="9"/>
    </row>
    <row r="564" customFormat="false" ht="15" hidden="false" customHeight="false" outlineLevel="0" collapsed="false">
      <c r="A564" s="9" t="n">
        <v>224</v>
      </c>
      <c r="B564" s="9" t="s">
        <v>1729</v>
      </c>
      <c r="C564" s="10" t="s">
        <v>1732</v>
      </c>
      <c r="D564" s="9" t="s">
        <v>1733</v>
      </c>
      <c r="E564" s="10" t="s">
        <v>23</v>
      </c>
      <c r="F564" s="9" t="s">
        <v>1702</v>
      </c>
      <c r="G564" s="9"/>
    </row>
    <row r="565" customFormat="false" ht="15" hidden="false" customHeight="false" outlineLevel="0" collapsed="false">
      <c r="A565" s="9" t="n">
        <v>224</v>
      </c>
      <c r="B565" s="9" t="s">
        <v>1729</v>
      </c>
      <c r="C565" s="10" t="s">
        <v>1734</v>
      </c>
      <c r="D565" s="9" t="s">
        <v>1735</v>
      </c>
      <c r="E565" s="10" t="s">
        <v>20</v>
      </c>
      <c r="F565" s="9" t="s">
        <v>1702</v>
      </c>
      <c r="G565" s="9" t="s">
        <v>1735</v>
      </c>
    </row>
    <row r="566" customFormat="false" ht="15" hidden="false" customHeight="false" outlineLevel="0" collapsed="false">
      <c r="A566" s="9" t="n">
        <v>225</v>
      </c>
      <c r="B566" s="9" t="s">
        <v>1736</v>
      </c>
      <c r="C566" s="10" t="s">
        <v>1737</v>
      </c>
      <c r="D566" s="9" t="s">
        <v>1738</v>
      </c>
      <c r="E566" s="10" t="s">
        <v>23</v>
      </c>
      <c r="F566" s="9" t="s">
        <v>1702</v>
      </c>
      <c r="G566" s="9"/>
    </row>
    <row r="567" customFormat="false" ht="15" hidden="false" customHeight="false" outlineLevel="0" collapsed="false">
      <c r="A567" s="9" t="n">
        <v>225</v>
      </c>
      <c r="B567" s="9" t="s">
        <v>1736</v>
      </c>
      <c r="C567" s="10" t="s">
        <v>1739</v>
      </c>
      <c r="D567" s="9" t="s">
        <v>1740</v>
      </c>
      <c r="E567" s="10" t="s">
        <v>23</v>
      </c>
      <c r="F567" s="9" t="s">
        <v>1702</v>
      </c>
      <c r="G567" s="9"/>
    </row>
    <row r="568" customFormat="false" ht="15" hidden="false" customHeight="false" outlineLevel="0" collapsed="false">
      <c r="A568" s="9" t="n">
        <v>225</v>
      </c>
      <c r="B568" s="9" t="s">
        <v>1736</v>
      </c>
      <c r="C568" s="10" t="s">
        <v>1741</v>
      </c>
      <c r="D568" s="9" t="s">
        <v>1742</v>
      </c>
      <c r="E568" s="10" t="s">
        <v>25</v>
      </c>
      <c r="F568" s="9" t="s">
        <v>1702</v>
      </c>
      <c r="G568" s="9" t="s">
        <v>1743</v>
      </c>
    </row>
    <row r="569" customFormat="false" ht="15" hidden="false" customHeight="false" outlineLevel="0" collapsed="false">
      <c r="A569" s="9" t="n">
        <v>226</v>
      </c>
      <c r="B569" s="9" t="s">
        <v>1744</v>
      </c>
      <c r="C569" s="10" t="s">
        <v>1745</v>
      </c>
      <c r="D569" s="9" t="s">
        <v>1746</v>
      </c>
      <c r="E569" s="10" t="s">
        <v>23</v>
      </c>
      <c r="F569" s="9" t="s">
        <v>1702</v>
      </c>
      <c r="G569" s="9" t="s">
        <v>1747</v>
      </c>
    </row>
    <row r="570" customFormat="false" ht="15" hidden="false" customHeight="false" outlineLevel="0" collapsed="false">
      <c r="A570" s="9" t="n">
        <v>226</v>
      </c>
      <c r="B570" s="9" t="s">
        <v>1744</v>
      </c>
      <c r="C570" s="10" t="s">
        <v>1748</v>
      </c>
      <c r="D570" s="9" t="s">
        <v>1749</v>
      </c>
      <c r="E570" s="10" t="s">
        <v>20</v>
      </c>
      <c r="F570" s="9" t="s">
        <v>1702</v>
      </c>
      <c r="G570" s="9" t="s">
        <v>1750</v>
      </c>
    </row>
    <row r="571" customFormat="false" ht="15" hidden="false" customHeight="false" outlineLevel="0" collapsed="false">
      <c r="A571" s="9" t="n">
        <v>227</v>
      </c>
      <c r="B571" s="9" t="s">
        <v>1688</v>
      </c>
      <c r="C571" s="10" t="s">
        <v>1751</v>
      </c>
      <c r="D571" s="9" t="s">
        <v>1688</v>
      </c>
      <c r="E571" s="10" t="s">
        <v>20</v>
      </c>
      <c r="F571" s="9" t="s">
        <v>1702</v>
      </c>
      <c r="G571" s="9" t="s">
        <v>1688</v>
      </c>
    </row>
    <row r="572" customFormat="false" ht="15" hidden="false" customHeight="false" outlineLevel="0" collapsed="false">
      <c r="A572" s="9" t="n">
        <v>228</v>
      </c>
      <c r="B572" s="9" t="s">
        <v>1752</v>
      </c>
      <c r="C572" s="10" t="s">
        <v>1753</v>
      </c>
      <c r="D572" s="9" t="s">
        <v>1754</v>
      </c>
      <c r="E572" s="10" t="s">
        <v>25</v>
      </c>
      <c r="F572" s="9" t="s">
        <v>1755</v>
      </c>
      <c r="G572" s="9"/>
    </row>
    <row r="573" customFormat="false" ht="15" hidden="false" customHeight="false" outlineLevel="0" collapsed="false">
      <c r="A573" s="9" t="n">
        <v>228</v>
      </c>
      <c r="B573" s="9" t="s">
        <v>1752</v>
      </c>
      <c r="C573" s="10" t="s">
        <v>1756</v>
      </c>
      <c r="D573" s="9" t="s">
        <v>1757</v>
      </c>
      <c r="E573" s="10" t="s">
        <v>25</v>
      </c>
      <c r="F573" s="9" t="s">
        <v>1755</v>
      </c>
      <c r="G573" s="9"/>
    </row>
    <row r="574" customFormat="false" ht="15" hidden="false" customHeight="false" outlineLevel="0" collapsed="false">
      <c r="A574" s="9" t="n">
        <v>229</v>
      </c>
      <c r="B574" s="9" t="s">
        <v>1758</v>
      </c>
      <c r="C574" s="10" t="s">
        <v>1759</v>
      </c>
      <c r="D574" s="9" t="s">
        <v>1760</v>
      </c>
      <c r="E574" s="10" t="s">
        <v>21</v>
      </c>
      <c r="F574" s="9" t="s">
        <v>1755</v>
      </c>
      <c r="G574" s="9"/>
    </row>
    <row r="575" customFormat="false" ht="15" hidden="false" customHeight="false" outlineLevel="0" collapsed="false">
      <c r="A575" s="9" t="n">
        <v>229</v>
      </c>
      <c r="B575" s="9" t="s">
        <v>1758</v>
      </c>
      <c r="C575" s="10" t="s">
        <v>1761</v>
      </c>
      <c r="D575" s="9" t="s">
        <v>1762</v>
      </c>
      <c r="E575" s="10" t="s">
        <v>21</v>
      </c>
      <c r="F575" s="9" t="s">
        <v>1755</v>
      </c>
      <c r="G575" s="9"/>
    </row>
    <row r="576" customFormat="false" ht="15" hidden="false" customHeight="false" outlineLevel="0" collapsed="false">
      <c r="A576" s="9" t="n">
        <v>230</v>
      </c>
      <c r="B576" s="9" t="s">
        <v>1763</v>
      </c>
      <c r="C576" s="10" t="s">
        <v>1764</v>
      </c>
      <c r="D576" s="9" t="s">
        <v>1765</v>
      </c>
      <c r="E576" s="10" t="s">
        <v>21</v>
      </c>
      <c r="F576" s="9" t="s">
        <v>1755</v>
      </c>
      <c r="G576" s="9"/>
    </row>
    <row r="577" customFormat="false" ht="15" hidden="false" customHeight="false" outlineLevel="0" collapsed="false">
      <c r="A577" s="9" t="n">
        <v>230</v>
      </c>
      <c r="B577" s="9" t="s">
        <v>1763</v>
      </c>
      <c r="C577" s="10" t="s">
        <v>1766</v>
      </c>
      <c r="D577" s="9" t="s">
        <v>1767</v>
      </c>
      <c r="E577" s="10" t="s">
        <v>21</v>
      </c>
      <c r="F577" s="9" t="s">
        <v>1755</v>
      </c>
      <c r="G577" s="9"/>
    </row>
    <row r="578" customFormat="false" ht="15" hidden="false" customHeight="false" outlineLevel="0" collapsed="false">
      <c r="A578" s="9" t="n">
        <v>231</v>
      </c>
      <c r="B578" s="9" t="s">
        <v>1768</v>
      </c>
      <c r="C578" s="10" t="s">
        <v>1769</v>
      </c>
      <c r="D578" s="9" t="s">
        <v>1770</v>
      </c>
      <c r="E578" s="10" t="s">
        <v>25</v>
      </c>
      <c r="F578" s="9" t="s">
        <v>1755</v>
      </c>
      <c r="G578" s="9"/>
    </row>
    <row r="579" customFormat="false" ht="15" hidden="false" customHeight="false" outlineLevel="0" collapsed="false">
      <c r="A579" s="9" t="n">
        <v>231</v>
      </c>
      <c r="B579" s="9" t="s">
        <v>1768</v>
      </c>
      <c r="C579" s="10" t="s">
        <v>1771</v>
      </c>
      <c r="D579" s="9" t="s">
        <v>1772</v>
      </c>
      <c r="E579" s="10" t="s">
        <v>25</v>
      </c>
      <c r="F579" s="9" t="s">
        <v>1755</v>
      </c>
      <c r="G579" s="9"/>
    </row>
    <row r="580" customFormat="false" ht="15" hidden="false" customHeight="false" outlineLevel="0" collapsed="false">
      <c r="A580" s="9" t="n">
        <v>232</v>
      </c>
      <c r="B580" s="9" t="s">
        <v>1773</v>
      </c>
      <c r="C580" s="10" t="s">
        <v>1774</v>
      </c>
      <c r="D580" s="9" t="s">
        <v>1775</v>
      </c>
      <c r="E580" s="10" t="s">
        <v>21</v>
      </c>
      <c r="F580" s="9" t="s">
        <v>1755</v>
      </c>
      <c r="G580" s="9"/>
    </row>
    <row r="581" customFormat="false" ht="15" hidden="false" customHeight="false" outlineLevel="0" collapsed="false">
      <c r="A581" s="9" t="n">
        <v>232</v>
      </c>
      <c r="B581" s="9" t="s">
        <v>1773</v>
      </c>
      <c r="C581" s="10" t="s">
        <v>1776</v>
      </c>
      <c r="D581" s="9" t="s">
        <v>1777</v>
      </c>
      <c r="E581" s="10" t="s">
        <v>21</v>
      </c>
      <c r="F581" s="9" t="s">
        <v>1755</v>
      </c>
      <c r="G581" s="9"/>
    </row>
    <row r="582" customFormat="false" ht="15" hidden="false" customHeight="false" outlineLevel="0" collapsed="false">
      <c r="A582" s="9" t="n">
        <v>233</v>
      </c>
      <c r="B582" s="9" t="s">
        <v>1778</v>
      </c>
      <c r="C582" s="10" t="s">
        <v>1779</v>
      </c>
      <c r="D582" s="9" t="s">
        <v>1780</v>
      </c>
      <c r="E582" s="10" t="s">
        <v>21</v>
      </c>
      <c r="F582" s="9" t="s">
        <v>1755</v>
      </c>
      <c r="G582" s="9"/>
    </row>
    <row r="583" customFormat="false" ht="15" hidden="false" customHeight="false" outlineLevel="0" collapsed="false">
      <c r="A583" s="9" t="n">
        <v>233</v>
      </c>
      <c r="B583" s="9" t="s">
        <v>1778</v>
      </c>
      <c r="C583" s="10" t="s">
        <v>1781</v>
      </c>
      <c r="D583" s="9" t="s">
        <v>1782</v>
      </c>
      <c r="E583" s="10" t="s">
        <v>21</v>
      </c>
      <c r="F583" s="9" t="s">
        <v>1755</v>
      </c>
      <c r="G583" s="9"/>
    </row>
    <row r="584" customFormat="false" ht="26.85" hidden="false" customHeight="false" outlineLevel="0" collapsed="false">
      <c r="A584" s="9" t="n">
        <v>234</v>
      </c>
      <c r="B584" s="9" t="s">
        <v>1783</v>
      </c>
      <c r="C584" s="10" t="s">
        <v>1784</v>
      </c>
      <c r="D584" s="9" t="s">
        <v>1785</v>
      </c>
      <c r="E584" s="10" t="s">
        <v>24</v>
      </c>
      <c r="F584" s="9" t="s">
        <v>1755</v>
      </c>
      <c r="G584" s="9"/>
    </row>
    <row r="585" customFormat="false" ht="26.85" hidden="false" customHeight="false" outlineLevel="0" collapsed="false">
      <c r="A585" s="9" t="n">
        <v>234</v>
      </c>
      <c r="B585" s="9" t="s">
        <v>1783</v>
      </c>
      <c r="C585" s="10" t="s">
        <v>1786</v>
      </c>
      <c r="D585" s="9" t="s">
        <v>1787</v>
      </c>
      <c r="E585" s="10" t="s">
        <v>24</v>
      </c>
      <c r="F585" s="9" t="s">
        <v>1755</v>
      </c>
      <c r="G585" s="9"/>
    </row>
    <row r="586" customFormat="false" ht="25.35" hidden="false" customHeight="false" outlineLevel="0" collapsed="false">
      <c r="A586" s="9" t="n">
        <v>235</v>
      </c>
      <c r="B586" s="9" t="s">
        <v>1788</v>
      </c>
      <c r="C586" s="10" t="s">
        <v>1789</v>
      </c>
      <c r="D586" s="9" t="s">
        <v>1790</v>
      </c>
      <c r="E586" s="10" t="s">
        <v>20</v>
      </c>
      <c r="F586" s="9" t="s">
        <v>1755</v>
      </c>
      <c r="G586" s="9"/>
    </row>
    <row r="587" customFormat="false" ht="25.35" hidden="false" customHeight="false" outlineLevel="0" collapsed="false">
      <c r="A587" s="9" t="n">
        <v>235</v>
      </c>
      <c r="B587" s="9" t="s">
        <v>1788</v>
      </c>
      <c r="C587" s="10" t="s">
        <v>1791</v>
      </c>
      <c r="D587" s="9" t="s">
        <v>1792</v>
      </c>
      <c r="E587" s="10" t="s">
        <v>20</v>
      </c>
      <c r="F587" s="9" t="s">
        <v>1755</v>
      </c>
      <c r="G587" s="9"/>
    </row>
    <row r="588" customFormat="false" ht="15" hidden="false" customHeight="false" outlineLevel="0" collapsed="false">
      <c r="A588" s="9" t="n">
        <v>236</v>
      </c>
      <c r="B588" s="9" t="s">
        <v>1793</v>
      </c>
      <c r="C588" s="10" t="s">
        <v>1794</v>
      </c>
      <c r="D588" s="9" t="s">
        <v>1795</v>
      </c>
      <c r="E588" s="10" t="s">
        <v>20</v>
      </c>
      <c r="F588" s="9" t="s">
        <v>1755</v>
      </c>
      <c r="G588" s="9"/>
    </row>
    <row r="589" customFormat="false" ht="15" hidden="false" customHeight="false" outlineLevel="0" collapsed="false">
      <c r="A589" s="9" t="n">
        <v>236</v>
      </c>
      <c r="B589" s="9" t="s">
        <v>1793</v>
      </c>
      <c r="C589" s="10" t="s">
        <v>1796</v>
      </c>
      <c r="D589" s="9" t="s">
        <v>1797</v>
      </c>
      <c r="E589" s="10" t="s">
        <v>20</v>
      </c>
      <c r="F589" s="9" t="s">
        <v>1755</v>
      </c>
      <c r="G589" s="9"/>
    </row>
    <row r="590" customFormat="false" ht="15" hidden="false" customHeight="false" outlineLevel="0" collapsed="false">
      <c r="A590" s="9" t="n">
        <v>237</v>
      </c>
      <c r="B590" s="9" t="s">
        <v>1798</v>
      </c>
      <c r="C590" s="10" t="s">
        <v>1799</v>
      </c>
      <c r="D590" s="9" t="s">
        <v>1800</v>
      </c>
      <c r="E590" s="10" t="s">
        <v>20</v>
      </c>
      <c r="F590" s="9" t="s">
        <v>1755</v>
      </c>
      <c r="G590" s="9"/>
    </row>
    <row r="591" customFormat="false" ht="15" hidden="false" customHeight="false" outlineLevel="0" collapsed="false">
      <c r="A591" s="9" t="n">
        <v>237</v>
      </c>
      <c r="B591" s="9" t="s">
        <v>1798</v>
      </c>
      <c r="C591" s="10" t="s">
        <v>1801</v>
      </c>
      <c r="D591" s="9" t="s">
        <v>1802</v>
      </c>
      <c r="E591" s="10" t="s">
        <v>20</v>
      </c>
      <c r="F591" s="9" t="s">
        <v>1755</v>
      </c>
      <c r="G591" s="9"/>
    </row>
    <row r="592" customFormat="false" ht="15" hidden="false" customHeight="false" outlineLevel="0" collapsed="false">
      <c r="A592" s="9" t="n">
        <v>238</v>
      </c>
      <c r="B592" s="9" t="s">
        <v>1803</v>
      </c>
      <c r="C592" s="10" t="s">
        <v>1804</v>
      </c>
      <c r="D592" s="9" t="s">
        <v>1805</v>
      </c>
      <c r="E592" s="10" t="s">
        <v>20</v>
      </c>
      <c r="F592" s="9" t="s">
        <v>1755</v>
      </c>
      <c r="G592" s="9" t="s">
        <v>1806</v>
      </c>
    </row>
    <row r="593" customFormat="false" ht="39.55" hidden="false" customHeight="false" outlineLevel="0" collapsed="false">
      <c r="A593" s="9" t="n">
        <v>239</v>
      </c>
      <c r="B593" s="9" t="s">
        <v>1807</v>
      </c>
      <c r="C593" s="10" t="s">
        <v>1808</v>
      </c>
      <c r="D593" s="9" t="s">
        <v>1809</v>
      </c>
      <c r="E593" s="10" t="s">
        <v>20</v>
      </c>
      <c r="F593" s="9" t="s">
        <v>1755</v>
      </c>
      <c r="G593" s="9" t="s">
        <v>1810</v>
      </c>
    </row>
    <row r="594" customFormat="false" ht="15" hidden="false" customHeight="false" outlineLevel="0" collapsed="false">
      <c r="A594" s="9" t="n">
        <v>240</v>
      </c>
      <c r="B594" s="9" t="s">
        <v>1811</v>
      </c>
      <c r="C594" s="10" t="s">
        <v>1812</v>
      </c>
      <c r="D594" s="9" t="s">
        <v>1813</v>
      </c>
      <c r="E594" s="10" t="s">
        <v>20</v>
      </c>
      <c r="F594" s="9" t="s">
        <v>1755</v>
      </c>
      <c r="G594" s="9" t="s">
        <v>1814</v>
      </c>
    </row>
    <row r="595" customFormat="false" ht="15" hidden="false" customHeight="false" outlineLevel="0" collapsed="false">
      <c r="A595" s="9" t="n">
        <v>241</v>
      </c>
      <c r="B595" s="9" t="s">
        <v>1815</v>
      </c>
      <c r="C595" s="10" t="s">
        <v>1816</v>
      </c>
      <c r="D595" s="9" t="s">
        <v>1817</v>
      </c>
      <c r="E595" s="10" t="s">
        <v>20</v>
      </c>
      <c r="F595" s="9" t="s">
        <v>1755</v>
      </c>
      <c r="G595" s="9" t="s">
        <v>1817</v>
      </c>
    </row>
    <row r="596" customFormat="false" ht="15" hidden="false" customHeight="false" outlineLevel="0" collapsed="false">
      <c r="A596" s="9" t="n">
        <v>242</v>
      </c>
      <c r="B596" s="9" t="s">
        <v>1818</v>
      </c>
      <c r="C596" s="10" t="s">
        <v>1819</v>
      </c>
      <c r="D596" s="9" t="s">
        <v>1820</v>
      </c>
      <c r="E596" s="10" t="s">
        <v>20</v>
      </c>
      <c r="F596" s="9" t="s">
        <v>1755</v>
      </c>
      <c r="G596" s="9"/>
    </row>
    <row r="597" customFormat="false" ht="15" hidden="false" customHeight="false" outlineLevel="0" collapsed="false">
      <c r="A597" s="9" t="n">
        <v>242</v>
      </c>
      <c r="B597" s="9" t="s">
        <v>1818</v>
      </c>
      <c r="C597" s="10" t="s">
        <v>1821</v>
      </c>
      <c r="D597" s="9" t="s">
        <v>1822</v>
      </c>
      <c r="E597" s="10" t="s">
        <v>20</v>
      </c>
      <c r="F597" s="9" t="s">
        <v>1755</v>
      </c>
      <c r="G597" s="9"/>
    </row>
    <row r="598" customFormat="false" ht="15" hidden="false" customHeight="false" outlineLevel="0" collapsed="false">
      <c r="A598" s="9" t="n">
        <v>243</v>
      </c>
      <c r="B598" s="9" t="s">
        <v>1823</v>
      </c>
      <c r="C598" s="10" t="s">
        <v>1824</v>
      </c>
      <c r="D598" s="9" t="s">
        <v>1825</v>
      </c>
      <c r="E598" s="10" t="s">
        <v>21</v>
      </c>
      <c r="F598" s="9" t="s">
        <v>1755</v>
      </c>
      <c r="G598" s="9" t="s">
        <v>1826</v>
      </c>
    </row>
    <row r="599" customFormat="false" ht="15" hidden="false" customHeight="false" outlineLevel="0" collapsed="false">
      <c r="A599" s="9" t="n">
        <v>244</v>
      </c>
      <c r="B599" s="9" t="s">
        <v>1827</v>
      </c>
      <c r="C599" s="10" t="s">
        <v>1828</v>
      </c>
      <c r="D599" s="9" t="s">
        <v>1829</v>
      </c>
      <c r="E599" s="10" t="s">
        <v>20</v>
      </c>
      <c r="F599" s="9" t="s">
        <v>1830</v>
      </c>
      <c r="G599" s="9"/>
    </row>
    <row r="600" customFormat="false" ht="15" hidden="false" customHeight="false" outlineLevel="0" collapsed="false">
      <c r="A600" s="9" t="n">
        <v>244</v>
      </c>
      <c r="B600" s="9" t="s">
        <v>1827</v>
      </c>
      <c r="C600" s="10" t="s">
        <v>1831</v>
      </c>
      <c r="D600" s="9" t="s">
        <v>1832</v>
      </c>
      <c r="E600" s="10" t="s">
        <v>20</v>
      </c>
      <c r="F600" s="9" t="s">
        <v>1830</v>
      </c>
      <c r="G600" s="9"/>
    </row>
    <row r="601" customFormat="false" ht="15" hidden="false" customHeight="false" outlineLevel="0" collapsed="false">
      <c r="A601" s="9" t="n">
        <v>244</v>
      </c>
      <c r="B601" s="9" t="s">
        <v>1827</v>
      </c>
      <c r="C601" s="10" t="s">
        <v>1833</v>
      </c>
      <c r="D601" s="9" t="s">
        <v>1834</v>
      </c>
      <c r="E601" s="10" t="s">
        <v>20</v>
      </c>
      <c r="F601" s="9" t="s">
        <v>1830</v>
      </c>
      <c r="G601" s="9"/>
    </row>
    <row r="602" customFormat="false" ht="15" hidden="false" customHeight="false" outlineLevel="0" collapsed="false">
      <c r="A602" s="9" t="n">
        <v>245</v>
      </c>
      <c r="B602" s="9" t="s">
        <v>1835</v>
      </c>
      <c r="C602" s="10" t="s">
        <v>1836</v>
      </c>
      <c r="D602" s="9" t="s">
        <v>1837</v>
      </c>
      <c r="E602" s="10" t="s">
        <v>20</v>
      </c>
      <c r="F602" s="9" t="s">
        <v>1830</v>
      </c>
      <c r="G602" s="9"/>
    </row>
    <row r="603" customFormat="false" ht="15" hidden="false" customHeight="false" outlineLevel="0" collapsed="false">
      <c r="A603" s="9" t="n">
        <v>245</v>
      </c>
      <c r="B603" s="9" t="s">
        <v>1835</v>
      </c>
      <c r="C603" s="10" t="s">
        <v>1838</v>
      </c>
      <c r="D603" s="9" t="s">
        <v>1839</v>
      </c>
      <c r="E603" s="10" t="s">
        <v>20</v>
      </c>
      <c r="F603" s="9" t="s">
        <v>1830</v>
      </c>
      <c r="G603" s="9"/>
    </row>
    <row r="604" customFormat="false" ht="15" hidden="false" customHeight="false" outlineLevel="0" collapsed="false">
      <c r="A604" s="9" t="n">
        <v>245</v>
      </c>
      <c r="B604" s="9" t="s">
        <v>1835</v>
      </c>
      <c r="C604" s="10" t="s">
        <v>1840</v>
      </c>
      <c r="D604" s="9" t="s">
        <v>1841</v>
      </c>
      <c r="E604" s="10" t="s">
        <v>20</v>
      </c>
      <c r="F604" s="9" t="s">
        <v>1830</v>
      </c>
      <c r="G604" s="9"/>
    </row>
    <row r="605" customFormat="false" ht="15" hidden="false" customHeight="false" outlineLevel="0" collapsed="false">
      <c r="A605" s="9" t="n">
        <v>246</v>
      </c>
      <c r="B605" s="9" t="s">
        <v>1842</v>
      </c>
      <c r="C605" s="10" t="s">
        <v>1843</v>
      </c>
      <c r="D605" s="9" t="s">
        <v>1844</v>
      </c>
      <c r="E605" s="10" t="s">
        <v>23</v>
      </c>
      <c r="F605" s="9" t="s">
        <v>1830</v>
      </c>
      <c r="G605" s="9"/>
    </row>
    <row r="606" customFormat="false" ht="15" hidden="false" customHeight="false" outlineLevel="0" collapsed="false">
      <c r="A606" s="9" t="n">
        <v>246</v>
      </c>
      <c r="B606" s="9" t="s">
        <v>1842</v>
      </c>
      <c r="C606" s="10" t="s">
        <v>1845</v>
      </c>
      <c r="D606" s="9" t="s">
        <v>1846</v>
      </c>
      <c r="E606" s="10" t="s">
        <v>23</v>
      </c>
      <c r="F606" s="9" t="s">
        <v>1830</v>
      </c>
      <c r="G606" s="9"/>
    </row>
    <row r="607" customFormat="false" ht="15" hidden="false" customHeight="false" outlineLevel="0" collapsed="false">
      <c r="A607" s="9" t="n">
        <v>247</v>
      </c>
      <c r="B607" s="9" t="s">
        <v>1847</v>
      </c>
      <c r="C607" s="10" t="s">
        <v>1848</v>
      </c>
      <c r="D607" s="9" t="s">
        <v>1849</v>
      </c>
      <c r="E607" s="10" t="s">
        <v>23</v>
      </c>
      <c r="F607" s="9" t="s">
        <v>1830</v>
      </c>
      <c r="G607" s="9"/>
    </row>
    <row r="608" customFormat="false" ht="15" hidden="false" customHeight="false" outlineLevel="0" collapsed="false">
      <c r="A608" s="9" t="n">
        <v>247</v>
      </c>
      <c r="B608" s="9" t="s">
        <v>1847</v>
      </c>
      <c r="C608" s="10" t="s">
        <v>1850</v>
      </c>
      <c r="D608" s="9" t="s">
        <v>1851</v>
      </c>
      <c r="E608" s="10" t="s">
        <v>23</v>
      </c>
      <c r="F608" s="9" t="s">
        <v>1830</v>
      </c>
      <c r="G608" s="9"/>
    </row>
    <row r="609" customFormat="false" ht="15" hidden="false" customHeight="false" outlineLevel="0" collapsed="false">
      <c r="A609" s="9" t="n">
        <v>248</v>
      </c>
      <c r="B609" s="9" t="s">
        <v>1852</v>
      </c>
      <c r="C609" s="10" t="s">
        <v>1853</v>
      </c>
      <c r="D609" s="9" t="s">
        <v>1854</v>
      </c>
      <c r="E609" s="10" t="s">
        <v>20</v>
      </c>
      <c r="F609" s="9" t="s">
        <v>1830</v>
      </c>
      <c r="G609" s="9" t="s">
        <v>1855</v>
      </c>
    </row>
    <row r="610" customFormat="false" ht="15" hidden="false" customHeight="false" outlineLevel="0" collapsed="false">
      <c r="A610" s="9" t="n">
        <v>249</v>
      </c>
      <c r="B610" s="9" t="s">
        <v>1856</v>
      </c>
      <c r="C610" s="10" t="s">
        <v>1857</v>
      </c>
      <c r="D610" s="9" t="s">
        <v>1858</v>
      </c>
      <c r="E610" s="10" t="s">
        <v>20</v>
      </c>
      <c r="F610" s="9" t="s">
        <v>1830</v>
      </c>
      <c r="G610" s="9" t="s">
        <v>1859</v>
      </c>
    </row>
    <row r="611" customFormat="false" ht="15" hidden="false" customHeight="false" outlineLevel="0" collapsed="false">
      <c r="A611" s="9" t="n">
        <v>250</v>
      </c>
      <c r="B611" s="9" t="s">
        <v>1860</v>
      </c>
      <c r="C611" s="10" t="s">
        <v>1861</v>
      </c>
      <c r="D611" s="9" t="s">
        <v>1862</v>
      </c>
      <c r="E611" s="10" t="s">
        <v>20</v>
      </c>
      <c r="F611" s="9" t="s">
        <v>1830</v>
      </c>
      <c r="G611" s="9" t="s">
        <v>1863</v>
      </c>
    </row>
    <row r="612" customFormat="false" ht="15" hidden="false" customHeight="false" outlineLevel="0" collapsed="false">
      <c r="A612" s="9" t="n">
        <v>251</v>
      </c>
      <c r="B612" s="9" t="s">
        <v>1864</v>
      </c>
      <c r="C612" s="10" t="s">
        <v>1865</v>
      </c>
      <c r="D612" s="9" t="s">
        <v>1866</v>
      </c>
      <c r="E612" s="10" t="s">
        <v>21</v>
      </c>
      <c r="F612" s="9" t="s">
        <v>1830</v>
      </c>
      <c r="G612" s="9" t="s">
        <v>1867</v>
      </c>
    </row>
    <row r="613" customFormat="false" ht="15" hidden="false" customHeight="false" outlineLevel="0" collapsed="false">
      <c r="A613" s="9" t="n">
        <v>252</v>
      </c>
      <c r="B613" s="9" t="s">
        <v>1868</v>
      </c>
      <c r="C613" s="10" t="s">
        <v>1869</v>
      </c>
      <c r="D613" s="9" t="s">
        <v>1870</v>
      </c>
      <c r="E613" s="10" t="s">
        <v>23</v>
      </c>
      <c r="F613" s="9" t="s">
        <v>1871</v>
      </c>
      <c r="G613" s="9"/>
    </row>
    <row r="614" customFormat="false" ht="15" hidden="false" customHeight="false" outlineLevel="0" collapsed="false">
      <c r="A614" s="9" t="n">
        <v>252</v>
      </c>
      <c r="B614" s="9" t="s">
        <v>1868</v>
      </c>
      <c r="C614" s="10" t="s">
        <v>1872</v>
      </c>
      <c r="D614" s="9" t="s">
        <v>1873</v>
      </c>
      <c r="E614" s="10" t="s">
        <v>23</v>
      </c>
      <c r="F614" s="9" t="s">
        <v>1871</v>
      </c>
      <c r="G614" s="9"/>
    </row>
    <row r="615" customFormat="false" ht="15" hidden="false" customHeight="false" outlineLevel="0" collapsed="false">
      <c r="A615" s="9" t="n">
        <v>253</v>
      </c>
      <c r="B615" s="9" t="s">
        <v>1874</v>
      </c>
      <c r="C615" s="10" t="s">
        <v>1875</v>
      </c>
      <c r="D615" s="9" t="s">
        <v>1876</v>
      </c>
      <c r="E615" s="10" t="s">
        <v>23</v>
      </c>
      <c r="F615" s="9" t="s">
        <v>1877</v>
      </c>
      <c r="G615" s="9" t="s">
        <v>1878</v>
      </c>
    </row>
    <row r="616" customFormat="false" ht="15" hidden="false" customHeight="false" outlineLevel="0" collapsed="false">
      <c r="A616" s="9" t="n">
        <v>254</v>
      </c>
      <c r="B616" s="9" t="s">
        <v>1879</v>
      </c>
      <c r="C616" s="10" t="s">
        <v>1880</v>
      </c>
      <c r="D616" s="9" t="s">
        <v>1881</v>
      </c>
      <c r="E616" s="10" t="s">
        <v>23</v>
      </c>
      <c r="F616" s="9" t="s">
        <v>1877</v>
      </c>
      <c r="G616" s="9" t="s">
        <v>1882</v>
      </c>
    </row>
    <row r="617" customFormat="false" ht="15" hidden="false" customHeight="false" outlineLevel="0" collapsed="false">
      <c r="A617" s="9" t="n">
        <v>255</v>
      </c>
      <c r="B617" s="9" t="s">
        <v>1883</v>
      </c>
      <c r="C617" s="10" t="s">
        <v>1884</v>
      </c>
      <c r="D617" s="9" t="s">
        <v>1885</v>
      </c>
      <c r="E617" s="10" t="s">
        <v>26</v>
      </c>
      <c r="F617" s="9" t="s">
        <v>1886</v>
      </c>
      <c r="G617" s="9" t="s">
        <v>1887</v>
      </c>
    </row>
    <row r="618" customFormat="false" ht="26.85" hidden="false" customHeight="false" outlineLevel="0" collapsed="false">
      <c r="A618" s="9" t="n">
        <v>256</v>
      </c>
      <c r="B618" s="9" t="s">
        <v>1888</v>
      </c>
      <c r="C618" s="10" t="s">
        <v>1889</v>
      </c>
      <c r="D618" s="9" t="s">
        <v>1890</v>
      </c>
      <c r="E618" s="10" t="s">
        <v>24</v>
      </c>
      <c r="F618" s="9" t="s">
        <v>1886</v>
      </c>
      <c r="G618" s="9" t="s">
        <v>1891</v>
      </c>
    </row>
    <row r="619" customFormat="false" ht="15" hidden="false" customHeight="false" outlineLevel="0" collapsed="false">
      <c r="A619" s="9" t="n">
        <v>257</v>
      </c>
      <c r="B619" s="9" t="s">
        <v>1892</v>
      </c>
      <c r="C619" s="10" t="s">
        <v>1893</v>
      </c>
      <c r="D619" s="9" t="s">
        <v>1894</v>
      </c>
      <c r="E619" s="10" t="s">
        <v>24</v>
      </c>
      <c r="F619" s="9" t="s">
        <v>1886</v>
      </c>
      <c r="G619" s="9" t="s">
        <v>1895</v>
      </c>
    </row>
    <row r="620" customFormat="false" ht="15" hidden="false" customHeight="false" outlineLevel="0" collapsed="false">
      <c r="A620" s="9" t="n">
        <v>258</v>
      </c>
      <c r="B620" s="9" t="s">
        <v>1896</v>
      </c>
      <c r="C620" s="10" t="s">
        <v>1897</v>
      </c>
      <c r="D620" s="9" t="s">
        <v>1898</v>
      </c>
      <c r="E620" s="10" t="s">
        <v>23</v>
      </c>
      <c r="F620" s="9" t="s">
        <v>1886</v>
      </c>
      <c r="G620" s="9" t="s">
        <v>1899</v>
      </c>
    </row>
    <row r="621" customFormat="false" ht="15" hidden="false" customHeight="false" outlineLevel="0" collapsed="false">
      <c r="A621" s="9" t="n">
        <v>259</v>
      </c>
      <c r="B621" s="9" t="s">
        <v>1900</v>
      </c>
      <c r="C621" s="10" t="s">
        <v>1901</v>
      </c>
      <c r="D621" s="9" t="s">
        <v>1902</v>
      </c>
      <c r="E621" s="10" t="s">
        <v>22</v>
      </c>
      <c r="F621" s="9" t="s">
        <v>1903</v>
      </c>
      <c r="G621" s="9" t="s">
        <v>1902</v>
      </c>
    </row>
    <row r="622" customFormat="false" ht="15" hidden="false" customHeight="false" outlineLevel="0" collapsed="false">
      <c r="A622" s="9" t="n">
        <v>259</v>
      </c>
      <c r="B622" s="9" t="s">
        <v>1900</v>
      </c>
      <c r="C622" s="10" t="s">
        <v>1904</v>
      </c>
      <c r="D622" s="9" t="s">
        <v>1905</v>
      </c>
      <c r="E622" s="10" t="s">
        <v>21</v>
      </c>
      <c r="F622" s="9" t="s">
        <v>1903</v>
      </c>
      <c r="G622" s="9" t="s">
        <v>1906</v>
      </c>
    </row>
    <row r="623" customFormat="false" ht="15" hidden="false" customHeight="false" outlineLevel="0" collapsed="false">
      <c r="A623" s="9" t="n">
        <v>260</v>
      </c>
      <c r="B623" s="9" t="s">
        <v>1907</v>
      </c>
      <c r="C623" s="10" t="s">
        <v>1908</v>
      </c>
      <c r="D623" s="9" t="s">
        <v>1909</v>
      </c>
      <c r="E623" s="10" t="s">
        <v>22</v>
      </c>
      <c r="F623" s="9" t="s">
        <v>1903</v>
      </c>
      <c r="G623" s="9" t="s">
        <v>1910</v>
      </c>
    </row>
    <row r="624" customFormat="false" ht="15" hidden="false" customHeight="false" outlineLevel="0" collapsed="false">
      <c r="A624" s="9" t="n">
        <v>260</v>
      </c>
      <c r="B624" s="9" t="s">
        <v>1907</v>
      </c>
      <c r="C624" s="10" t="s">
        <v>1911</v>
      </c>
      <c r="D624" s="9" t="s">
        <v>1912</v>
      </c>
      <c r="E624" s="10" t="s">
        <v>21</v>
      </c>
      <c r="F624" s="9" t="s">
        <v>1903</v>
      </c>
      <c r="G624" s="9" t="s">
        <v>1913</v>
      </c>
    </row>
    <row r="625" customFormat="false" ht="15" hidden="false" customHeight="false" outlineLevel="0" collapsed="false">
      <c r="A625" s="9" t="n">
        <v>261</v>
      </c>
      <c r="B625" s="9" t="s">
        <v>1914</v>
      </c>
      <c r="C625" s="10" t="s">
        <v>1915</v>
      </c>
      <c r="D625" s="9" t="s">
        <v>1916</v>
      </c>
      <c r="E625" s="10" t="s">
        <v>22</v>
      </c>
      <c r="F625" s="9" t="s">
        <v>1903</v>
      </c>
      <c r="G625" s="9" t="s">
        <v>1917</v>
      </c>
    </row>
    <row r="626" customFormat="false" ht="15" hidden="false" customHeight="false" outlineLevel="0" collapsed="false">
      <c r="A626" s="9" t="n">
        <v>262</v>
      </c>
      <c r="B626" s="9" t="s">
        <v>1918</v>
      </c>
      <c r="C626" s="10" t="s">
        <v>1919</v>
      </c>
      <c r="D626" s="9" t="s">
        <v>1920</v>
      </c>
      <c r="E626" s="10" t="s">
        <v>21</v>
      </c>
      <c r="F626" s="9" t="s">
        <v>1903</v>
      </c>
      <c r="G626" s="9" t="s">
        <v>1921</v>
      </c>
    </row>
    <row r="627" customFormat="false" ht="15" hidden="false" customHeight="false" outlineLevel="0" collapsed="false">
      <c r="A627" s="9" t="n">
        <v>262</v>
      </c>
      <c r="B627" s="9" t="s">
        <v>1918</v>
      </c>
      <c r="C627" s="10" t="s">
        <v>1922</v>
      </c>
      <c r="D627" s="9" t="s">
        <v>1923</v>
      </c>
      <c r="E627" s="10" t="s">
        <v>20</v>
      </c>
      <c r="F627" s="9" t="s">
        <v>1903</v>
      </c>
      <c r="G627" s="9" t="s">
        <v>1923</v>
      </c>
    </row>
    <row r="628" customFormat="false" ht="15" hidden="false" customHeight="false" outlineLevel="0" collapsed="false">
      <c r="A628" s="9" t="n">
        <v>263</v>
      </c>
      <c r="B628" s="9" t="s">
        <v>1924</v>
      </c>
      <c r="C628" s="10" t="s">
        <v>1925</v>
      </c>
      <c r="D628" s="9" t="s">
        <v>1926</v>
      </c>
      <c r="E628" s="10" t="s">
        <v>21</v>
      </c>
      <c r="F628" s="9" t="s">
        <v>1903</v>
      </c>
      <c r="G628" s="9" t="s">
        <v>1927</v>
      </c>
    </row>
    <row r="629" customFormat="false" ht="15" hidden="false" customHeight="false" outlineLevel="0" collapsed="false">
      <c r="A629" s="9" t="n">
        <v>263</v>
      </c>
      <c r="B629" s="9" t="s">
        <v>1924</v>
      </c>
      <c r="C629" s="10" t="s">
        <v>1928</v>
      </c>
      <c r="D629" s="9" t="s">
        <v>1929</v>
      </c>
      <c r="E629" s="10" t="s">
        <v>20</v>
      </c>
      <c r="F629" s="9" t="s">
        <v>1903</v>
      </c>
      <c r="G629" s="9" t="s">
        <v>1930</v>
      </c>
    </row>
    <row r="630" customFormat="false" ht="15" hidden="false" customHeight="false" outlineLevel="0" collapsed="false">
      <c r="A630" s="9" t="n">
        <v>264</v>
      </c>
      <c r="B630" s="9" t="s">
        <v>1931</v>
      </c>
      <c r="C630" s="10" t="s">
        <v>1932</v>
      </c>
      <c r="D630" s="9" t="s">
        <v>1933</v>
      </c>
      <c r="E630" s="10" t="s">
        <v>20</v>
      </c>
      <c r="F630" s="9" t="s">
        <v>1903</v>
      </c>
      <c r="G630" s="9" t="s">
        <v>1934</v>
      </c>
    </row>
    <row r="631" customFormat="false" ht="15" hidden="false" customHeight="false" outlineLevel="0" collapsed="false">
      <c r="A631" s="9" t="n">
        <v>265</v>
      </c>
      <c r="B631" s="9" t="s">
        <v>1935</v>
      </c>
      <c r="C631" s="10" t="s">
        <v>1936</v>
      </c>
      <c r="D631" s="9" t="s">
        <v>1937</v>
      </c>
      <c r="E631" s="10" t="s">
        <v>24</v>
      </c>
      <c r="F631" s="9" t="s">
        <v>1938</v>
      </c>
      <c r="G631" s="9" t="s">
        <v>1939</v>
      </c>
    </row>
    <row r="632" customFormat="false" ht="25.35" hidden="false" customHeight="false" outlineLevel="0" collapsed="false">
      <c r="A632" s="9" t="n">
        <v>266</v>
      </c>
      <c r="B632" s="9" t="s">
        <v>1940</v>
      </c>
      <c r="C632" s="10" t="s">
        <v>1941</v>
      </c>
      <c r="D632" s="9" t="s">
        <v>1942</v>
      </c>
      <c r="E632" s="10" t="s">
        <v>21</v>
      </c>
      <c r="F632" s="9" t="s">
        <v>1938</v>
      </c>
      <c r="G632" s="9" t="s">
        <v>1943</v>
      </c>
    </row>
  </sheetData>
  <autoFilter ref="A2:G63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30" hidden="false" customHeight="true" outlineLevel="0" collapsed="false">
      <c r="A1" s="7" t="s">
        <v>1944</v>
      </c>
      <c r="B1" s="7"/>
      <c r="C1" s="7"/>
      <c r="D1" s="7"/>
    </row>
    <row r="2" customFormat="false" ht="15" hidden="false" customHeight="false" outlineLevel="0" collapsed="false">
      <c r="A2" s="8" t="s">
        <v>1945</v>
      </c>
      <c r="B2" s="8" t="s">
        <v>1946</v>
      </c>
      <c r="C2" s="11" t="s">
        <v>1947</v>
      </c>
      <c r="D2" s="8" t="s">
        <v>1948</v>
      </c>
    </row>
    <row r="3" customFormat="false" ht="15" hidden="false" customHeight="false" outlineLevel="0" collapsed="false">
      <c r="A3" s="9" t="s">
        <v>1949</v>
      </c>
      <c r="B3" s="9" t="s">
        <v>1950</v>
      </c>
      <c r="C3" s="10" t="s">
        <v>1951</v>
      </c>
      <c r="D3" s="9" t="s">
        <v>803</v>
      </c>
    </row>
    <row r="4" customFormat="false" ht="15" hidden="false" customHeight="false" outlineLevel="0" collapsed="false">
      <c r="A4" s="9" t="s">
        <v>1949</v>
      </c>
      <c r="B4" s="9" t="s">
        <v>1952</v>
      </c>
      <c r="C4" s="10" t="s">
        <v>1953</v>
      </c>
      <c r="D4" s="9" t="s">
        <v>803</v>
      </c>
    </row>
    <row r="5" customFormat="false" ht="15" hidden="false" customHeight="false" outlineLevel="0" collapsed="false">
      <c r="A5" s="9" t="s">
        <v>1949</v>
      </c>
      <c r="B5" s="9" t="s">
        <v>1954</v>
      </c>
      <c r="C5" s="10" t="s">
        <v>1955</v>
      </c>
      <c r="D5" s="9" t="s">
        <v>803</v>
      </c>
    </row>
    <row r="6" customFormat="false" ht="15" hidden="false" customHeight="false" outlineLevel="0" collapsed="false">
      <c r="A6" s="9" t="s">
        <v>1949</v>
      </c>
      <c r="B6" s="9" t="s">
        <v>1956</v>
      </c>
      <c r="C6" s="10" t="s">
        <v>1957</v>
      </c>
      <c r="D6" s="9" t="s">
        <v>803</v>
      </c>
    </row>
    <row r="7" customFormat="false" ht="15" hidden="false" customHeight="false" outlineLevel="0" collapsed="false">
      <c r="A7" s="9" t="s">
        <v>1949</v>
      </c>
      <c r="B7" s="9" t="s">
        <v>1958</v>
      </c>
      <c r="C7" s="10" t="s">
        <v>1959</v>
      </c>
      <c r="D7" s="9" t="s">
        <v>803</v>
      </c>
    </row>
    <row r="8" customFormat="false" ht="15" hidden="false" customHeight="false" outlineLevel="0" collapsed="false">
      <c r="A8" s="9" t="s">
        <v>1949</v>
      </c>
      <c r="B8" s="9" t="s">
        <v>1960</v>
      </c>
      <c r="C8" s="10" t="s">
        <v>1961</v>
      </c>
      <c r="D8" s="9" t="s">
        <v>1962</v>
      </c>
    </row>
    <row r="9" customFormat="false" ht="15" hidden="false" customHeight="false" outlineLevel="0" collapsed="false">
      <c r="A9" s="9" t="s">
        <v>1949</v>
      </c>
      <c r="B9" s="9" t="s">
        <v>1963</v>
      </c>
      <c r="C9" s="10" t="s">
        <v>1961</v>
      </c>
      <c r="D9" s="9" t="s">
        <v>1962</v>
      </c>
    </row>
    <row r="10" customFormat="false" ht="15" hidden="false" customHeight="false" outlineLevel="0" collapsed="false">
      <c r="A10" s="9" t="s">
        <v>1949</v>
      </c>
      <c r="B10" s="9" t="s">
        <v>1964</v>
      </c>
      <c r="C10" s="10" t="s">
        <v>1961</v>
      </c>
      <c r="D10" s="9" t="s">
        <v>1962</v>
      </c>
    </row>
    <row r="11" customFormat="false" ht="15" hidden="false" customHeight="false" outlineLevel="0" collapsed="false">
      <c r="A11" s="9" t="s">
        <v>1949</v>
      </c>
      <c r="B11" s="9" t="s">
        <v>1965</v>
      </c>
      <c r="C11" s="10" t="s">
        <v>1961</v>
      </c>
      <c r="D11" s="9" t="s">
        <v>1962</v>
      </c>
    </row>
    <row r="12" customFormat="false" ht="15" hidden="false" customHeight="false" outlineLevel="0" collapsed="false">
      <c r="A12" s="9" t="s">
        <v>1949</v>
      </c>
      <c r="B12" s="9" t="s">
        <v>1966</v>
      </c>
      <c r="C12" s="10" t="s">
        <v>1967</v>
      </c>
      <c r="D12" s="9" t="s">
        <v>1962</v>
      </c>
    </row>
    <row r="13" customFormat="false" ht="15" hidden="false" customHeight="false" outlineLevel="0" collapsed="false">
      <c r="A13" s="9" t="s">
        <v>1968</v>
      </c>
      <c r="B13" s="9" t="s">
        <v>1969</v>
      </c>
      <c r="C13" s="10" t="s">
        <v>1970</v>
      </c>
      <c r="D13" s="9" t="s">
        <v>803</v>
      </c>
    </row>
    <row r="14" customFormat="false" ht="15" hidden="false" customHeight="false" outlineLevel="0" collapsed="false">
      <c r="A14" s="9" t="s">
        <v>1968</v>
      </c>
      <c r="B14" s="9" t="s">
        <v>1971</v>
      </c>
      <c r="C14" s="10" t="s">
        <v>1972</v>
      </c>
      <c r="D14" s="9" t="s">
        <v>803</v>
      </c>
    </row>
    <row r="15" customFormat="false" ht="15" hidden="false" customHeight="false" outlineLevel="0" collapsed="false">
      <c r="A15" s="9" t="s">
        <v>1968</v>
      </c>
      <c r="B15" s="9" t="s">
        <v>1973</v>
      </c>
      <c r="C15" s="10" t="s">
        <v>1974</v>
      </c>
      <c r="D15" s="9" t="s">
        <v>803</v>
      </c>
    </row>
    <row r="16" customFormat="false" ht="15" hidden="false" customHeight="false" outlineLevel="0" collapsed="false">
      <c r="A16" s="9" t="s">
        <v>1968</v>
      </c>
      <c r="B16" s="9" t="s">
        <v>1975</v>
      </c>
      <c r="C16" s="10" t="s">
        <v>1976</v>
      </c>
      <c r="D16" s="9" t="s">
        <v>803</v>
      </c>
    </row>
    <row r="17" customFormat="false" ht="15" hidden="false" customHeight="false" outlineLevel="0" collapsed="false">
      <c r="A17" s="9" t="s">
        <v>1968</v>
      </c>
      <c r="B17" s="9" t="s">
        <v>1977</v>
      </c>
      <c r="C17" s="10" t="s">
        <v>1978</v>
      </c>
      <c r="D17" s="9" t="s">
        <v>803</v>
      </c>
    </row>
    <row r="18" customFormat="false" ht="15" hidden="false" customHeight="false" outlineLevel="0" collapsed="false">
      <c r="A18" s="9" t="s">
        <v>1968</v>
      </c>
      <c r="B18" s="9" t="s">
        <v>1979</v>
      </c>
      <c r="C18" s="10" t="s">
        <v>1980</v>
      </c>
      <c r="D18" s="9" t="s">
        <v>803</v>
      </c>
    </row>
    <row r="19" customFormat="false" ht="15" hidden="false" customHeight="false" outlineLevel="0" collapsed="false">
      <c r="A19" s="9" t="s">
        <v>1968</v>
      </c>
      <c r="B19" s="9" t="s">
        <v>1981</v>
      </c>
      <c r="C19" s="10" t="s">
        <v>1982</v>
      </c>
      <c r="D19" s="9" t="s">
        <v>803</v>
      </c>
    </row>
    <row r="20" customFormat="false" ht="15" hidden="false" customHeight="false" outlineLevel="0" collapsed="false">
      <c r="A20" s="9" t="s">
        <v>1968</v>
      </c>
      <c r="B20" s="9" t="s">
        <v>1983</v>
      </c>
      <c r="C20" s="10" t="s">
        <v>1984</v>
      </c>
      <c r="D20" s="9" t="s">
        <v>803</v>
      </c>
    </row>
    <row r="21" customFormat="false" ht="15" hidden="false" customHeight="false" outlineLevel="0" collapsed="false">
      <c r="A21" s="9" t="s">
        <v>1968</v>
      </c>
      <c r="B21" s="9" t="s">
        <v>1985</v>
      </c>
      <c r="C21" s="10" t="s">
        <v>1986</v>
      </c>
      <c r="D21" s="9" t="s">
        <v>803</v>
      </c>
    </row>
    <row r="22" customFormat="false" ht="15" hidden="false" customHeight="false" outlineLevel="0" collapsed="false">
      <c r="A22" s="9" t="s">
        <v>1968</v>
      </c>
      <c r="B22" s="9" t="s">
        <v>1987</v>
      </c>
      <c r="C22" s="10" t="s">
        <v>1988</v>
      </c>
      <c r="D22" s="9" t="s">
        <v>803</v>
      </c>
    </row>
    <row r="23" customFormat="false" ht="15" hidden="false" customHeight="false" outlineLevel="0" collapsed="false">
      <c r="A23" s="9" t="s">
        <v>1989</v>
      </c>
      <c r="B23" s="9" t="s">
        <v>1990</v>
      </c>
      <c r="C23" s="10" t="s">
        <v>1991</v>
      </c>
      <c r="D23" s="9" t="s">
        <v>1962</v>
      </c>
    </row>
    <row r="24" customFormat="false" ht="15" hidden="false" customHeight="false" outlineLevel="0" collapsed="false">
      <c r="A24" s="9" t="s">
        <v>1989</v>
      </c>
      <c r="B24" s="9" t="s">
        <v>1992</v>
      </c>
      <c r="C24" s="10" t="s">
        <v>1993</v>
      </c>
      <c r="D24" s="9" t="s">
        <v>1962</v>
      </c>
    </row>
    <row r="25" customFormat="false" ht="15" hidden="false" customHeight="false" outlineLevel="0" collapsed="false">
      <c r="A25" s="9" t="s">
        <v>1989</v>
      </c>
      <c r="B25" s="9" t="s">
        <v>1994</v>
      </c>
      <c r="C25" s="10" t="s">
        <v>1995</v>
      </c>
      <c r="D25" s="9" t="s">
        <v>1962</v>
      </c>
    </row>
    <row r="26" customFormat="false" ht="15" hidden="false" customHeight="false" outlineLevel="0" collapsed="false">
      <c r="A26" s="9" t="s">
        <v>1989</v>
      </c>
      <c r="B26" s="9" t="s">
        <v>1996</v>
      </c>
      <c r="C26" s="10" t="s">
        <v>1997</v>
      </c>
      <c r="D26" s="9" t="s">
        <v>1171</v>
      </c>
    </row>
    <row r="27" customFormat="false" ht="15" hidden="false" customHeight="false" outlineLevel="0" collapsed="false">
      <c r="A27" s="9" t="s">
        <v>1989</v>
      </c>
      <c r="B27" s="9" t="s">
        <v>1998</v>
      </c>
      <c r="C27" s="10" t="s">
        <v>1999</v>
      </c>
      <c r="D27" s="9" t="s">
        <v>1962</v>
      </c>
    </row>
    <row r="28" customFormat="false" ht="15" hidden="false" customHeight="false" outlineLevel="0" collapsed="false">
      <c r="A28" s="9" t="s">
        <v>1989</v>
      </c>
      <c r="B28" s="9" t="s">
        <v>2000</v>
      </c>
      <c r="C28" s="10" t="s">
        <v>2001</v>
      </c>
      <c r="D28" s="9" t="s">
        <v>1962</v>
      </c>
    </row>
    <row r="29" customFormat="false" ht="15" hidden="false" customHeight="false" outlineLevel="0" collapsed="false">
      <c r="A29" s="9" t="s">
        <v>1989</v>
      </c>
      <c r="B29" s="9" t="s">
        <v>2002</v>
      </c>
      <c r="C29" s="10" t="s">
        <v>2003</v>
      </c>
      <c r="D29" s="9" t="s">
        <v>803</v>
      </c>
    </row>
    <row r="30" customFormat="false" ht="15" hidden="false" customHeight="false" outlineLevel="0" collapsed="false">
      <c r="A30" s="9" t="s">
        <v>1989</v>
      </c>
      <c r="B30" s="9" t="s">
        <v>2004</v>
      </c>
      <c r="C30" s="10" t="s">
        <v>2005</v>
      </c>
      <c r="D30" s="9" t="s">
        <v>803</v>
      </c>
    </row>
    <row r="31" customFormat="false" ht="15" hidden="false" customHeight="false" outlineLevel="0" collapsed="false">
      <c r="A31" s="9" t="s">
        <v>1989</v>
      </c>
      <c r="B31" s="9" t="s">
        <v>2006</v>
      </c>
      <c r="C31" s="10" t="s">
        <v>2007</v>
      </c>
      <c r="D31" s="9" t="s">
        <v>803</v>
      </c>
    </row>
    <row r="32" customFormat="false" ht="15" hidden="false" customHeight="false" outlineLevel="0" collapsed="false">
      <c r="A32" s="9" t="s">
        <v>1989</v>
      </c>
      <c r="B32" s="9" t="s">
        <v>2008</v>
      </c>
      <c r="C32" s="10" t="s">
        <v>2009</v>
      </c>
      <c r="D32" s="9" t="s">
        <v>803</v>
      </c>
    </row>
    <row r="33" customFormat="false" ht="15" hidden="false" customHeight="false" outlineLevel="0" collapsed="false">
      <c r="A33" s="9" t="s">
        <v>1989</v>
      </c>
      <c r="B33" s="9" t="s">
        <v>2010</v>
      </c>
      <c r="C33" s="10" t="s">
        <v>2011</v>
      </c>
      <c r="D33" s="9" t="s">
        <v>803</v>
      </c>
    </row>
    <row r="34" customFormat="false" ht="15" hidden="false" customHeight="false" outlineLevel="0" collapsed="false">
      <c r="A34" s="9" t="s">
        <v>1989</v>
      </c>
      <c r="B34" s="9" t="s">
        <v>2012</v>
      </c>
      <c r="C34" s="10" t="s">
        <v>2013</v>
      </c>
      <c r="D34" s="9" t="s">
        <v>539</v>
      </c>
    </row>
    <row r="35" customFormat="false" ht="15" hidden="false" customHeight="false" outlineLevel="0" collapsed="false">
      <c r="A35" s="9" t="s">
        <v>1989</v>
      </c>
      <c r="B35" s="10" t="s">
        <v>2014</v>
      </c>
      <c r="C35" s="10" t="s">
        <v>2015</v>
      </c>
      <c r="D35" s="9" t="s">
        <v>191</v>
      </c>
    </row>
    <row r="36" customFormat="false" ht="15" hidden="false" customHeight="false" outlineLevel="0" collapsed="false">
      <c r="A36" s="9" t="s">
        <v>1989</v>
      </c>
      <c r="B36" s="10" t="s">
        <v>2016</v>
      </c>
      <c r="C36" s="10" t="s">
        <v>2017</v>
      </c>
      <c r="D36" s="9" t="s">
        <v>191</v>
      </c>
    </row>
    <row r="37" customFormat="false" ht="15" hidden="false" customHeight="false" outlineLevel="0" collapsed="false">
      <c r="A37" s="9" t="s">
        <v>1989</v>
      </c>
      <c r="B37" s="9" t="s">
        <v>2018</v>
      </c>
      <c r="C37" s="10" t="s">
        <v>2019</v>
      </c>
      <c r="D37" s="9" t="s">
        <v>191</v>
      </c>
    </row>
    <row r="38" customFormat="false" ht="15" hidden="false" customHeight="false" outlineLevel="0" collapsed="false">
      <c r="A38" s="9" t="s">
        <v>1989</v>
      </c>
      <c r="B38" s="9" t="s">
        <v>2020</v>
      </c>
      <c r="C38" s="10" t="s">
        <v>2021</v>
      </c>
      <c r="D38" s="9" t="s">
        <v>191</v>
      </c>
    </row>
    <row r="39" customFormat="false" ht="15" hidden="false" customHeight="false" outlineLevel="0" collapsed="false">
      <c r="A39" s="9" t="s">
        <v>1989</v>
      </c>
      <c r="B39" s="9" t="s">
        <v>2022</v>
      </c>
      <c r="C39" s="10" t="s">
        <v>2023</v>
      </c>
      <c r="D39" s="9" t="s">
        <v>191</v>
      </c>
    </row>
    <row r="40" customFormat="false" ht="15" hidden="false" customHeight="false" outlineLevel="0" collapsed="false">
      <c r="A40" s="9" t="s">
        <v>1989</v>
      </c>
      <c r="B40" s="9" t="s">
        <v>2024</v>
      </c>
      <c r="C40" s="10" t="s">
        <v>2025</v>
      </c>
      <c r="D40" s="9" t="s">
        <v>2026</v>
      </c>
    </row>
    <row r="41" customFormat="false" ht="15" hidden="false" customHeight="false" outlineLevel="0" collapsed="false">
      <c r="A41" s="9" t="s">
        <v>1989</v>
      </c>
      <c r="B41" s="9" t="s">
        <v>2027</v>
      </c>
      <c r="C41" s="10" t="s">
        <v>2028</v>
      </c>
      <c r="D41" s="9" t="s">
        <v>2026</v>
      </c>
    </row>
    <row r="42" customFormat="false" ht="15" hidden="false" customHeight="false" outlineLevel="0" collapsed="false">
      <c r="A42" s="9" t="s">
        <v>1989</v>
      </c>
      <c r="B42" s="9" t="s">
        <v>2029</v>
      </c>
      <c r="C42" s="10" t="s">
        <v>2030</v>
      </c>
      <c r="D42" s="9" t="s">
        <v>539</v>
      </c>
    </row>
    <row r="43" customFormat="false" ht="15" hidden="false" customHeight="false" outlineLevel="0" collapsed="false">
      <c r="A43" s="9" t="s">
        <v>1989</v>
      </c>
      <c r="B43" s="9" t="s">
        <v>2031</v>
      </c>
      <c r="C43" s="10" t="s">
        <v>2032</v>
      </c>
      <c r="D43" s="9" t="s">
        <v>539</v>
      </c>
    </row>
    <row r="44" customFormat="false" ht="15" hidden="false" customHeight="false" outlineLevel="0" collapsed="false">
      <c r="A44" s="9" t="s">
        <v>1989</v>
      </c>
      <c r="B44" s="9" t="s">
        <v>2033</v>
      </c>
      <c r="C44" s="10" t="s">
        <v>2034</v>
      </c>
      <c r="D44" s="9" t="s">
        <v>1281</v>
      </c>
    </row>
    <row r="45" customFormat="false" ht="15" hidden="false" customHeight="false" outlineLevel="0" collapsed="false">
      <c r="A45" s="9" t="s">
        <v>1989</v>
      </c>
      <c r="B45" s="9" t="s">
        <v>2035</v>
      </c>
      <c r="C45" s="10" t="s">
        <v>2036</v>
      </c>
      <c r="D45" s="9" t="s">
        <v>2037</v>
      </c>
    </row>
    <row r="46" customFormat="false" ht="15" hidden="false" customHeight="false" outlineLevel="0" collapsed="false">
      <c r="A46" s="9" t="s">
        <v>1989</v>
      </c>
      <c r="B46" s="9" t="s">
        <v>2038</v>
      </c>
      <c r="C46" s="10" t="s">
        <v>2039</v>
      </c>
      <c r="D46" s="9" t="s">
        <v>191</v>
      </c>
    </row>
    <row r="47" customFormat="false" ht="15" hidden="false" customHeight="false" outlineLevel="0" collapsed="false">
      <c r="A47" s="9" t="s">
        <v>1989</v>
      </c>
      <c r="B47" s="9" t="s">
        <v>2040</v>
      </c>
      <c r="C47" s="10" t="s">
        <v>2041</v>
      </c>
      <c r="D47" s="9" t="s">
        <v>86</v>
      </c>
    </row>
    <row r="48" customFormat="false" ht="15" hidden="false" customHeight="false" outlineLevel="0" collapsed="false">
      <c r="A48" s="9" t="s">
        <v>1989</v>
      </c>
      <c r="B48" s="9" t="s">
        <v>2042</v>
      </c>
      <c r="C48" s="10" t="s">
        <v>2043</v>
      </c>
      <c r="D48" s="9" t="s">
        <v>86</v>
      </c>
    </row>
    <row r="49" customFormat="false" ht="15" hidden="false" customHeight="false" outlineLevel="0" collapsed="false">
      <c r="A49" s="9" t="s">
        <v>1989</v>
      </c>
      <c r="B49" s="9" t="s">
        <v>2044</v>
      </c>
      <c r="C49" s="10" t="s">
        <v>2045</v>
      </c>
      <c r="D49" s="9" t="s">
        <v>86</v>
      </c>
    </row>
    <row r="50" customFormat="false" ht="15" hidden="false" customHeight="false" outlineLevel="0" collapsed="false">
      <c r="A50" s="9" t="s">
        <v>1989</v>
      </c>
      <c r="B50" s="9" t="s">
        <v>2046</v>
      </c>
      <c r="C50" s="10" t="s">
        <v>2047</v>
      </c>
      <c r="D50" s="9" t="s">
        <v>86</v>
      </c>
    </row>
    <row r="51" customFormat="false" ht="15" hidden="false" customHeight="false" outlineLevel="0" collapsed="false">
      <c r="A51" s="9" t="s">
        <v>1989</v>
      </c>
      <c r="B51" s="9" t="s">
        <v>2048</v>
      </c>
      <c r="C51" s="10" t="s">
        <v>2049</v>
      </c>
      <c r="D51" s="9" t="s">
        <v>86</v>
      </c>
    </row>
    <row r="52" customFormat="false" ht="15" hidden="false" customHeight="false" outlineLevel="0" collapsed="false">
      <c r="A52" s="9" t="s">
        <v>1989</v>
      </c>
      <c r="B52" s="9" t="s">
        <v>2050</v>
      </c>
      <c r="C52" s="10" t="s">
        <v>2051</v>
      </c>
      <c r="D52" s="9" t="s">
        <v>961</v>
      </c>
    </row>
    <row r="53" customFormat="false" ht="15" hidden="false" customHeight="false" outlineLevel="0" collapsed="false">
      <c r="A53" s="9" t="s">
        <v>1989</v>
      </c>
      <c r="B53" s="9" t="s">
        <v>2052</v>
      </c>
      <c r="C53" s="10" t="s">
        <v>2053</v>
      </c>
      <c r="D53" s="9" t="s">
        <v>961</v>
      </c>
    </row>
    <row r="54" customFormat="false" ht="15" hidden="false" customHeight="false" outlineLevel="0" collapsed="false">
      <c r="A54" s="9" t="s">
        <v>1989</v>
      </c>
      <c r="B54" s="9" t="s">
        <v>2054</v>
      </c>
      <c r="C54" s="10" t="s">
        <v>2055</v>
      </c>
      <c r="D54" s="9" t="s">
        <v>961</v>
      </c>
    </row>
    <row r="55" customFormat="false" ht="15" hidden="false" customHeight="false" outlineLevel="0" collapsed="false">
      <c r="A55" s="9" t="s">
        <v>1989</v>
      </c>
      <c r="B55" s="9" t="s">
        <v>2056</v>
      </c>
      <c r="C55" s="10" t="s">
        <v>2057</v>
      </c>
      <c r="D55" s="9" t="s">
        <v>1962</v>
      </c>
    </row>
    <row r="56" customFormat="false" ht="15" hidden="false" customHeight="false" outlineLevel="0" collapsed="false">
      <c r="A56" s="9" t="s">
        <v>1989</v>
      </c>
      <c r="B56" s="9" t="s">
        <v>2058</v>
      </c>
      <c r="C56" s="10" t="s">
        <v>2059</v>
      </c>
      <c r="D56" s="9" t="s">
        <v>1962</v>
      </c>
    </row>
    <row r="57" customFormat="false" ht="15" hidden="false" customHeight="false" outlineLevel="0" collapsed="false">
      <c r="A57" s="9" t="s">
        <v>1989</v>
      </c>
      <c r="B57" s="9" t="s">
        <v>2060</v>
      </c>
      <c r="C57" s="10" t="s">
        <v>2061</v>
      </c>
      <c r="D57" s="9" t="s">
        <v>961</v>
      </c>
    </row>
    <row r="58" customFormat="false" ht="15" hidden="false" customHeight="false" outlineLevel="0" collapsed="false">
      <c r="A58" s="9" t="s">
        <v>1989</v>
      </c>
      <c r="B58" s="9" t="s">
        <v>2062</v>
      </c>
      <c r="C58" s="10" t="s">
        <v>2063</v>
      </c>
      <c r="D58" s="9" t="s">
        <v>961</v>
      </c>
    </row>
    <row r="59" customFormat="false" ht="15" hidden="false" customHeight="false" outlineLevel="0" collapsed="false">
      <c r="A59" s="9" t="s">
        <v>1989</v>
      </c>
      <c r="B59" s="9" t="s">
        <v>2064</v>
      </c>
      <c r="C59" s="10" t="s">
        <v>2065</v>
      </c>
      <c r="D59" s="9" t="s">
        <v>1281</v>
      </c>
    </row>
    <row r="60" customFormat="false" ht="15" hidden="false" customHeight="false" outlineLevel="0" collapsed="false">
      <c r="A60" s="9" t="s">
        <v>1989</v>
      </c>
      <c r="B60" s="9" t="s">
        <v>2066</v>
      </c>
      <c r="C60" s="10" t="s">
        <v>2067</v>
      </c>
      <c r="D60" s="9" t="s">
        <v>1281</v>
      </c>
    </row>
    <row r="61" customFormat="false" ht="15" hidden="false" customHeight="false" outlineLevel="0" collapsed="false">
      <c r="A61" s="9" t="s">
        <v>1989</v>
      </c>
      <c r="B61" s="9" t="s">
        <v>2068</v>
      </c>
      <c r="C61" s="10" t="s">
        <v>2069</v>
      </c>
      <c r="D61" s="9" t="s">
        <v>1281</v>
      </c>
    </row>
    <row r="62" customFormat="false" ht="15" hidden="false" customHeight="false" outlineLevel="0" collapsed="false">
      <c r="A62" s="9" t="s">
        <v>1989</v>
      </c>
      <c r="B62" s="9" t="s">
        <v>2070</v>
      </c>
      <c r="C62" s="10" t="s">
        <v>2071</v>
      </c>
      <c r="D62" s="9" t="s">
        <v>2037</v>
      </c>
    </row>
    <row r="63" customFormat="false" ht="15" hidden="false" customHeight="false" outlineLevel="0" collapsed="false">
      <c r="A63" s="9" t="s">
        <v>1989</v>
      </c>
      <c r="B63" s="9" t="s">
        <v>2072</v>
      </c>
      <c r="C63" s="10" t="s">
        <v>2073</v>
      </c>
      <c r="D63" s="9" t="s">
        <v>2074</v>
      </c>
    </row>
    <row r="64" customFormat="false" ht="15" hidden="false" customHeight="false" outlineLevel="0" collapsed="false">
      <c r="A64" s="9" t="s">
        <v>1989</v>
      </c>
      <c r="B64" s="9" t="s">
        <v>2075</v>
      </c>
      <c r="C64" s="10" t="s">
        <v>2076</v>
      </c>
      <c r="D64" s="9" t="s">
        <v>2074</v>
      </c>
    </row>
    <row r="65" customFormat="false" ht="15" hidden="false" customHeight="false" outlineLevel="0" collapsed="false">
      <c r="A65" s="9" t="s">
        <v>1989</v>
      </c>
      <c r="B65" s="9" t="s">
        <v>2077</v>
      </c>
      <c r="C65" s="10" t="s">
        <v>2078</v>
      </c>
      <c r="D65" s="9" t="s">
        <v>1962</v>
      </c>
    </row>
    <row r="66" customFormat="false" ht="15" hidden="false" customHeight="false" outlineLevel="0" collapsed="false">
      <c r="A66" s="9" t="s">
        <v>1989</v>
      </c>
      <c r="B66" s="9" t="s">
        <v>2079</v>
      </c>
      <c r="C66" s="10" t="s">
        <v>2080</v>
      </c>
      <c r="D66" s="9" t="s">
        <v>1962</v>
      </c>
    </row>
    <row r="67" customFormat="false" ht="15" hidden="false" customHeight="false" outlineLevel="0" collapsed="false">
      <c r="A67" s="9" t="s">
        <v>1989</v>
      </c>
      <c r="B67" s="9" t="s">
        <v>2081</v>
      </c>
      <c r="C67" s="10" t="s">
        <v>2082</v>
      </c>
      <c r="D67" s="9" t="s">
        <v>2026</v>
      </c>
    </row>
    <row r="68" customFormat="false" ht="15" hidden="false" customHeight="false" outlineLevel="0" collapsed="false">
      <c r="A68" s="9" t="s">
        <v>1989</v>
      </c>
      <c r="B68" s="9" t="s">
        <v>2083</v>
      </c>
      <c r="C68" s="10" t="s">
        <v>2084</v>
      </c>
      <c r="D68" s="9" t="s">
        <v>2026</v>
      </c>
    </row>
    <row r="69" customFormat="false" ht="15" hidden="false" customHeight="false" outlineLevel="0" collapsed="false">
      <c r="A69" s="9" t="s">
        <v>1989</v>
      </c>
      <c r="B69" s="9" t="s">
        <v>2085</v>
      </c>
      <c r="C69" s="10" t="s">
        <v>2086</v>
      </c>
      <c r="D69" s="9" t="s">
        <v>1962</v>
      </c>
    </row>
    <row r="70" customFormat="false" ht="15" hidden="false" customHeight="false" outlineLevel="0" collapsed="false">
      <c r="A70" s="9" t="s">
        <v>1989</v>
      </c>
      <c r="B70" s="9" t="s">
        <v>2087</v>
      </c>
      <c r="C70" s="10" t="s">
        <v>2088</v>
      </c>
      <c r="D70" s="9" t="s">
        <v>2026</v>
      </c>
    </row>
    <row r="71" customFormat="false" ht="15" hidden="false" customHeight="false" outlineLevel="0" collapsed="false">
      <c r="A71" s="9" t="s">
        <v>1989</v>
      </c>
      <c r="B71" s="9" t="s">
        <v>2089</v>
      </c>
      <c r="C71" s="10" t="s">
        <v>2090</v>
      </c>
      <c r="D71" s="9" t="s">
        <v>1962</v>
      </c>
    </row>
    <row r="72" customFormat="false" ht="15" hidden="false" customHeight="false" outlineLevel="0" collapsed="false">
      <c r="A72" s="9" t="s">
        <v>1989</v>
      </c>
      <c r="B72" s="9" t="s">
        <v>2091</v>
      </c>
      <c r="C72" s="10" t="s">
        <v>2092</v>
      </c>
      <c r="D72" s="9" t="s">
        <v>1962</v>
      </c>
    </row>
    <row r="73" customFormat="false" ht="15" hidden="false" customHeight="false" outlineLevel="0" collapsed="false">
      <c r="A73" s="9" t="s">
        <v>1989</v>
      </c>
      <c r="B73" s="9" t="s">
        <v>2093</v>
      </c>
      <c r="C73" s="10" t="s">
        <v>2094</v>
      </c>
      <c r="D73" s="9" t="s">
        <v>1962</v>
      </c>
    </row>
    <row r="74" customFormat="false" ht="15" hidden="false" customHeight="false" outlineLevel="0" collapsed="false">
      <c r="A74" s="9" t="s">
        <v>1989</v>
      </c>
      <c r="B74" s="9" t="s">
        <v>2095</v>
      </c>
      <c r="C74" s="10" t="s">
        <v>2096</v>
      </c>
      <c r="D74" s="9" t="s">
        <v>1962</v>
      </c>
    </row>
    <row r="75" customFormat="false" ht="15" hidden="false" customHeight="false" outlineLevel="0" collapsed="false">
      <c r="A75" s="9" t="s">
        <v>1989</v>
      </c>
      <c r="B75" s="9" t="s">
        <v>2097</v>
      </c>
      <c r="C75" s="10" t="s">
        <v>2098</v>
      </c>
      <c r="D75" s="9" t="s">
        <v>1962</v>
      </c>
    </row>
    <row r="76" customFormat="false" ht="15" hidden="false" customHeight="false" outlineLevel="0" collapsed="false">
      <c r="A76" s="9" t="s">
        <v>1989</v>
      </c>
      <c r="B76" s="9" t="s">
        <v>2099</v>
      </c>
      <c r="C76" s="10" t="s">
        <v>2100</v>
      </c>
      <c r="D76" s="9" t="s">
        <v>1962</v>
      </c>
    </row>
    <row r="77" customFormat="false" ht="15" hidden="false" customHeight="false" outlineLevel="0" collapsed="false">
      <c r="A77" s="9" t="s">
        <v>1989</v>
      </c>
      <c r="B77" s="9" t="s">
        <v>2101</v>
      </c>
      <c r="C77" s="10" t="s">
        <v>2102</v>
      </c>
      <c r="D77" s="9" t="s">
        <v>1962</v>
      </c>
    </row>
    <row r="78" customFormat="false" ht="15" hidden="false" customHeight="false" outlineLevel="0" collapsed="false">
      <c r="A78" s="9" t="s">
        <v>1989</v>
      </c>
      <c r="B78" s="9" t="s">
        <v>2103</v>
      </c>
      <c r="C78" s="10" t="s">
        <v>2104</v>
      </c>
      <c r="D78" s="9" t="s">
        <v>1962</v>
      </c>
    </row>
    <row r="79" customFormat="false" ht="15" hidden="false" customHeight="false" outlineLevel="0" collapsed="false">
      <c r="A79" s="9" t="s">
        <v>1989</v>
      </c>
      <c r="B79" s="9" t="s">
        <v>2105</v>
      </c>
      <c r="C79" s="10" t="s">
        <v>2106</v>
      </c>
      <c r="D79" s="9" t="s">
        <v>1962</v>
      </c>
    </row>
    <row r="80" customFormat="false" ht="15" hidden="false" customHeight="false" outlineLevel="0" collapsed="false">
      <c r="A80" s="9" t="s">
        <v>1989</v>
      </c>
      <c r="B80" s="9" t="s">
        <v>2107</v>
      </c>
      <c r="C80" s="10" t="s">
        <v>2108</v>
      </c>
      <c r="D80" s="9" t="s">
        <v>2026</v>
      </c>
    </row>
    <row r="81" customFormat="false" ht="15" hidden="false" customHeight="false" outlineLevel="0" collapsed="false">
      <c r="A81" s="9" t="s">
        <v>1989</v>
      </c>
      <c r="B81" s="9" t="s">
        <v>2109</v>
      </c>
      <c r="C81" s="10" t="s">
        <v>2110</v>
      </c>
      <c r="D81" s="9" t="s">
        <v>2026</v>
      </c>
    </row>
    <row r="82" customFormat="false" ht="15" hidden="false" customHeight="false" outlineLevel="0" collapsed="false">
      <c r="A82" s="9" t="s">
        <v>1989</v>
      </c>
      <c r="B82" s="9" t="s">
        <v>2111</v>
      </c>
      <c r="C82" s="10" t="s">
        <v>2112</v>
      </c>
      <c r="D82" s="9" t="s">
        <v>2026</v>
      </c>
    </row>
    <row r="83" customFormat="false" ht="15" hidden="false" customHeight="false" outlineLevel="0" collapsed="false">
      <c r="A83" s="9" t="s">
        <v>1989</v>
      </c>
      <c r="B83" s="9" t="s">
        <v>2113</v>
      </c>
      <c r="C83" s="10" t="s">
        <v>2114</v>
      </c>
      <c r="D83" s="9" t="s">
        <v>1962</v>
      </c>
    </row>
    <row r="84" customFormat="false" ht="15" hidden="false" customHeight="false" outlineLevel="0" collapsed="false">
      <c r="A84" s="9" t="s">
        <v>1989</v>
      </c>
      <c r="B84" s="9" t="s">
        <v>2115</v>
      </c>
      <c r="C84" s="10" t="s">
        <v>2116</v>
      </c>
      <c r="D84" s="9" t="s">
        <v>1962</v>
      </c>
    </row>
    <row r="85" customFormat="false" ht="15" hidden="false" customHeight="false" outlineLevel="0" collapsed="false">
      <c r="A85" s="9" t="s">
        <v>1989</v>
      </c>
      <c r="B85" s="9" t="s">
        <v>2117</v>
      </c>
      <c r="C85" s="10" t="s">
        <v>2118</v>
      </c>
      <c r="D85" s="9" t="s">
        <v>1962</v>
      </c>
    </row>
    <row r="86" customFormat="false" ht="15" hidden="false" customHeight="false" outlineLevel="0" collapsed="false">
      <c r="A86" s="9" t="s">
        <v>1989</v>
      </c>
      <c r="B86" s="9" t="s">
        <v>2119</v>
      </c>
      <c r="C86" s="10" t="s">
        <v>2120</v>
      </c>
      <c r="D86" s="9" t="s">
        <v>1962</v>
      </c>
    </row>
    <row r="87" customFormat="false" ht="15" hidden="false" customHeight="false" outlineLevel="0" collapsed="false">
      <c r="A87" s="9" t="s">
        <v>1989</v>
      </c>
      <c r="B87" s="9" t="s">
        <v>2121</v>
      </c>
      <c r="C87" s="10" t="s">
        <v>2122</v>
      </c>
      <c r="D87" s="9" t="s">
        <v>1962</v>
      </c>
    </row>
    <row r="88" customFormat="false" ht="15" hidden="false" customHeight="false" outlineLevel="0" collapsed="false">
      <c r="A88" s="9" t="s">
        <v>1989</v>
      </c>
      <c r="B88" s="9" t="s">
        <v>2123</v>
      </c>
      <c r="C88" s="10" t="s">
        <v>2124</v>
      </c>
      <c r="D88" s="9" t="s">
        <v>1962</v>
      </c>
    </row>
    <row r="89" customFormat="false" ht="15" hidden="false" customHeight="false" outlineLevel="0" collapsed="false">
      <c r="A89" s="9" t="s">
        <v>1989</v>
      </c>
      <c r="B89" s="9" t="s">
        <v>2125</v>
      </c>
      <c r="C89" s="10" t="s">
        <v>2126</v>
      </c>
      <c r="D89" s="9" t="s">
        <v>1962</v>
      </c>
    </row>
    <row r="90" customFormat="false" ht="15" hidden="false" customHeight="false" outlineLevel="0" collapsed="false">
      <c r="A90" s="9" t="s">
        <v>1989</v>
      </c>
      <c r="B90" s="9" t="s">
        <v>2127</v>
      </c>
      <c r="C90" s="10" t="s">
        <v>2128</v>
      </c>
      <c r="D90" s="9" t="s">
        <v>2026</v>
      </c>
    </row>
    <row r="91" customFormat="false" ht="15" hidden="false" customHeight="false" outlineLevel="0" collapsed="false">
      <c r="A91" s="9" t="s">
        <v>1989</v>
      </c>
      <c r="B91" s="9" t="s">
        <v>2129</v>
      </c>
      <c r="C91" s="10" t="s">
        <v>2130</v>
      </c>
      <c r="D91" s="9" t="s">
        <v>2026</v>
      </c>
    </row>
    <row r="92" customFormat="false" ht="15" hidden="false" customHeight="false" outlineLevel="0" collapsed="false">
      <c r="A92" s="9" t="s">
        <v>1989</v>
      </c>
      <c r="B92" s="9" t="s">
        <v>2131</v>
      </c>
      <c r="C92" s="10" t="s">
        <v>2132</v>
      </c>
      <c r="D92" s="9" t="s">
        <v>1962</v>
      </c>
    </row>
    <row r="93" customFormat="false" ht="15" hidden="false" customHeight="false" outlineLevel="0" collapsed="false">
      <c r="A93" s="9" t="s">
        <v>1989</v>
      </c>
      <c r="B93" s="9" t="s">
        <v>2133</v>
      </c>
      <c r="C93" s="10" t="s">
        <v>2134</v>
      </c>
      <c r="D93" s="9" t="s">
        <v>2026</v>
      </c>
    </row>
    <row r="94" customFormat="false" ht="15" hidden="false" customHeight="false" outlineLevel="0" collapsed="false">
      <c r="A94" s="9" t="s">
        <v>1989</v>
      </c>
      <c r="B94" s="9" t="s">
        <v>2135</v>
      </c>
      <c r="C94" s="10" t="s">
        <v>2136</v>
      </c>
      <c r="D94" s="9" t="s">
        <v>2026</v>
      </c>
    </row>
    <row r="95" customFormat="false" ht="15" hidden="false" customHeight="false" outlineLevel="0" collapsed="false">
      <c r="A95" s="9" t="s">
        <v>1989</v>
      </c>
      <c r="B95" s="9" t="s">
        <v>2137</v>
      </c>
      <c r="C95" s="10" t="s">
        <v>2138</v>
      </c>
      <c r="D95" s="9" t="s">
        <v>2026</v>
      </c>
    </row>
    <row r="96" customFormat="false" ht="15" hidden="false" customHeight="false" outlineLevel="0" collapsed="false">
      <c r="A96" s="9" t="s">
        <v>1989</v>
      </c>
      <c r="B96" s="9" t="s">
        <v>2139</v>
      </c>
      <c r="C96" s="10" t="s">
        <v>2140</v>
      </c>
      <c r="D96" s="9" t="s">
        <v>2026</v>
      </c>
    </row>
    <row r="97" customFormat="false" ht="15" hidden="false" customHeight="false" outlineLevel="0" collapsed="false">
      <c r="A97" s="9" t="s">
        <v>1989</v>
      </c>
      <c r="B97" s="9" t="s">
        <v>2141</v>
      </c>
      <c r="C97" s="10" t="s">
        <v>2142</v>
      </c>
      <c r="D97" s="9" t="s">
        <v>2026</v>
      </c>
    </row>
    <row r="98" customFormat="false" ht="15" hidden="false" customHeight="false" outlineLevel="0" collapsed="false">
      <c r="A98" s="9" t="s">
        <v>1989</v>
      </c>
      <c r="B98" s="9" t="s">
        <v>2143</v>
      </c>
      <c r="C98" s="10" t="s">
        <v>2144</v>
      </c>
      <c r="D98" s="9" t="s">
        <v>2026</v>
      </c>
    </row>
    <row r="99" customFormat="false" ht="15" hidden="false" customHeight="false" outlineLevel="0" collapsed="false">
      <c r="A99" s="9" t="s">
        <v>1989</v>
      </c>
      <c r="B99" s="9" t="s">
        <v>2145</v>
      </c>
      <c r="C99" s="10" t="s">
        <v>2146</v>
      </c>
      <c r="D99" s="9" t="s">
        <v>2026</v>
      </c>
    </row>
    <row r="100" customFormat="false" ht="15" hidden="false" customHeight="false" outlineLevel="0" collapsed="false">
      <c r="A100" s="9" t="s">
        <v>1989</v>
      </c>
      <c r="B100" s="9" t="s">
        <v>2147</v>
      </c>
      <c r="C100" s="10" t="s">
        <v>2148</v>
      </c>
      <c r="D100" s="9" t="s">
        <v>2026</v>
      </c>
    </row>
    <row r="101" customFormat="false" ht="15" hidden="false" customHeight="false" outlineLevel="0" collapsed="false">
      <c r="A101" s="9" t="s">
        <v>1989</v>
      </c>
      <c r="B101" s="9" t="s">
        <v>2149</v>
      </c>
      <c r="C101" s="10" t="s">
        <v>2150</v>
      </c>
      <c r="D101" s="9" t="s">
        <v>2026</v>
      </c>
    </row>
    <row r="102" customFormat="false" ht="15" hidden="false" customHeight="false" outlineLevel="0" collapsed="false">
      <c r="A102" s="9" t="s">
        <v>1989</v>
      </c>
      <c r="B102" s="9" t="s">
        <v>2151</v>
      </c>
      <c r="C102" s="10" t="s">
        <v>2152</v>
      </c>
      <c r="D102" s="9" t="s">
        <v>2026</v>
      </c>
    </row>
    <row r="103" customFormat="false" ht="15" hidden="false" customHeight="false" outlineLevel="0" collapsed="false">
      <c r="A103" s="9" t="s">
        <v>1989</v>
      </c>
      <c r="B103" s="9" t="s">
        <v>2153</v>
      </c>
      <c r="C103" s="10" t="s">
        <v>2154</v>
      </c>
      <c r="D103" s="9" t="s">
        <v>2026</v>
      </c>
    </row>
    <row r="104" customFormat="false" ht="15" hidden="false" customHeight="false" outlineLevel="0" collapsed="false">
      <c r="A104" s="9" t="s">
        <v>1989</v>
      </c>
      <c r="B104" s="9" t="s">
        <v>2155</v>
      </c>
      <c r="C104" s="10" t="s">
        <v>2156</v>
      </c>
      <c r="D104" s="9" t="s">
        <v>2026</v>
      </c>
    </row>
    <row r="105" customFormat="false" ht="15" hidden="false" customHeight="false" outlineLevel="0" collapsed="false">
      <c r="A105" s="9" t="s">
        <v>1989</v>
      </c>
      <c r="B105" s="9" t="s">
        <v>2157</v>
      </c>
      <c r="C105" s="10" t="s">
        <v>2158</v>
      </c>
      <c r="D105" s="9" t="s">
        <v>2026</v>
      </c>
    </row>
    <row r="106" customFormat="false" ht="15" hidden="false" customHeight="false" outlineLevel="0" collapsed="false">
      <c r="A106" s="9" t="s">
        <v>1989</v>
      </c>
      <c r="B106" s="9" t="s">
        <v>2159</v>
      </c>
      <c r="C106" s="10" t="s">
        <v>2160</v>
      </c>
      <c r="D106" s="9" t="s">
        <v>2026</v>
      </c>
    </row>
    <row r="107" customFormat="false" ht="15" hidden="false" customHeight="false" outlineLevel="0" collapsed="false">
      <c r="A107" s="9" t="s">
        <v>1989</v>
      </c>
      <c r="B107" s="9" t="s">
        <v>2161</v>
      </c>
      <c r="C107" s="10" t="s">
        <v>2162</v>
      </c>
      <c r="D107" s="9" t="s">
        <v>539</v>
      </c>
    </row>
    <row r="108" customFormat="false" ht="15" hidden="false" customHeight="false" outlineLevel="0" collapsed="false">
      <c r="A108" s="9" t="s">
        <v>1989</v>
      </c>
      <c r="B108" s="9" t="s">
        <v>2163</v>
      </c>
      <c r="C108" s="10" t="s">
        <v>2164</v>
      </c>
      <c r="D108" s="9" t="s">
        <v>539</v>
      </c>
    </row>
    <row r="109" customFormat="false" ht="15" hidden="false" customHeight="false" outlineLevel="0" collapsed="false">
      <c r="A109" s="9" t="s">
        <v>1989</v>
      </c>
      <c r="B109" s="9" t="s">
        <v>2165</v>
      </c>
      <c r="C109" s="10" t="s">
        <v>2166</v>
      </c>
      <c r="D109" s="9" t="s">
        <v>803</v>
      </c>
    </row>
    <row r="110" customFormat="false" ht="15" hidden="false" customHeight="false" outlineLevel="0" collapsed="false">
      <c r="A110" s="9" t="s">
        <v>1989</v>
      </c>
      <c r="B110" s="9" t="s">
        <v>2167</v>
      </c>
      <c r="C110" s="10" t="s">
        <v>2168</v>
      </c>
      <c r="D110" s="9" t="s">
        <v>803</v>
      </c>
    </row>
    <row r="111" customFormat="false" ht="15" hidden="false" customHeight="false" outlineLevel="0" collapsed="false">
      <c r="A111" s="9" t="s">
        <v>1989</v>
      </c>
      <c r="B111" s="9" t="s">
        <v>2169</v>
      </c>
      <c r="C111" s="10" t="s">
        <v>2170</v>
      </c>
      <c r="D111" s="9" t="s">
        <v>803</v>
      </c>
    </row>
    <row r="112" customFormat="false" ht="15" hidden="false" customHeight="false" outlineLevel="0" collapsed="false">
      <c r="A112" s="9" t="s">
        <v>1989</v>
      </c>
      <c r="B112" s="9" t="s">
        <v>2171</v>
      </c>
      <c r="C112" s="10" t="s">
        <v>2172</v>
      </c>
      <c r="D112" s="9" t="s">
        <v>86</v>
      </c>
    </row>
    <row r="113" customFormat="false" ht="15" hidden="false" customHeight="false" outlineLevel="0" collapsed="false">
      <c r="A113" s="9" t="s">
        <v>1989</v>
      </c>
      <c r="B113" s="9" t="s">
        <v>2173</v>
      </c>
      <c r="C113" s="10" t="s">
        <v>2174</v>
      </c>
      <c r="D113" s="9" t="s">
        <v>86</v>
      </c>
    </row>
    <row r="114" customFormat="false" ht="15" hidden="false" customHeight="false" outlineLevel="0" collapsed="false">
      <c r="A114" s="9" t="s">
        <v>1989</v>
      </c>
      <c r="B114" s="9" t="s">
        <v>2175</v>
      </c>
      <c r="C114" s="10" t="s">
        <v>2176</v>
      </c>
      <c r="D114" s="9" t="s">
        <v>86</v>
      </c>
    </row>
    <row r="115" customFormat="false" ht="15" hidden="false" customHeight="false" outlineLevel="0" collapsed="false">
      <c r="A115" s="9" t="s">
        <v>1989</v>
      </c>
      <c r="B115" s="9" t="s">
        <v>2177</v>
      </c>
      <c r="C115" s="10" t="s">
        <v>2178</v>
      </c>
      <c r="D115" s="9" t="s">
        <v>86</v>
      </c>
    </row>
    <row r="116" customFormat="false" ht="15" hidden="false" customHeight="false" outlineLevel="0" collapsed="false">
      <c r="A116" s="9" t="s">
        <v>1989</v>
      </c>
      <c r="B116" s="9" t="s">
        <v>2179</v>
      </c>
      <c r="C116" s="10" t="s">
        <v>2180</v>
      </c>
      <c r="D116" s="9" t="s">
        <v>86</v>
      </c>
    </row>
    <row r="117" customFormat="false" ht="15" hidden="false" customHeight="false" outlineLevel="0" collapsed="false">
      <c r="A117" s="9" t="s">
        <v>1989</v>
      </c>
      <c r="B117" s="9" t="s">
        <v>2181</v>
      </c>
      <c r="C117" s="10" t="s">
        <v>2182</v>
      </c>
      <c r="D117" s="9" t="s">
        <v>86</v>
      </c>
    </row>
    <row r="118" customFormat="false" ht="15" hidden="false" customHeight="false" outlineLevel="0" collapsed="false">
      <c r="A118" s="9" t="s">
        <v>1989</v>
      </c>
      <c r="B118" s="9" t="s">
        <v>2183</v>
      </c>
      <c r="C118" s="10" t="s">
        <v>2184</v>
      </c>
      <c r="D118" s="9" t="s">
        <v>86</v>
      </c>
    </row>
    <row r="119" customFormat="false" ht="15" hidden="false" customHeight="false" outlineLevel="0" collapsed="false">
      <c r="A119" s="9" t="s">
        <v>1989</v>
      </c>
      <c r="B119" s="9" t="s">
        <v>2185</v>
      </c>
      <c r="C119" s="10" t="s">
        <v>2186</v>
      </c>
      <c r="D119" s="9" t="s">
        <v>1962</v>
      </c>
    </row>
    <row r="120" customFormat="false" ht="15" hidden="false" customHeight="false" outlineLevel="0" collapsed="false">
      <c r="A120" s="9" t="s">
        <v>1989</v>
      </c>
      <c r="B120" s="9" t="s">
        <v>2187</v>
      </c>
      <c r="C120" s="10" t="s">
        <v>2188</v>
      </c>
      <c r="D120" s="9" t="s">
        <v>1962</v>
      </c>
    </row>
    <row r="121" customFormat="false" ht="15" hidden="false" customHeight="false" outlineLevel="0" collapsed="false">
      <c r="A121" s="9" t="s">
        <v>1989</v>
      </c>
      <c r="B121" s="9" t="s">
        <v>2189</v>
      </c>
      <c r="C121" s="10" t="s">
        <v>2190</v>
      </c>
      <c r="D121" s="9" t="s">
        <v>1962</v>
      </c>
    </row>
    <row r="122" customFormat="false" ht="15" hidden="false" customHeight="false" outlineLevel="0" collapsed="false">
      <c r="A122" s="9" t="s">
        <v>1989</v>
      </c>
      <c r="B122" s="9" t="s">
        <v>2191</v>
      </c>
      <c r="C122" s="10" t="s">
        <v>2192</v>
      </c>
      <c r="D122" s="9" t="s">
        <v>1962</v>
      </c>
    </row>
    <row r="123" customFormat="false" ht="15" hidden="false" customHeight="false" outlineLevel="0" collapsed="false">
      <c r="A123" s="9" t="s">
        <v>1989</v>
      </c>
      <c r="B123" s="9" t="s">
        <v>2193</v>
      </c>
      <c r="C123" s="10" t="s">
        <v>2194</v>
      </c>
      <c r="D123" s="9" t="s">
        <v>1962</v>
      </c>
    </row>
    <row r="124" customFormat="false" ht="15" hidden="false" customHeight="false" outlineLevel="0" collapsed="false">
      <c r="A124" s="9" t="s">
        <v>1989</v>
      </c>
      <c r="B124" s="9" t="s">
        <v>2195</v>
      </c>
      <c r="C124" s="10" t="s">
        <v>2196</v>
      </c>
      <c r="D124" s="9" t="s">
        <v>86</v>
      </c>
    </row>
    <row r="125" customFormat="false" ht="15" hidden="false" customHeight="false" outlineLevel="0" collapsed="false">
      <c r="A125" s="9" t="s">
        <v>1989</v>
      </c>
      <c r="B125" s="9" t="s">
        <v>2197</v>
      </c>
      <c r="C125" s="10" t="s">
        <v>2198</v>
      </c>
      <c r="D125" s="9" t="s">
        <v>86</v>
      </c>
    </row>
    <row r="126" customFormat="false" ht="15" hidden="false" customHeight="false" outlineLevel="0" collapsed="false">
      <c r="A126" s="9" t="s">
        <v>1989</v>
      </c>
      <c r="B126" s="9" t="s">
        <v>2199</v>
      </c>
      <c r="C126" s="10" t="s">
        <v>2200</v>
      </c>
      <c r="D126" s="9" t="s">
        <v>86</v>
      </c>
    </row>
    <row r="127" customFormat="false" ht="15" hidden="false" customHeight="false" outlineLevel="0" collapsed="false">
      <c r="A127" s="9" t="s">
        <v>1989</v>
      </c>
      <c r="B127" s="9" t="s">
        <v>2201</v>
      </c>
      <c r="C127" s="10" t="s">
        <v>2202</v>
      </c>
      <c r="D127" s="9" t="s">
        <v>86</v>
      </c>
    </row>
    <row r="128" customFormat="false" ht="15" hidden="false" customHeight="false" outlineLevel="0" collapsed="false">
      <c r="A128" s="9" t="s">
        <v>1989</v>
      </c>
      <c r="B128" s="9" t="s">
        <v>2203</v>
      </c>
      <c r="C128" s="10" t="s">
        <v>2204</v>
      </c>
      <c r="D128" s="9" t="s">
        <v>86</v>
      </c>
    </row>
    <row r="129" customFormat="false" ht="15" hidden="false" customHeight="false" outlineLevel="0" collapsed="false">
      <c r="A129" s="9" t="s">
        <v>1989</v>
      </c>
      <c r="B129" s="9" t="s">
        <v>2205</v>
      </c>
      <c r="C129" s="10" t="s">
        <v>2206</v>
      </c>
      <c r="D129" s="9" t="s">
        <v>86</v>
      </c>
    </row>
    <row r="130" customFormat="false" ht="15" hidden="false" customHeight="false" outlineLevel="0" collapsed="false">
      <c r="A130" s="9" t="s">
        <v>1989</v>
      </c>
      <c r="B130" s="9" t="s">
        <v>2207</v>
      </c>
      <c r="C130" s="10" t="s">
        <v>2208</v>
      </c>
      <c r="D130" s="9" t="s">
        <v>86</v>
      </c>
    </row>
    <row r="131" customFormat="false" ht="15" hidden="false" customHeight="false" outlineLevel="0" collapsed="false">
      <c r="A131" s="9" t="s">
        <v>1989</v>
      </c>
      <c r="B131" s="9" t="s">
        <v>2209</v>
      </c>
      <c r="C131" s="10" t="s">
        <v>2210</v>
      </c>
      <c r="D131" s="9" t="s">
        <v>86</v>
      </c>
    </row>
    <row r="132" customFormat="false" ht="15" hidden="false" customHeight="false" outlineLevel="0" collapsed="false">
      <c r="A132" s="9" t="s">
        <v>1989</v>
      </c>
      <c r="B132" s="9" t="s">
        <v>2211</v>
      </c>
      <c r="C132" s="10" t="s">
        <v>2212</v>
      </c>
      <c r="D132" s="9" t="s">
        <v>86</v>
      </c>
    </row>
    <row r="133" customFormat="false" ht="15" hidden="false" customHeight="false" outlineLevel="0" collapsed="false">
      <c r="A133" s="9" t="s">
        <v>1989</v>
      </c>
      <c r="B133" s="9" t="s">
        <v>2213</v>
      </c>
      <c r="C133" s="10" t="s">
        <v>2214</v>
      </c>
      <c r="D133" s="9" t="s">
        <v>1171</v>
      </c>
    </row>
    <row r="134" customFormat="false" ht="15" hidden="false" customHeight="false" outlineLevel="0" collapsed="false">
      <c r="A134" s="9" t="s">
        <v>1989</v>
      </c>
      <c r="B134" s="9" t="s">
        <v>2215</v>
      </c>
      <c r="C134" s="10" t="s">
        <v>2216</v>
      </c>
      <c r="D134" s="9" t="s">
        <v>1171</v>
      </c>
    </row>
    <row r="135" customFormat="false" ht="15" hidden="false" customHeight="false" outlineLevel="0" collapsed="false">
      <c r="A135" s="9" t="s">
        <v>1989</v>
      </c>
      <c r="B135" s="9" t="s">
        <v>2217</v>
      </c>
      <c r="C135" s="10" t="s">
        <v>2218</v>
      </c>
      <c r="D135" s="9" t="s">
        <v>1171</v>
      </c>
    </row>
    <row r="136" customFormat="false" ht="15" hidden="false" customHeight="false" outlineLevel="0" collapsed="false">
      <c r="A136" s="9" t="s">
        <v>1989</v>
      </c>
      <c r="B136" s="9" t="s">
        <v>2219</v>
      </c>
      <c r="C136" s="10" t="s">
        <v>2220</v>
      </c>
      <c r="D136" s="9" t="s">
        <v>1962</v>
      </c>
    </row>
    <row r="137" customFormat="false" ht="15" hidden="false" customHeight="false" outlineLevel="0" collapsed="false">
      <c r="A137" s="9" t="s">
        <v>1989</v>
      </c>
      <c r="B137" s="9" t="s">
        <v>2221</v>
      </c>
      <c r="C137" s="10" t="s">
        <v>2222</v>
      </c>
      <c r="D137" s="9" t="s">
        <v>1962</v>
      </c>
    </row>
    <row r="138" customFormat="false" ht="15" hidden="false" customHeight="false" outlineLevel="0" collapsed="false">
      <c r="A138" s="9" t="s">
        <v>1989</v>
      </c>
      <c r="B138" s="9" t="s">
        <v>2223</v>
      </c>
      <c r="C138" s="10" t="s">
        <v>2224</v>
      </c>
      <c r="D138" s="9" t="s">
        <v>2037</v>
      </c>
    </row>
    <row r="139" customFormat="false" ht="15" hidden="false" customHeight="false" outlineLevel="0" collapsed="false">
      <c r="A139" s="9" t="s">
        <v>2225</v>
      </c>
      <c r="B139" s="9" t="s">
        <v>2226</v>
      </c>
      <c r="C139" s="10" t="s">
        <v>2227</v>
      </c>
      <c r="D139" s="9" t="s">
        <v>2228</v>
      </c>
    </row>
    <row r="140" customFormat="false" ht="15" hidden="false" customHeight="false" outlineLevel="0" collapsed="false">
      <c r="A140" s="9" t="s">
        <v>2225</v>
      </c>
      <c r="B140" s="9" t="s">
        <v>2229</v>
      </c>
      <c r="C140" s="10" t="s">
        <v>2230</v>
      </c>
      <c r="D140" s="9" t="s">
        <v>961</v>
      </c>
    </row>
    <row r="141" customFormat="false" ht="15" hidden="false" customHeight="false" outlineLevel="0" collapsed="false">
      <c r="A141" s="9" t="s">
        <v>2225</v>
      </c>
      <c r="B141" s="9" t="s">
        <v>2231</v>
      </c>
      <c r="C141" s="10" t="s">
        <v>2232</v>
      </c>
      <c r="D141" s="9" t="s">
        <v>86</v>
      </c>
    </row>
    <row r="142" customFormat="false" ht="15" hidden="false" customHeight="false" outlineLevel="0" collapsed="false">
      <c r="A142" s="9" t="s">
        <v>2225</v>
      </c>
      <c r="B142" s="9" t="s">
        <v>2233</v>
      </c>
      <c r="C142" s="10" t="s">
        <v>2234</v>
      </c>
      <c r="D142" s="9" t="s">
        <v>86</v>
      </c>
    </row>
    <row r="143" customFormat="false" ht="15" hidden="false" customHeight="false" outlineLevel="0" collapsed="false">
      <c r="A143" s="9" t="s">
        <v>2225</v>
      </c>
      <c r="B143" s="9" t="s">
        <v>2235</v>
      </c>
      <c r="C143" s="10" t="s">
        <v>2236</v>
      </c>
      <c r="D143" s="9" t="s">
        <v>1281</v>
      </c>
    </row>
    <row r="144" customFormat="false" ht="15" hidden="false" customHeight="false" outlineLevel="0" collapsed="false">
      <c r="A144" s="9" t="s">
        <v>2225</v>
      </c>
      <c r="B144" s="9" t="s">
        <v>2237</v>
      </c>
      <c r="C144" s="10" t="s">
        <v>2238</v>
      </c>
      <c r="D144" s="9" t="s">
        <v>1962</v>
      </c>
    </row>
    <row r="145" customFormat="false" ht="15" hidden="false" customHeight="false" outlineLevel="0" collapsed="false">
      <c r="A145" s="9" t="s">
        <v>2225</v>
      </c>
      <c r="B145" s="9" t="s">
        <v>2239</v>
      </c>
      <c r="C145" s="10" t="s">
        <v>2240</v>
      </c>
      <c r="D145" s="9" t="s">
        <v>961</v>
      </c>
    </row>
    <row r="146" customFormat="false" ht="15" hidden="false" customHeight="false" outlineLevel="0" collapsed="false">
      <c r="A146" s="9" t="s">
        <v>2225</v>
      </c>
      <c r="B146" s="9" t="s">
        <v>2241</v>
      </c>
      <c r="C146" s="10" t="s">
        <v>2242</v>
      </c>
      <c r="D146" s="9" t="s">
        <v>1281</v>
      </c>
    </row>
    <row r="147" customFormat="false" ht="15" hidden="false" customHeight="false" outlineLevel="0" collapsed="false">
      <c r="A147" s="9" t="s">
        <v>2225</v>
      </c>
      <c r="B147" s="9" t="s">
        <v>2243</v>
      </c>
      <c r="C147" s="10" t="s">
        <v>2244</v>
      </c>
      <c r="D147" s="9" t="s">
        <v>2074</v>
      </c>
    </row>
    <row r="148" customFormat="false" ht="15" hidden="false" customHeight="false" outlineLevel="0" collapsed="false">
      <c r="A148" s="9" t="s">
        <v>2225</v>
      </c>
      <c r="B148" s="9" t="s">
        <v>2245</v>
      </c>
      <c r="C148" s="10" t="s">
        <v>2246</v>
      </c>
      <c r="D148" s="9" t="s">
        <v>2074</v>
      </c>
    </row>
    <row r="149" customFormat="false" ht="15" hidden="false" customHeight="false" outlineLevel="0" collapsed="false">
      <c r="A149" s="9" t="s">
        <v>2225</v>
      </c>
      <c r="B149" s="9" t="s">
        <v>2247</v>
      </c>
      <c r="C149" s="10" t="s">
        <v>2248</v>
      </c>
      <c r="D149" s="9" t="s">
        <v>2074</v>
      </c>
    </row>
    <row r="150" customFormat="false" ht="15" hidden="false" customHeight="false" outlineLevel="0" collapsed="false">
      <c r="A150" s="9" t="s">
        <v>2225</v>
      </c>
      <c r="B150" s="9" t="s">
        <v>2249</v>
      </c>
      <c r="C150" s="10" t="s">
        <v>2250</v>
      </c>
      <c r="D150" s="9" t="s">
        <v>2074</v>
      </c>
    </row>
    <row r="151" customFormat="false" ht="15" hidden="false" customHeight="false" outlineLevel="0" collapsed="false">
      <c r="A151" s="9" t="s">
        <v>2225</v>
      </c>
      <c r="B151" s="9" t="s">
        <v>2251</v>
      </c>
      <c r="C151" s="10" t="s">
        <v>2252</v>
      </c>
      <c r="D151" s="9" t="s">
        <v>2037</v>
      </c>
    </row>
    <row r="152" customFormat="false" ht="15" hidden="false" customHeight="false" outlineLevel="0" collapsed="false">
      <c r="A152" s="9" t="s">
        <v>2225</v>
      </c>
      <c r="B152" s="9" t="s">
        <v>2253</v>
      </c>
      <c r="C152" s="10" t="s">
        <v>2254</v>
      </c>
      <c r="D152" s="9" t="s">
        <v>2037</v>
      </c>
    </row>
    <row r="153" customFormat="false" ht="15" hidden="false" customHeight="false" outlineLevel="0" collapsed="false">
      <c r="A153" s="9" t="s">
        <v>2225</v>
      </c>
      <c r="B153" s="9" t="s">
        <v>2255</v>
      </c>
      <c r="C153" s="10" t="s">
        <v>2256</v>
      </c>
      <c r="D153" s="9" t="s">
        <v>539</v>
      </c>
    </row>
    <row r="154" customFormat="false" ht="15" hidden="false" customHeight="false" outlineLevel="0" collapsed="false">
      <c r="A154" s="9" t="s">
        <v>2225</v>
      </c>
      <c r="B154" s="9" t="s">
        <v>2257</v>
      </c>
      <c r="C154" s="10" t="s">
        <v>2258</v>
      </c>
      <c r="D154" s="9" t="s">
        <v>2026</v>
      </c>
    </row>
    <row r="155" customFormat="false" ht="15" hidden="false" customHeight="false" outlineLevel="0" collapsed="false">
      <c r="A155" s="9" t="s">
        <v>2225</v>
      </c>
      <c r="B155" s="9" t="s">
        <v>2259</v>
      </c>
      <c r="C155" s="10" t="s">
        <v>2260</v>
      </c>
      <c r="D155" s="9" t="s">
        <v>2026</v>
      </c>
    </row>
    <row r="156" customFormat="false" ht="15" hidden="false" customHeight="false" outlineLevel="0" collapsed="false">
      <c r="A156" s="9" t="s">
        <v>2225</v>
      </c>
      <c r="B156" s="9" t="s">
        <v>2261</v>
      </c>
      <c r="C156" s="10" t="s">
        <v>2262</v>
      </c>
      <c r="D156" s="9" t="s">
        <v>191</v>
      </c>
    </row>
    <row r="157" customFormat="false" ht="15" hidden="false" customHeight="false" outlineLevel="0" collapsed="false">
      <c r="A157" s="9" t="s">
        <v>2225</v>
      </c>
      <c r="B157" s="9" t="s">
        <v>2263</v>
      </c>
      <c r="C157" s="10" t="s">
        <v>2264</v>
      </c>
      <c r="D157" s="9" t="s">
        <v>191</v>
      </c>
    </row>
    <row r="158" customFormat="false" ht="15" hidden="false" customHeight="false" outlineLevel="0" collapsed="false">
      <c r="A158" s="9" t="s">
        <v>2225</v>
      </c>
      <c r="B158" s="9" t="s">
        <v>2265</v>
      </c>
      <c r="C158" s="10" t="s">
        <v>2266</v>
      </c>
      <c r="D158" s="9" t="s">
        <v>1962</v>
      </c>
    </row>
    <row r="159" customFormat="false" ht="15" hidden="false" customHeight="false" outlineLevel="0" collapsed="false">
      <c r="A159" s="9" t="s">
        <v>2225</v>
      </c>
      <c r="B159" s="9" t="s">
        <v>2267</v>
      </c>
      <c r="C159" s="10" t="s">
        <v>2268</v>
      </c>
      <c r="D159" s="9" t="s">
        <v>1871</v>
      </c>
    </row>
    <row r="160" customFormat="false" ht="15" hidden="false" customHeight="false" outlineLevel="0" collapsed="false">
      <c r="A160" s="9" t="s">
        <v>2225</v>
      </c>
      <c r="B160" s="9" t="s">
        <v>2269</v>
      </c>
      <c r="C160" s="10" t="s">
        <v>2270</v>
      </c>
      <c r="D160" s="9" t="s">
        <v>191</v>
      </c>
    </row>
    <row r="161" customFormat="false" ht="15" hidden="false" customHeight="false" outlineLevel="0" collapsed="false">
      <c r="A161" s="9" t="s">
        <v>2225</v>
      </c>
      <c r="B161" s="9" t="s">
        <v>2271</v>
      </c>
      <c r="C161" s="10" t="s">
        <v>2272</v>
      </c>
      <c r="D161" s="9" t="s">
        <v>539</v>
      </c>
    </row>
    <row r="162" customFormat="false" ht="15" hidden="false" customHeight="false" outlineLevel="0" collapsed="false">
      <c r="A162" s="9" t="s">
        <v>2225</v>
      </c>
      <c r="B162" s="9" t="s">
        <v>2273</v>
      </c>
      <c r="C162" s="10" t="s">
        <v>2274</v>
      </c>
      <c r="D162" s="9" t="s">
        <v>191</v>
      </c>
    </row>
    <row r="163" customFormat="false" ht="15" hidden="false" customHeight="false" outlineLevel="0" collapsed="false">
      <c r="A163" s="9" t="s">
        <v>2225</v>
      </c>
      <c r="B163" s="9" t="s">
        <v>2275</v>
      </c>
      <c r="C163" s="10" t="s">
        <v>2276</v>
      </c>
      <c r="D163" s="9" t="s">
        <v>191</v>
      </c>
    </row>
    <row r="164" customFormat="false" ht="15" hidden="false" customHeight="false" outlineLevel="0" collapsed="false">
      <c r="A164" s="9" t="s">
        <v>2225</v>
      </c>
      <c r="B164" s="9" t="s">
        <v>2277</v>
      </c>
      <c r="C164" s="10" t="s">
        <v>2278</v>
      </c>
      <c r="D164" s="9" t="s">
        <v>191</v>
      </c>
    </row>
    <row r="165" customFormat="false" ht="15" hidden="false" customHeight="false" outlineLevel="0" collapsed="false">
      <c r="A165" s="9" t="s">
        <v>2225</v>
      </c>
      <c r="B165" s="9" t="s">
        <v>2279</v>
      </c>
      <c r="C165" s="10" t="s">
        <v>2280</v>
      </c>
      <c r="D165" s="9" t="s">
        <v>191</v>
      </c>
    </row>
    <row r="166" customFormat="false" ht="15" hidden="false" customHeight="false" outlineLevel="0" collapsed="false">
      <c r="A166" s="9" t="s">
        <v>2225</v>
      </c>
      <c r="B166" s="9" t="s">
        <v>2281</v>
      </c>
      <c r="C166" s="10" t="s">
        <v>2282</v>
      </c>
      <c r="D166" s="9" t="s">
        <v>191</v>
      </c>
    </row>
    <row r="167" customFormat="false" ht="15" hidden="false" customHeight="false" outlineLevel="0" collapsed="false">
      <c r="A167" s="9" t="s">
        <v>2225</v>
      </c>
      <c r="B167" s="9" t="s">
        <v>2283</v>
      </c>
      <c r="C167" s="10" t="s">
        <v>2284</v>
      </c>
      <c r="D167" s="9" t="s">
        <v>191</v>
      </c>
    </row>
    <row r="168" customFormat="false" ht="15" hidden="false" customHeight="false" outlineLevel="0" collapsed="false">
      <c r="A168" s="9" t="s">
        <v>2225</v>
      </c>
      <c r="B168" s="9" t="s">
        <v>2285</v>
      </c>
      <c r="C168" s="10" t="s">
        <v>2286</v>
      </c>
      <c r="D168" s="9" t="s">
        <v>191</v>
      </c>
    </row>
    <row r="169" customFormat="false" ht="15" hidden="false" customHeight="false" outlineLevel="0" collapsed="false">
      <c r="A169" s="9" t="s">
        <v>2225</v>
      </c>
      <c r="B169" s="9" t="s">
        <v>2287</v>
      </c>
      <c r="C169" s="10" t="s">
        <v>2288</v>
      </c>
      <c r="D169" s="9" t="s">
        <v>191</v>
      </c>
    </row>
    <row r="170" customFormat="false" ht="15" hidden="false" customHeight="false" outlineLevel="0" collapsed="false">
      <c r="A170" s="9" t="s">
        <v>2225</v>
      </c>
      <c r="B170" s="9" t="s">
        <v>2289</v>
      </c>
      <c r="C170" s="10" t="s">
        <v>2290</v>
      </c>
      <c r="D170" s="9" t="s">
        <v>191</v>
      </c>
    </row>
    <row r="171" customFormat="false" ht="15" hidden="false" customHeight="false" outlineLevel="0" collapsed="false">
      <c r="A171" s="9" t="s">
        <v>2225</v>
      </c>
      <c r="B171" s="9" t="s">
        <v>2291</v>
      </c>
      <c r="C171" s="10" t="s">
        <v>2292</v>
      </c>
      <c r="D171" s="9" t="s">
        <v>803</v>
      </c>
    </row>
    <row r="172" customFormat="false" ht="15" hidden="false" customHeight="false" outlineLevel="0" collapsed="false">
      <c r="A172" s="9" t="s">
        <v>2225</v>
      </c>
      <c r="B172" s="9" t="s">
        <v>2293</v>
      </c>
      <c r="C172" s="10" t="s">
        <v>2294</v>
      </c>
      <c r="D172" s="9" t="s">
        <v>803</v>
      </c>
    </row>
    <row r="173" customFormat="false" ht="15" hidden="false" customHeight="false" outlineLevel="0" collapsed="false">
      <c r="A173" s="9" t="s">
        <v>2225</v>
      </c>
      <c r="B173" s="9" t="s">
        <v>2295</v>
      </c>
      <c r="C173" s="10" t="s">
        <v>2296</v>
      </c>
      <c r="D173" s="9" t="s">
        <v>803</v>
      </c>
    </row>
    <row r="174" customFormat="false" ht="15" hidden="false" customHeight="false" outlineLevel="0" collapsed="false">
      <c r="A174" s="9" t="s">
        <v>2225</v>
      </c>
      <c r="B174" s="9" t="s">
        <v>2297</v>
      </c>
      <c r="C174" s="10" t="s">
        <v>2298</v>
      </c>
      <c r="D174" s="9" t="s">
        <v>803</v>
      </c>
    </row>
    <row r="175" customFormat="false" ht="15" hidden="false" customHeight="false" outlineLevel="0" collapsed="false">
      <c r="A175" s="9" t="s">
        <v>2225</v>
      </c>
      <c r="B175" s="9" t="s">
        <v>2299</v>
      </c>
      <c r="C175" s="10" t="s">
        <v>2300</v>
      </c>
      <c r="D175" s="9" t="s">
        <v>803</v>
      </c>
    </row>
    <row r="176" customFormat="false" ht="15" hidden="false" customHeight="false" outlineLevel="0" collapsed="false">
      <c r="A176" s="9" t="s">
        <v>2225</v>
      </c>
      <c r="B176" s="9" t="s">
        <v>2301</v>
      </c>
      <c r="C176" s="10" t="s">
        <v>2302</v>
      </c>
      <c r="D176" s="9" t="s">
        <v>803</v>
      </c>
    </row>
    <row r="177" customFormat="false" ht="15" hidden="false" customHeight="false" outlineLevel="0" collapsed="false">
      <c r="A177" s="9" t="s">
        <v>2225</v>
      </c>
      <c r="B177" s="9" t="s">
        <v>2303</v>
      </c>
      <c r="C177" s="10" t="s">
        <v>2304</v>
      </c>
      <c r="D177" s="9" t="s">
        <v>803</v>
      </c>
    </row>
    <row r="178" customFormat="false" ht="15" hidden="false" customHeight="false" outlineLevel="0" collapsed="false">
      <c r="A178" s="9" t="s">
        <v>2225</v>
      </c>
      <c r="B178" s="9" t="s">
        <v>2305</v>
      </c>
      <c r="C178" s="10" t="s">
        <v>2306</v>
      </c>
      <c r="D178" s="9" t="s">
        <v>803</v>
      </c>
    </row>
    <row r="179" customFormat="false" ht="15" hidden="false" customHeight="false" outlineLevel="0" collapsed="false">
      <c r="A179" s="9" t="s">
        <v>2225</v>
      </c>
      <c r="B179" s="9" t="s">
        <v>2307</v>
      </c>
      <c r="C179" s="10" t="s">
        <v>2308</v>
      </c>
      <c r="D179" s="9" t="s">
        <v>86</v>
      </c>
    </row>
    <row r="180" customFormat="false" ht="15" hidden="false" customHeight="false" outlineLevel="0" collapsed="false">
      <c r="A180" s="9" t="s">
        <v>2225</v>
      </c>
      <c r="B180" s="9" t="s">
        <v>2309</v>
      </c>
      <c r="C180" s="10" t="s">
        <v>2310</v>
      </c>
      <c r="D180" s="9" t="s">
        <v>86</v>
      </c>
    </row>
    <row r="181" customFormat="false" ht="15" hidden="false" customHeight="false" outlineLevel="0" collapsed="false">
      <c r="A181" s="9" t="s">
        <v>2225</v>
      </c>
      <c r="B181" s="9" t="s">
        <v>2311</v>
      </c>
      <c r="C181" s="10" t="s">
        <v>2312</v>
      </c>
      <c r="D181" s="9" t="s">
        <v>86</v>
      </c>
    </row>
    <row r="182" customFormat="false" ht="15" hidden="false" customHeight="false" outlineLevel="0" collapsed="false">
      <c r="A182" s="9" t="s">
        <v>2225</v>
      </c>
      <c r="B182" s="9" t="s">
        <v>2313</v>
      </c>
      <c r="C182" s="10" t="s">
        <v>2314</v>
      </c>
      <c r="D182" s="9" t="s">
        <v>86</v>
      </c>
    </row>
    <row r="183" customFormat="false" ht="15" hidden="false" customHeight="false" outlineLevel="0" collapsed="false">
      <c r="A183" s="9" t="s">
        <v>2225</v>
      </c>
      <c r="B183" s="9" t="s">
        <v>2315</v>
      </c>
      <c r="C183" s="10" t="s">
        <v>2316</v>
      </c>
      <c r="D183" s="9" t="s">
        <v>86</v>
      </c>
    </row>
    <row r="184" customFormat="false" ht="15" hidden="false" customHeight="false" outlineLevel="0" collapsed="false">
      <c r="A184" s="9" t="s">
        <v>2225</v>
      </c>
      <c r="B184" s="9" t="s">
        <v>2317</v>
      </c>
      <c r="C184" s="10" t="s">
        <v>2318</v>
      </c>
      <c r="D184" s="9" t="s">
        <v>86</v>
      </c>
    </row>
    <row r="185" customFormat="false" ht="15" hidden="false" customHeight="false" outlineLevel="0" collapsed="false">
      <c r="A185" s="9" t="s">
        <v>2319</v>
      </c>
      <c r="B185" s="9" t="s">
        <v>2320</v>
      </c>
      <c r="C185" s="10" t="s">
        <v>2321</v>
      </c>
      <c r="D185" s="9" t="s">
        <v>86</v>
      </c>
    </row>
    <row r="186" customFormat="false" ht="15" hidden="false" customHeight="false" outlineLevel="0" collapsed="false">
      <c r="A186" s="9" t="s">
        <v>2225</v>
      </c>
      <c r="B186" s="9" t="s">
        <v>2322</v>
      </c>
      <c r="C186" s="10" t="s">
        <v>2323</v>
      </c>
      <c r="D186" s="9" t="s">
        <v>86</v>
      </c>
    </row>
    <row r="187" customFormat="false" ht="15" hidden="false" customHeight="false" outlineLevel="0" collapsed="false">
      <c r="A187" s="9" t="s">
        <v>2225</v>
      </c>
      <c r="B187" s="9" t="s">
        <v>2324</v>
      </c>
      <c r="C187" s="10" t="s">
        <v>2325</v>
      </c>
      <c r="D187" s="9" t="s">
        <v>86</v>
      </c>
    </row>
    <row r="188" customFormat="false" ht="15" hidden="false" customHeight="false" outlineLevel="0" collapsed="false">
      <c r="A188" s="9" t="s">
        <v>2225</v>
      </c>
      <c r="B188" s="9" t="s">
        <v>2326</v>
      </c>
      <c r="C188" s="10" t="s">
        <v>2327</v>
      </c>
      <c r="D188" s="9" t="s">
        <v>86</v>
      </c>
    </row>
    <row r="189" customFormat="false" ht="15" hidden="false" customHeight="false" outlineLevel="0" collapsed="false">
      <c r="A189" s="9" t="s">
        <v>2225</v>
      </c>
      <c r="B189" s="9" t="s">
        <v>2328</v>
      </c>
      <c r="C189" s="10" t="s">
        <v>2329</v>
      </c>
      <c r="D189" s="9" t="s">
        <v>86</v>
      </c>
    </row>
    <row r="190" customFormat="false" ht="15" hidden="false" customHeight="false" outlineLevel="0" collapsed="false">
      <c r="A190" s="9" t="s">
        <v>2225</v>
      </c>
      <c r="B190" s="9" t="s">
        <v>2330</v>
      </c>
      <c r="C190" s="10" t="s">
        <v>2331</v>
      </c>
      <c r="D190" s="9" t="s">
        <v>86</v>
      </c>
    </row>
    <row r="191" customFormat="false" ht="15" hidden="false" customHeight="false" outlineLevel="0" collapsed="false">
      <c r="A191" s="9" t="s">
        <v>2225</v>
      </c>
      <c r="B191" s="9" t="s">
        <v>2332</v>
      </c>
      <c r="C191" s="10" t="s">
        <v>2333</v>
      </c>
      <c r="D191" s="9" t="s">
        <v>2228</v>
      </c>
    </row>
    <row r="192" customFormat="false" ht="15" hidden="false" customHeight="false" outlineLevel="0" collapsed="false">
      <c r="A192" s="9" t="s">
        <v>2225</v>
      </c>
      <c r="B192" s="9" t="s">
        <v>2334</v>
      </c>
      <c r="C192" s="10" t="s">
        <v>2335</v>
      </c>
      <c r="D192" s="9" t="s">
        <v>2228</v>
      </c>
    </row>
    <row r="193" customFormat="false" ht="15" hidden="false" customHeight="false" outlineLevel="0" collapsed="false">
      <c r="A193" s="9" t="s">
        <v>2225</v>
      </c>
      <c r="B193" s="9" t="s">
        <v>2336</v>
      </c>
      <c r="C193" s="10" t="s">
        <v>2337</v>
      </c>
      <c r="D193" s="9" t="s">
        <v>1962</v>
      </c>
    </row>
    <row r="194" customFormat="false" ht="15" hidden="false" customHeight="false" outlineLevel="0" collapsed="false">
      <c r="A194" s="9" t="s">
        <v>2225</v>
      </c>
      <c r="B194" s="9" t="s">
        <v>2338</v>
      </c>
      <c r="C194" s="10" t="s">
        <v>2337</v>
      </c>
      <c r="D194" s="9" t="s">
        <v>1962</v>
      </c>
    </row>
    <row r="195" customFormat="false" ht="15" hidden="false" customHeight="false" outlineLevel="0" collapsed="false">
      <c r="A195" s="9" t="s">
        <v>2225</v>
      </c>
      <c r="B195" s="9" t="s">
        <v>2339</v>
      </c>
      <c r="C195" s="10" t="s">
        <v>2340</v>
      </c>
      <c r="D195" s="9" t="s">
        <v>2228</v>
      </c>
    </row>
    <row r="196" customFormat="false" ht="15" hidden="false" customHeight="false" outlineLevel="0" collapsed="false">
      <c r="A196" s="9" t="s">
        <v>2225</v>
      </c>
      <c r="B196" s="9" t="s">
        <v>2341</v>
      </c>
      <c r="C196" s="10" t="s">
        <v>2342</v>
      </c>
      <c r="D196" s="9" t="s">
        <v>2228</v>
      </c>
    </row>
    <row r="197" customFormat="false" ht="15" hidden="false" customHeight="false" outlineLevel="0" collapsed="false">
      <c r="A197" s="9" t="s">
        <v>2225</v>
      </c>
      <c r="B197" s="9" t="s">
        <v>2343</v>
      </c>
      <c r="C197" s="10" t="s">
        <v>2344</v>
      </c>
      <c r="D197" s="9" t="s">
        <v>539</v>
      </c>
    </row>
    <row r="198" customFormat="false" ht="15" hidden="false" customHeight="false" outlineLevel="0" collapsed="false">
      <c r="A198" s="9" t="s">
        <v>2225</v>
      </c>
      <c r="B198" s="9" t="s">
        <v>2345</v>
      </c>
      <c r="C198" s="10" t="s">
        <v>2346</v>
      </c>
      <c r="D198" s="9" t="s">
        <v>539</v>
      </c>
    </row>
    <row r="199" customFormat="false" ht="15" hidden="false" customHeight="false" outlineLevel="0" collapsed="false">
      <c r="A199" s="9" t="s">
        <v>2225</v>
      </c>
      <c r="B199" s="9" t="s">
        <v>2347</v>
      </c>
      <c r="C199" s="10" t="s">
        <v>2348</v>
      </c>
      <c r="D199" s="9" t="s">
        <v>1962</v>
      </c>
    </row>
    <row r="200" customFormat="false" ht="15" hidden="false" customHeight="false" outlineLevel="0" collapsed="false">
      <c r="A200" s="9" t="s">
        <v>2225</v>
      </c>
      <c r="B200" s="9" t="s">
        <v>2349</v>
      </c>
      <c r="C200" s="10" t="s">
        <v>2348</v>
      </c>
      <c r="D200" s="9" t="s">
        <v>1962</v>
      </c>
    </row>
    <row r="201" customFormat="false" ht="15" hidden="false" customHeight="false" outlineLevel="0" collapsed="false">
      <c r="A201" s="9" t="s">
        <v>2225</v>
      </c>
      <c r="B201" s="9" t="s">
        <v>2350</v>
      </c>
      <c r="C201" s="10" t="s">
        <v>2348</v>
      </c>
      <c r="D201" s="9" t="s">
        <v>1962</v>
      </c>
    </row>
    <row r="202" customFormat="false" ht="15" hidden="false" customHeight="false" outlineLevel="0" collapsed="false">
      <c r="A202" s="9" t="s">
        <v>2225</v>
      </c>
      <c r="B202" s="9" t="s">
        <v>2351</v>
      </c>
      <c r="C202" s="10" t="s">
        <v>2352</v>
      </c>
      <c r="D202" s="9" t="s">
        <v>1962</v>
      </c>
    </row>
    <row r="203" customFormat="false" ht="15" hidden="false" customHeight="false" outlineLevel="0" collapsed="false">
      <c r="A203" s="9" t="s">
        <v>2225</v>
      </c>
      <c r="B203" s="9" t="s">
        <v>2353</v>
      </c>
      <c r="C203" s="10" t="s">
        <v>2352</v>
      </c>
      <c r="D203" s="9" t="s">
        <v>1962</v>
      </c>
    </row>
    <row r="204" customFormat="false" ht="15" hidden="false" customHeight="false" outlineLevel="0" collapsed="false">
      <c r="A204" s="9" t="s">
        <v>2225</v>
      </c>
      <c r="B204" s="9" t="s">
        <v>2354</v>
      </c>
      <c r="C204" s="10" t="s">
        <v>2352</v>
      </c>
      <c r="D204" s="9" t="s">
        <v>1962</v>
      </c>
    </row>
    <row r="205" customFormat="false" ht="15" hidden="false" customHeight="false" outlineLevel="0" collapsed="false">
      <c r="A205" s="9" t="s">
        <v>2225</v>
      </c>
      <c r="B205" s="9" t="s">
        <v>2355</v>
      </c>
      <c r="C205" s="10" t="s">
        <v>2352</v>
      </c>
      <c r="D205" s="9" t="s">
        <v>1962</v>
      </c>
    </row>
    <row r="206" customFormat="false" ht="15" hidden="false" customHeight="false" outlineLevel="0" collapsed="false">
      <c r="A206" s="9" t="s">
        <v>2225</v>
      </c>
      <c r="B206" s="9" t="s">
        <v>2356</v>
      </c>
      <c r="C206" s="10" t="s">
        <v>2352</v>
      </c>
      <c r="D206" s="9" t="s">
        <v>1962</v>
      </c>
    </row>
    <row r="207" customFormat="false" ht="15" hidden="false" customHeight="false" outlineLevel="0" collapsed="false">
      <c r="A207" s="9" t="s">
        <v>2225</v>
      </c>
      <c r="B207" s="9" t="s">
        <v>2357</v>
      </c>
      <c r="C207" s="10" t="s">
        <v>2358</v>
      </c>
      <c r="D207" s="9" t="s">
        <v>1962</v>
      </c>
    </row>
    <row r="208" customFormat="false" ht="15" hidden="false" customHeight="false" outlineLevel="0" collapsed="false">
      <c r="A208" s="9" t="s">
        <v>2225</v>
      </c>
      <c r="B208" s="9" t="s">
        <v>2359</v>
      </c>
      <c r="C208" s="10" t="s">
        <v>2358</v>
      </c>
      <c r="D208" s="9" t="s">
        <v>1962</v>
      </c>
    </row>
    <row r="209" customFormat="false" ht="15" hidden="false" customHeight="false" outlineLevel="0" collapsed="false">
      <c r="A209" s="9" t="s">
        <v>2225</v>
      </c>
      <c r="B209" s="9" t="s">
        <v>2360</v>
      </c>
      <c r="C209" s="10" t="s">
        <v>2358</v>
      </c>
      <c r="D209" s="9" t="s">
        <v>1962</v>
      </c>
    </row>
    <row r="210" customFormat="false" ht="39.55" hidden="false" customHeight="false" outlineLevel="0" collapsed="false">
      <c r="A210" s="9" t="s">
        <v>2225</v>
      </c>
      <c r="B210" s="9" t="s">
        <v>2361</v>
      </c>
      <c r="C210" s="10" t="s">
        <v>2362</v>
      </c>
      <c r="D210" s="9" t="s">
        <v>539</v>
      </c>
    </row>
    <row r="211" customFormat="false" ht="15" hidden="false" customHeight="false" outlineLevel="0" collapsed="false">
      <c r="A211" s="9" t="s">
        <v>2225</v>
      </c>
      <c r="B211" s="9" t="s">
        <v>2363</v>
      </c>
      <c r="C211" s="10" t="s">
        <v>2364</v>
      </c>
      <c r="D211" s="9" t="s">
        <v>539</v>
      </c>
    </row>
    <row r="212" customFormat="false" ht="15" hidden="false" customHeight="false" outlineLevel="0" collapsed="false">
      <c r="A212" s="9" t="s">
        <v>2225</v>
      </c>
      <c r="B212" s="9" t="s">
        <v>2365</v>
      </c>
      <c r="C212" s="10" t="s">
        <v>2366</v>
      </c>
      <c r="D212" s="9" t="s">
        <v>539</v>
      </c>
    </row>
    <row r="213" customFormat="false" ht="15" hidden="false" customHeight="false" outlineLevel="0" collapsed="false">
      <c r="A213" s="9" t="s">
        <v>2225</v>
      </c>
      <c r="B213" s="9" t="s">
        <v>2367</v>
      </c>
      <c r="C213" s="10" t="s">
        <v>2368</v>
      </c>
      <c r="D213" s="9" t="s">
        <v>2037</v>
      </c>
    </row>
    <row r="214" customFormat="false" ht="15" hidden="false" customHeight="false" outlineLevel="0" collapsed="false">
      <c r="A214" s="9" t="s">
        <v>2225</v>
      </c>
      <c r="B214" s="9" t="s">
        <v>2369</v>
      </c>
      <c r="C214" s="10" t="s">
        <v>2370</v>
      </c>
      <c r="D214" s="9" t="s">
        <v>2037</v>
      </c>
    </row>
    <row r="215" customFormat="false" ht="15" hidden="false" customHeight="false" outlineLevel="0" collapsed="false">
      <c r="A215" s="9" t="s">
        <v>2225</v>
      </c>
      <c r="B215" s="9" t="s">
        <v>2371</v>
      </c>
      <c r="C215" s="10" t="s">
        <v>2372</v>
      </c>
      <c r="D215" s="9" t="s">
        <v>2037</v>
      </c>
    </row>
    <row r="216" customFormat="false" ht="15" hidden="false" customHeight="false" outlineLevel="0" collapsed="false">
      <c r="A216" s="9" t="s">
        <v>2225</v>
      </c>
      <c r="B216" s="9" t="s">
        <v>2373</v>
      </c>
      <c r="C216" s="10" t="s">
        <v>2374</v>
      </c>
      <c r="D216" s="9" t="s">
        <v>2037</v>
      </c>
    </row>
    <row r="217" customFormat="false" ht="15" hidden="false" customHeight="false" outlineLevel="0" collapsed="false">
      <c r="A217" s="9" t="s">
        <v>2225</v>
      </c>
      <c r="B217" s="9" t="s">
        <v>2375</v>
      </c>
      <c r="C217" s="10" t="s">
        <v>2376</v>
      </c>
      <c r="D217" s="9" t="s">
        <v>2037</v>
      </c>
    </row>
    <row r="218" customFormat="false" ht="15" hidden="false" customHeight="false" outlineLevel="0" collapsed="false">
      <c r="A218" s="9" t="s">
        <v>2225</v>
      </c>
      <c r="B218" s="9" t="s">
        <v>2377</v>
      </c>
      <c r="C218" s="10" t="s">
        <v>2378</v>
      </c>
      <c r="D218" s="9" t="s">
        <v>2037</v>
      </c>
    </row>
    <row r="219" customFormat="false" ht="15" hidden="false" customHeight="false" outlineLevel="0" collapsed="false">
      <c r="A219" s="9" t="s">
        <v>2225</v>
      </c>
      <c r="B219" s="9" t="s">
        <v>2379</v>
      </c>
      <c r="C219" s="10" t="s">
        <v>2380</v>
      </c>
      <c r="D219" s="9" t="s">
        <v>2037</v>
      </c>
    </row>
    <row r="220" customFormat="false" ht="15" hidden="false" customHeight="false" outlineLevel="0" collapsed="false">
      <c r="A220" s="9" t="s">
        <v>2225</v>
      </c>
      <c r="B220" s="9" t="s">
        <v>2381</v>
      </c>
      <c r="C220" s="10" t="s">
        <v>2382</v>
      </c>
      <c r="D220" s="9" t="s">
        <v>2037</v>
      </c>
    </row>
    <row r="221" customFormat="false" ht="15" hidden="false" customHeight="false" outlineLevel="0" collapsed="false">
      <c r="A221" s="9" t="s">
        <v>2225</v>
      </c>
      <c r="B221" s="9" t="s">
        <v>2383</v>
      </c>
      <c r="C221" s="10" t="s">
        <v>2384</v>
      </c>
      <c r="D221" s="9" t="s">
        <v>2037</v>
      </c>
    </row>
    <row r="222" customFormat="false" ht="15" hidden="false" customHeight="false" outlineLevel="0" collapsed="false">
      <c r="A222" s="9" t="s">
        <v>2225</v>
      </c>
      <c r="B222" s="9" t="s">
        <v>2385</v>
      </c>
      <c r="C222" s="10" t="s">
        <v>2386</v>
      </c>
      <c r="D222" s="9" t="s">
        <v>2037</v>
      </c>
    </row>
    <row r="223" customFormat="false" ht="15" hidden="false" customHeight="false" outlineLevel="0" collapsed="false">
      <c r="A223" s="9" t="s">
        <v>2225</v>
      </c>
      <c r="B223" s="9" t="s">
        <v>2387</v>
      </c>
      <c r="C223" s="10" t="s">
        <v>2388</v>
      </c>
      <c r="D223" s="9" t="s">
        <v>2037</v>
      </c>
    </row>
    <row r="224" customFormat="false" ht="15" hidden="false" customHeight="false" outlineLevel="0" collapsed="false">
      <c r="A224" s="9" t="s">
        <v>2225</v>
      </c>
      <c r="B224" s="9" t="s">
        <v>2389</v>
      </c>
      <c r="C224" s="10" t="s">
        <v>2390</v>
      </c>
      <c r="D224" s="9" t="s">
        <v>2037</v>
      </c>
    </row>
    <row r="225" customFormat="false" ht="15" hidden="false" customHeight="false" outlineLevel="0" collapsed="false">
      <c r="A225" s="9" t="s">
        <v>2225</v>
      </c>
      <c r="B225" s="9" t="s">
        <v>2391</v>
      </c>
      <c r="C225" s="10" t="s">
        <v>2392</v>
      </c>
      <c r="D225" s="9" t="s">
        <v>2037</v>
      </c>
    </row>
    <row r="226" customFormat="false" ht="15" hidden="false" customHeight="false" outlineLevel="0" collapsed="false">
      <c r="A226" s="9" t="s">
        <v>2225</v>
      </c>
      <c r="B226" s="9" t="s">
        <v>2393</v>
      </c>
      <c r="C226" s="10" t="s">
        <v>2394</v>
      </c>
      <c r="D226" s="9" t="s">
        <v>2037</v>
      </c>
    </row>
    <row r="227" customFormat="false" ht="15" hidden="false" customHeight="false" outlineLevel="0" collapsed="false">
      <c r="A227" s="9" t="s">
        <v>2225</v>
      </c>
      <c r="B227" s="9" t="s">
        <v>2395</v>
      </c>
      <c r="C227" s="10" t="s">
        <v>2396</v>
      </c>
      <c r="D227" s="9" t="s">
        <v>2037</v>
      </c>
    </row>
    <row r="228" customFormat="false" ht="15" hidden="false" customHeight="false" outlineLevel="0" collapsed="false">
      <c r="A228" s="9" t="s">
        <v>2225</v>
      </c>
      <c r="B228" s="9" t="s">
        <v>2397</v>
      </c>
      <c r="C228" s="10" t="s">
        <v>2398</v>
      </c>
      <c r="D228" s="9" t="s">
        <v>2037</v>
      </c>
    </row>
    <row r="229" customFormat="false" ht="15" hidden="false" customHeight="false" outlineLevel="0" collapsed="false">
      <c r="A229" s="9" t="s">
        <v>2225</v>
      </c>
      <c r="B229" s="9" t="s">
        <v>2399</v>
      </c>
      <c r="C229" s="10" t="s">
        <v>2400</v>
      </c>
      <c r="D229" s="9" t="s">
        <v>2037</v>
      </c>
    </row>
    <row r="230" customFormat="false" ht="15" hidden="false" customHeight="false" outlineLevel="0" collapsed="false">
      <c r="A230" s="9" t="s">
        <v>2225</v>
      </c>
      <c r="B230" s="9" t="s">
        <v>2401</v>
      </c>
      <c r="C230" s="10" t="s">
        <v>2402</v>
      </c>
      <c r="D230" s="9" t="s">
        <v>2037</v>
      </c>
    </row>
    <row r="231" customFormat="false" ht="15" hidden="false" customHeight="false" outlineLevel="0" collapsed="false">
      <c r="A231" s="9" t="s">
        <v>2225</v>
      </c>
      <c r="B231" s="9" t="s">
        <v>2403</v>
      </c>
      <c r="C231" s="10" t="s">
        <v>2404</v>
      </c>
      <c r="D231" s="9" t="s">
        <v>2037</v>
      </c>
    </row>
    <row r="232" customFormat="false" ht="15" hidden="false" customHeight="false" outlineLevel="0" collapsed="false">
      <c r="A232" s="9" t="s">
        <v>2225</v>
      </c>
      <c r="B232" s="9" t="s">
        <v>2405</v>
      </c>
      <c r="C232" s="10" t="s">
        <v>2406</v>
      </c>
      <c r="D232" s="9" t="s">
        <v>2037</v>
      </c>
    </row>
    <row r="233" customFormat="false" ht="15" hidden="false" customHeight="false" outlineLevel="0" collapsed="false">
      <c r="A233" s="9" t="s">
        <v>2225</v>
      </c>
      <c r="B233" s="9" t="s">
        <v>2407</v>
      </c>
      <c r="C233" s="10" t="s">
        <v>2408</v>
      </c>
      <c r="D233" s="9" t="s">
        <v>2037</v>
      </c>
    </row>
    <row r="234" customFormat="false" ht="15" hidden="false" customHeight="false" outlineLevel="0" collapsed="false">
      <c r="A234" s="9" t="s">
        <v>2225</v>
      </c>
      <c r="B234" s="9" t="s">
        <v>2409</v>
      </c>
      <c r="C234" s="10" t="s">
        <v>2410</v>
      </c>
      <c r="D234" s="9" t="s">
        <v>2037</v>
      </c>
    </row>
    <row r="235" customFormat="false" ht="15" hidden="false" customHeight="false" outlineLevel="0" collapsed="false">
      <c r="A235" s="9" t="s">
        <v>2225</v>
      </c>
      <c r="B235" s="9" t="s">
        <v>2411</v>
      </c>
      <c r="C235" s="10" t="s">
        <v>2412</v>
      </c>
      <c r="D235" s="9" t="s">
        <v>2037</v>
      </c>
    </row>
    <row r="236" customFormat="false" ht="15" hidden="false" customHeight="false" outlineLevel="0" collapsed="false">
      <c r="A236" s="9" t="s">
        <v>2225</v>
      </c>
      <c r="B236" s="9" t="s">
        <v>2413</v>
      </c>
      <c r="C236" s="10" t="s">
        <v>2414</v>
      </c>
      <c r="D236" s="9" t="s">
        <v>2037</v>
      </c>
    </row>
    <row r="237" customFormat="false" ht="15" hidden="false" customHeight="false" outlineLevel="0" collapsed="false">
      <c r="A237" s="9" t="s">
        <v>2225</v>
      </c>
      <c r="B237" s="9" t="s">
        <v>2415</v>
      </c>
      <c r="C237" s="10" t="s">
        <v>2416</v>
      </c>
      <c r="D237" s="9" t="s">
        <v>2037</v>
      </c>
    </row>
    <row r="238" customFormat="false" ht="15" hidden="false" customHeight="false" outlineLevel="0" collapsed="false">
      <c r="A238" s="9" t="s">
        <v>2225</v>
      </c>
      <c r="B238" s="9" t="s">
        <v>2417</v>
      </c>
      <c r="C238" s="10" t="s">
        <v>2418</v>
      </c>
      <c r="D238" s="9" t="s">
        <v>2037</v>
      </c>
    </row>
    <row r="239" customFormat="false" ht="15" hidden="false" customHeight="false" outlineLevel="0" collapsed="false">
      <c r="A239" s="9" t="s">
        <v>2225</v>
      </c>
      <c r="B239" s="9" t="s">
        <v>2419</v>
      </c>
      <c r="C239" s="10" t="s">
        <v>2420</v>
      </c>
      <c r="D239" s="9" t="s">
        <v>2037</v>
      </c>
    </row>
    <row r="240" customFormat="false" ht="15" hidden="false" customHeight="false" outlineLevel="0" collapsed="false">
      <c r="A240" s="9" t="s">
        <v>2225</v>
      </c>
      <c r="B240" s="9" t="s">
        <v>2421</v>
      </c>
      <c r="C240" s="10" t="s">
        <v>2422</v>
      </c>
      <c r="D240" s="9" t="s">
        <v>1962</v>
      </c>
    </row>
    <row r="241" customFormat="false" ht="26.85" hidden="false" customHeight="false" outlineLevel="0" collapsed="false">
      <c r="A241" s="9" t="s">
        <v>2225</v>
      </c>
      <c r="B241" s="9" t="s">
        <v>2423</v>
      </c>
      <c r="C241" s="10" t="s">
        <v>2424</v>
      </c>
      <c r="D241" s="9" t="s">
        <v>2037</v>
      </c>
    </row>
    <row r="242" customFormat="false" ht="15" hidden="false" customHeight="false" outlineLevel="0" collapsed="false">
      <c r="A242" s="9" t="s">
        <v>2225</v>
      </c>
      <c r="B242" s="9" t="s">
        <v>2425</v>
      </c>
      <c r="C242" s="10" t="s">
        <v>2426</v>
      </c>
      <c r="D242" s="9" t="s">
        <v>2037</v>
      </c>
    </row>
    <row r="243" customFormat="false" ht="15" hidden="false" customHeight="false" outlineLevel="0" collapsed="false">
      <c r="A243" s="9" t="s">
        <v>2225</v>
      </c>
      <c r="B243" s="9" t="s">
        <v>2427</v>
      </c>
      <c r="C243" s="10" t="s">
        <v>2428</v>
      </c>
      <c r="D243" s="9" t="s">
        <v>2037</v>
      </c>
    </row>
    <row r="244" customFormat="false" ht="15" hidden="false" customHeight="false" outlineLevel="0" collapsed="false">
      <c r="A244" s="9" t="s">
        <v>2225</v>
      </c>
      <c r="B244" s="9" t="s">
        <v>2429</v>
      </c>
      <c r="C244" s="10" t="s">
        <v>2430</v>
      </c>
      <c r="D244" s="9" t="s">
        <v>2037</v>
      </c>
    </row>
    <row r="245" customFormat="false" ht="15" hidden="false" customHeight="false" outlineLevel="0" collapsed="false">
      <c r="A245" s="9" t="s">
        <v>2431</v>
      </c>
      <c r="B245" s="9" t="s">
        <v>2432</v>
      </c>
      <c r="C245" s="10" t="s">
        <v>2433</v>
      </c>
      <c r="D245" s="9" t="s">
        <v>2037</v>
      </c>
    </row>
    <row r="246" customFormat="false" ht="15" hidden="false" customHeight="false" outlineLevel="0" collapsed="false">
      <c r="A246" s="9" t="s">
        <v>2431</v>
      </c>
      <c r="B246" s="9" t="s">
        <v>2434</v>
      </c>
      <c r="C246" s="10" t="s">
        <v>2435</v>
      </c>
      <c r="D246" s="9" t="s">
        <v>2037</v>
      </c>
    </row>
    <row r="247" customFormat="false" ht="15" hidden="false" customHeight="false" outlineLevel="0" collapsed="false">
      <c r="A247" s="9" t="s">
        <v>2431</v>
      </c>
      <c r="B247" s="9" t="s">
        <v>2436</v>
      </c>
      <c r="C247" s="10" t="s">
        <v>2437</v>
      </c>
      <c r="D247" s="9" t="s">
        <v>2037</v>
      </c>
    </row>
    <row r="248" customFormat="false" ht="15" hidden="false" customHeight="false" outlineLevel="0" collapsed="false">
      <c r="A248" s="9" t="s">
        <v>2431</v>
      </c>
      <c r="B248" s="9" t="s">
        <v>2438</v>
      </c>
      <c r="C248" s="10" t="s">
        <v>2439</v>
      </c>
      <c r="D248" s="9" t="s">
        <v>2037</v>
      </c>
    </row>
    <row r="249" customFormat="false" ht="15" hidden="false" customHeight="false" outlineLevel="0" collapsed="false">
      <c r="A249" s="9" t="s">
        <v>2431</v>
      </c>
      <c r="B249" s="9" t="s">
        <v>2440</v>
      </c>
      <c r="C249" s="10" t="s">
        <v>2441</v>
      </c>
      <c r="D249" s="9" t="s">
        <v>2037</v>
      </c>
    </row>
    <row r="250" customFormat="false" ht="15" hidden="false" customHeight="false" outlineLevel="0" collapsed="false">
      <c r="A250" s="9" t="s">
        <v>2225</v>
      </c>
      <c r="B250" s="9" t="s">
        <v>2442</v>
      </c>
      <c r="C250" s="10" t="s">
        <v>2443</v>
      </c>
      <c r="D250" s="9" t="s">
        <v>961</v>
      </c>
    </row>
    <row r="251" customFormat="false" ht="15" hidden="false" customHeight="false" outlineLevel="0" collapsed="false">
      <c r="A251" s="9" t="s">
        <v>2225</v>
      </c>
      <c r="B251" s="9" t="s">
        <v>2444</v>
      </c>
      <c r="C251" s="10" t="s">
        <v>2445</v>
      </c>
      <c r="D251" s="9" t="s">
        <v>961</v>
      </c>
    </row>
    <row r="252" customFormat="false" ht="15" hidden="false" customHeight="false" outlineLevel="0" collapsed="false">
      <c r="A252" s="9" t="s">
        <v>2225</v>
      </c>
      <c r="B252" s="9" t="s">
        <v>2446</v>
      </c>
      <c r="C252" s="10" t="s">
        <v>2447</v>
      </c>
      <c r="D252" s="9" t="s">
        <v>961</v>
      </c>
    </row>
    <row r="253" customFormat="false" ht="15" hidden="false" customHeight="false" outlineLevel="0" collapsed="false">
      <c r="A253" s="9" t="s">
        <v>2225</v>
      </c>
      <c r="B253" s="9" t="s">
        <v>2448</v>
      </c>
      <c r="C253" s="10" t="s">
        <v>2449</v>
      </c>
      <c r="D253" s="9" t="s">
        <v>961</v>
      </c>
    </row>
    <row r="254" customFormat="false" ht="15" hidden="false" customHeight="false" outlineLevel="0" collapsed="false">
      <c r="A254" s="9" t="s">
        <v>2225</v>
      </c>
      <c r="B254" s="9" t="s">
        <v>2450</v>
      </c>
      <c r="C254" s="10" t="s">
        <v>2451</v>
      </c>
      <c r="D254" s="9" t="s">
        <v>961</v>
      </c>
    </row>
    <row r="255" customFormat="false" ht="15" hidden="false" customHeight="false" outlineLevel="0" collapsed="false">
      <c r="A255" s="9" t="s">
        <v>2225</v>
      </c>
      <c r="B255" s="9" t="s">
        <v>2452</v>
      </c>
      <c r="C255" s="10" t="s">
        <v>2453</v>
      </c>
      <c r="D255" s="9" t="s">
        <v>961</v>
      </c>
    </row>
    <row r="256" customFormat="false" ht="15" hidden="false" customHeight="false" outlineLevel="0" collapsed="false">
      <c r="A256" s="9" t="s">
        <v>2225</v>
      </c>
      <c r="B256" s="9" t="s">
        <v>2454</v>
      </c>
      <c r="C256" s="10" t="s">
        <v>2455</v>
      </c>
      <c r="D256" s="9" t="s">
        <v>961</v>
      </c>
    </row>
    <row r="257" customFormat="false" ht="15" hidden="false" customHeight="false" outlineLevel="0" collapsed="false">
      <c r="A257" s="9" t="s">
        <v>2225</v>
      </c>
      <c r="B257" s="9" t="s">
        <v>2456</v>
      </c>
      <c r="C257" s="10" t="s">
        <v>2457</v>
      </c>
      <c r="D257" s="9" t="s">
        <v>961</v>
      </c>
    </row>
    <row r="258" customFormat="false" ht="15" hidden="false" customHeight="false" outlineLevel="0" collapsed="false">
      <c r="A258" s="9" t="s">
        <v>2225</v>
      </c>
      <c r="B258" s="9" t="s">
        <v>2458</v>
      </c>
      <c r="C258" s="10" t="s">
        <v>2459</v>
      </c>
      <c r="D258" s="9" t="s">
        <v>961</v>
      </c>
    </row>
    <row r="259" customFormat="false" ht="15" hidden="false" customHeight="false" outlineLevel="0" collapsed="false">
      <c r="A259" s="9" t="s">
        <v>2225</v>
      </c>
      <c r="B259" s="9" t="s">
        <v>2460</v>
      </c>
      <c r="C259" s="10" t="s">
        <v>2461</v>
      </c>
      <c r="D259" s="9" t="s">
        <v>961</v>
      </c>
    </row>
    <row r="260" customFormat="false" ht="15" hidden="false" customHeight="false" outlineLevel="0" collapsed="false">
      <c r="A260" s="9" t="s">
        <v>2225</v>
      </c>
      <c r="B260" s="9" t="s">
        <v>2462</v>
      </c>
      <c r="C260" s="10" t="s">
        <v>2463</v>
      </c>
      <c r="D260" s="9" t="s">
        <v>961</v>
      </c>
    </row>
    <row r="261" customFormat="false" ht="15" hidden="false" customHeight="false" outlineLevel="0" collapsed="false">
      <c r="A261" s="9" t="s">
        <v>2225</v>
      </c>
      <c r="B261" s="9" t="s">
        <v>2464</v>
      </c>
      <c r="C261" s="10" t="s">
        <v>2465</v>
      </c>
      <c r="D261" s="9" t="s">
        <v>961</v>
      </c>
    </row>
    <row r="262" customFormat="false" ht="15" hidden="false" customHeight="false" outlineLevel="0" collapsed="false">
      <c r="A262" s="9" t="s">
        <v>2225</v>
      </c>
      <c r="B262" s="9" t="s">
        <v>2466</v>
      </c>
      <c r="C262" s="10" t="s">
        <v>2467</v>
      </c>
      <c r="D262" s="9" t="s">
        <v>961</v>
      </c>
    </row>
    <row r="263" customFormat="false" ht="15" hidden="false" customHeight="false" outlineLevel="0" collapsed="false">
      <c r="A263" s="9" t="s">
        <v>2225</v>
      </c>
      <c r="B263" s="9" t="s">
        <v>2468</v>
      </c>
      <c r="C263" s="10" t="s">
        <v>2469</v>
      </c>
      <c r="D263" s="9" t="s">
        <v>961</v>
      </c>
    </row>
    <row r="264" customFormat="false" ht="15" hidden="false" customHeight="false" outlineLevel="0" collapsed="false">
      <c r="A264" s="9" t="s">
        <v>2225</v>
      </c>
      <c r="B264" s="9" t="s">
        <v>2470</v>
      </c>
      <c r="C264" s="10" t="s">
        <v>2471</v>
      </c>
      <c r="D264" s="9" t="s">
        <v>961</v>
      </c>
    </row>
    <row r="265" customFormat="false" ht="15" hidden="false" customHeight="false" outlineLevel="0" collapsed="false">
      <c r="A265" s="9" t="s">
        <v>2225</v>
      </c>
      <c r="B265" s="9" t="s">
        <v>2472</v>
      </c>
      <c r="C265" s="10" t="s">
        <v>2473</v>
      </c>
      <c r="D265" s="9" t="s">
        <v>961</v>
      </c>
    </row>
    <row r="266" customFormat="false" ht="15" hidden="false" customHeight="false" outlineLevel="0" collapsed="false">
      <c r="A266" s="9" t="s">
        <v>2225</v>
      </c>
      <c r="B266" s="9" t="s">
        <v>2474</v>
      </c>
      <c r="C266" s="10" t="s">
        <v>2475</v>
      </c>
      <c r="D266" s="9" t="s">
        <v>961</v>
      </c>
    </row>
    <row r="267" customFormat="false" ht="15" hidden="false" customHeight="false" outlineLevel="0" collapsed="false">
      <c r="A267" s="9" t="s">
        <v>2225</v>
      </c>
      <c r="B267" s="9" t="s">
        <v>2476</v>
      </c>
      <c r="C267" s="10" t="s">
        <v>2477</v>
      </c>
      <c r="D267" s="9" t="s">
        <v>961</v>
      </c>
    </row>
    <row r="268" customFormat="false" ht="15" hidden="false" customHeight="false" outlineLevel="0" collapsed="false">
      <c r="A268" s="9" t="s">
        <v>2225</v>
      </c>
      <c r="B268" s="9" t="s">
        <v>2478</v>
      </c>
      <c r="C268" s="10" t="s">
        <v>2479</v>
      </c>
      <c r="D268" s="9" t="s">
        <v>961</v>
      </c>
    </row>
    <row r="269" customFormat="false" ht="15" hidden="false" customHeight="false" outlineLevel="0" collapsed="false">
      <c r="A269" s="9" t="s">
        <v>2225</v>
      </c>
      <c r="B269" s="9" t="s">
        <v>2480</v>
      </c>
      <c r="C269" s="10" t="s">
        <v>2481</v>
      </c>
      <c r="D269" s="9" t="s">
        <v>961</v>
      </c>
    </row>
    <row r="270" customFormat="false" ht="15" hidden="false" customHeight="false" outlineLevel="0" collapsed="false">
      <c r="A270" s="9" t="s">
        <v>2225</v>
      </c>
      <c r="B270" s="9" t="s">
        <v>2482</v>
      </c>
      <c r="C270" s="10" t="s">
        <v>2483</v>
      </c>
      <c r="D270" s="9" t="s">
        <v>961</v>
      </c>
    </row>
    <row r="271" customFormat="false" ht="15" hidden="false" customHeight="false" outlineLevel="0" collapsed="false">
      <c r="A271" s="9" t="s">
        <v>2225</v>
      </c>
      <c r="B271" s="9" t="s">
        <v>2484</v>
      </c>
      <c r="C271" s="10" t="s">
        <v>2485</v>
      </c>
      <c r="D271" s="9" t="s">
        <v>961</v>
      </c>
    </row>
    <row r="272" customFormat="false" ht="15" hidden="false" customHeight="false" outlineLevel="0" collapsed="false">
      <c r="A272" s="9" t="s">
        <v>2225</v>
      </c>
      <c r="B272" s="9" t="s">
        <v>2486</v>
      </c>
      <c r="C272" s="10" t="s">
        <v>2487</v>
      </c>
      <c r="D272" s="9" t="s">
        <v>1171</v>
      </c>
    </row>
    <row r="273" customFormat="false" ht="15" hidden="false" customHeight="false" outlineLevel="0" collapsed="false">
      <c r="A273" s="9" t="s">
        <v>2225</v>
      </c>
      <c r="B273" s="9" t="s">
        <v>2488</v>
      </c>
      <c r="C273" s="10" t="s">
        <v>2489</v>
      </c>
      <c r="D273" s="9" t="s">
        <v>1171</v>
      </c>
    </row>
    <row r="274" customFormat="false" ht="15" hidden="false" customHeight="false" outlineLevel="0" collapsed="false">
      <c r="A274" s="9" t="s">
        <v>2225</v>
      </c>
      <c r="B274" s="9" t="s">
        <v>2490</v>
      </c>
      <c r="C274" s="10" t="s">
        <v>2491</v>
      </c>
      <c r="D274" s="9" t="s">
        <v>1171</v>
      </c>
    </row>
    <row r="275" customFormat="false" ht="15" hidden="false" customHeight="false" outlineLevel="0" collapsed="false">
      <c r="A275" s="9" t="s">
        <v>2225</v>
      </c>
      <c r="B275" s="9" t="s">
        <v>2492</v>
      </c>
      <c r="C275" s="10" t="s">
        <v>2493</v>
      </c>
      <c r="D275" s="9" t="s">
        <v>1171</v>
      </c>
    </row>
    <row r="276" customFormat="false" ht="15" hidden="false" customHeight="false" outlineLevel="0" collapsed="false">
      <c r="A276" s="9" t="s">
        <v>2225</v>
      </c>
      <c r="B276" s="9" t="s">
        <v>2494</v>
      </c>
      <c r="C276" s="10" t="s">
        <v>2495</v>
      </c>
      <c r="D276" s="9" t="s">
        <v>961</v>
      </c>
    </row>
    <row r="277" customFormat="false" ht="15" hidden="false" customHeight="false" outlineLevel="0" collapsed="false">
      <c r="A277" s="9" t="s">
        <v>2225</v>
      </c>
      <c r="B277" s="9" t="s">
        <v>2496</v>
      </c>
      <c r="C277" s="10" t="s">
        <v>2497</v>
      </c>
      <c r="D277" s="9" t="s">
        <v>1281</v>
      </c>
    </row>
    <row r="278" customFormat="false" ht="15" hidden="false" customHeight="false" outlineLevel="0" collapsed="false">
      <c r="A278" s="9" t="s">
        <v>2225</v>
      </c>
      <c r="B278" s="9" t="s">
        <v>2498</v>
      </c>
      <c r="C278" s="10" t="s">
        <v>2499</v>
      </c>
      <c r="D278" s="9" t="s">
        <v>1281</v>
      </c>
    </row>
    <row r="279" customFormat="false" ht="15" hidden="false" customHeight="false" outlineLevel="0" collapsed="false">
      <c r="A279" s="9" t="s">
        <v>2225</v>
      </c>
      <c r="B279" s="9" t="s">
        <v>2500</v>
      </c>
      <c r="C279" s="10" t="s">
        <v>2501</v>
      </c>
      <c r="D279" s="9" t="s">
        <v>1281</v>
      </c>
    </row>
    <row r="280" customFormat="false" ht="15" hidden="false" customHeight="false" outlineLevel="0" collapsed="false">
      <c r="A280" s="9" t="s">
        <v>2225</v>
      </c>
      <c r="B280" s="9" t="s">
        <v>2502</v>
      </c>
      <c r="C280" s="10" t="s">
        <v>2503</v>
      </c>
      <c r="D280" s="9" t="s">
        <v>539</v>
      </c>
    </row>
    <row r="281" customFormat="false" ht="15" hidden="false" customHeight="false" outlineLevel="0" collapsed="false">
      <c r="A281" s="9" t="s">
        <v>2225</v>
      </c>
      <c r="B281" s="9" t="s">
        <v>2504</v>
      </c>
      <c r="C281" s="10" t="s">
        <v>2505</v>
      </c>
      <c r="D281" s="9" t="s">
        <v>1281</v>
      </c>
    </row>
    <row r="282" customFormat="false" ht="15" hidden="false" customHeight="false" outlineLevel="0" collapsed="false">
      <c r="A282" s="9" t="s">
        <v>2225</v>
      </c>
      <c r="B282" s="9" t="s">
        <v>2506</v>
      </c>
      <c r="C282" s="10" t="s">
        <v>2507</v>
      </c>
      <c r="D282" s="9" t="s">
        <v>1281</v>
      </c>
    </row>
    <row r="283" customFormat="false" ht="15" hidden="false" customHeight="false" outlineLevel="0" collapsed="false">
      <c r="A283" s="9" t="s">
        <v>2225</v>
      </c>
      <c r="B283" s="9" t="s">
        <v>2508</v>
      </c>
      <c r="C283" s="10" t="s">
        <v>2509</v>
      </c>
      <c r="D283" s="9" t="s">
        <v>1281</v>
      </c>
    </row>
    <row r="284" customFormat="false" ht="15" hidden="false" customHeight="false" outlineLevel="0" collapsed="false">
      <c r="A284" s="9" t="s">
        <v>2225</v>
      </c>
      <c r="B284" s="9" t="s">
        <v>2510</v>
      </c>
      <c r="C284" s="10" t="s">
        <v>2511</v>
      </c>
      <c r="D284" s="9" t="s">
        <v>1281</v>
      </c>
    </row>
    <row r="285" customFormat="false" ht="15" hidden="false" customHeight="false" outlineLevel="0" collapsed="false">
      <c r="A285" s="9" t="s">
        <v>2225</v>
      </c>
      <c r="B285" s="9" t="s">
        <v>2512</v>
      </c>
      <c r="C285" s="10" t="s">
        <v>2513</v>
      </c>
      <c r="D285" s="9" t="s">
        <v>1281</v>
      </c>
    </row>
    <row r="286" customFormat="false" ht="15" hidden="false" customHeight="false" outlineLevel="0" collapsed="false">
      <c r="A286" s="9" t="s">
        <v>2225</v>
      </c>
      <c r="B286" s="9" t="s">
        <v>2514</v>
      </c>
      <c r="C286" s="10" t="s">
        <v>2515</v>
      </c>
      <c r="D286" s="9" t="s">
        <v>1281</v>
      </c>
    </row>
    <row r="287" customFormat="false" ht="15" hidden="false" customHeight="false" outlineLevel="0" collapsed="false">
      <c r="A287" s="9" t="s">
        <v>2225</v>
      </c>
      <c r="B287" s="9" t="s">
        <v>2516</v>
      </c>
      <c r="C287" s="10" t="s">
        <v>2517</v>
      </c>
      <c r="D287" s="9" t="s">
        <v>1281</v>
      </c>
    </row>
    <row r="288" customFormat="false" ht="15" hidden="false" customHeight="false" outlineLevel="0" collapsed="false">
      <c r="A288" s="9" t="s">
        <v>2225</v>
      </c>
      <c r="B288" s="9" t="s">
        <v>2518</v>
      </c>
      <c r="C288" s="10" t="s">
        <v>2519</v>
      </c>
      <c r="D288" s="9" t="s">
        <v>1281</v>
      </c>
    </row>
    <row r="289" customFormat="false" ht="15" hidden="false" customHeight="false" outlineLevel="0" collapsed="false">
      <c r="A289" s="9" t="s">
        <v>2225</v>
      </c>
      <c r="B289" s="9" t="s">
        <v>2520</v>
      </c>
      <c r="C289" s="10" t="s">
        <v>2521</v>
      </c>
      <c r="D289" s="9" t="s">
        <v>1281</v>
      </c>
    </row>
    <row r="290" customFormat="false" ht="15" hidden="false" customHeight="false" outlineLevel="0" collapsed="false">
      <c r="A290" s="9" t="s">
        <v>2225</v>
      </c>
      <c r="B290" s="9" t="s">
        <v>2522</v>
      </c>
      <c r="C290" s="10" t="s">
        <v>2523</v>
      </c>
      <c r="D290" s="9" t="s">
        <v>1281</v>
      </c>
    </row>
    <row r="291" customFormat="false" ht="15" hidden="false" customHeight="false" outlineLevel="0" collapsed="false">
      <c r="A291" s="9" t="s">
        <v>2225</v>
      </c>
      <c r="B291" s="9" t="s">
        <v>2524</v>
      </c>
      <c r="C291" s="10" t="s">
        <v>2525</v>
      </c>
      <c r="D291" s="9" t="s">
        <v>1281</v>
      </c>
    </row>
    <row r="292" customFormat="false" ht="15" hidden="false" customHeight="false" outlineLevel="0" collapsed="false">
      <c r="A292" s="9" t="s">
        <v>2225</v>
      </c>
      <c r="B292" s="9" t="s">
        <v>2526</v>
      </c>
      <c r="C292" s="10" t="s">
        <v>2527</v>
      </c>
      <c r="D292" s="9" t="s">
        <v>1281</v>
      </c>
    </row>
    <row r="293" customFormat="false" ht="15" hidden="false" customHeight="false" outlineLevel="0" collapsed="false">
      <c r="A293" s="9" t="s">
        <v>2225</v>
      </c>
      <c r="B293" s="9" t="s">
        <v>2528</v>
      </c>
      <c r="C293" s="10" t="s">
        <v>2529</v>
      </c>
      <c r="D293" s="9" t="s">
        <v>1281</v>
      </c>
    </row>
    <row r="294" customFormat="false" ht="15" hidden="false" customHeight="false" outlineLevel="0" collapsed="false">
      <c r="A294" s="9" t="s">
        <v>2225</v>
      </c>
      <c r="B294" s="9" t="s">
        <v>2530</v>
      </c>
      <c r="C294" s="10" t="s">
        <v>2531</v>
      </c>
      <c r="D294" s="9" t="s">
        <v>1281</v>
      </c>
    </row>
    <row r="295" customFormat="false" ht="15" hidden="false" customHeight="false" outlineLevel="0" collapsed="false">
      <c r="A295" s="9" t="s">
        <v>2225</v>
      </c>
      <c r="B295" s="9" t="s">
        <v>2532</v>
      </c>
      <c r="C295" s="10" t="s">
        <v>2533</v>
      </c>
      <c r="D295" s="9" t="s">
        <v>2026</v>
      </c>
    </row>
    <row r="296" customFormat="false" ht="15" hidden="false" customHeight="false" outlineLevel="0" collapsed="false">
      <c r="A296" s="9" t="s">
        <v>2225</v>
      </c>
      <c r="B296" s="9" t="s">
        <v>2534</v>
      </c>
      <c r="C296" s="10" t="s">
        <v>2535</v>
      </c>
      <c r="D296" s="9" t="s">
        <v>2026</v>
      </c>
    </row>
    <row r="297" customFormat="false" ht="15" hidden="false" customHeight="false" outlineLevel="0" collapsed="false">
      <c r="A297" s="9" t="s">
        <v>2225</v>
      </c>
      <c r="B297" s="9" t="s">
        <v>2536</v>
      </c>
      <c r="C297" s="10" t="s">
        <v>2537</v>
      </c>
      <c r="D297" s="9" t="s">
        <v>2026</v>
      </c>
    </row>
    <row r="298" customFormat="false" ht="15" hidden="false" customHeight="false" outlineLevel="0" collapsed="false">
      <c r="A298" s="9" t="s">
        <v>2225</v>
      </c>
      <c r="B298" s="9" t="s">
        <v>2538</v>
      </c>
      <c r="C298" s="10" t="s">
        <v>2539</v>
      </c>
      <c r="D298" s="9" t="s">
        <v>2026</v>
      </c>
    </row>
    <row r="299" customFormat="false" ht="15" hidden="false" customHeight="false" outlineLevel="0" collapsed="false">
      <c r="A299" s="9" t="s">
        <v>2225</v>
      </c>
      <c r="B299" s="9" t="s">
        <v>2540</v>
      </c>
      <c r="C299" s="10" t="s">
        <v>2541</v>
      </c>
      <c r="D299" s="9" t="s">
        <v>2026</v>
      </c>
    </row>
    <row r="300" customFormat="false" ht="15" hidden="false" customHeight="false" outlineLevel="0" collapsed="false">
      <c r="A300" s="9" t="s">
        <v>2225</v>
      </c>
      <c r="B300" s="9" t="s">
        <v>2542</v>
      </c>
      <c r="C300" s="10" t="s">
        <v>2543</v>
      </c>
      <c r="D300" s="9" t="s">
        <v>2026</v>
      </c>
    </row>
    <row r="301" customFormat="false" ht="15" hidden="false" customHeight="false" outlineLevel="0" collapsed="false">
      <c r="A301" s="9" t="s">
        <v>2225</v>
      </c>
      <c r="B301" s="9" t="s">
        <v>2544</v>
      </c>
      <c r="C301" s="10" t="s">
        <v>2545</v>
      </c>
      <c r="D301" s="9" t="s">
        <v>2026</v>
      </c>
    </row>
    <row r="302" customFormat="false" ht="25.35" hidden="false" customHeight="false" outlineLevel="0" collapsed="false">
      <c r="A302" s="9" t="s">
        <v>2546</v>
      </c>
      <c r="B302" s="9" t="s">
        <v>2547</v>
      </c>
      <c r="C302" s="10" t="s">
        <v>2548</v>
      </c>
      <c r="D302" s="9" t="s">
        <v>961</v>
      </c>
    </row>
    <row r="303" customFormat="false" ht="25.35" hidden="false" customHeight="false" outlineLevel="0" collapsed="false">
      <c r="A303" s="9" t="s">
        <v>2546</v>
      </c>
      <c r="B303" s="9" t="s">
        <v>2549</v>
      </c>
      <c r="C303" s="10" t="s">
        <v>2550</v>
      </c>
      <c r="D303" s="9" t="s">
        <v>46</v>
      </c>
    </row>
    <row r="304" customFormat="false" ht="25.35" hidden="false" customHeight="false" outlineLevel="0" collapsed="false">
      <c r="A304" s="9" t="s">
        <v>2546</v>
      </c>
      <c r="B304" s="9" t="s">
        <v>2551</v>
      </c>
      <c r="C304" s="10" t="s">
        <v>2552</v>
      </c>
      <c r="D304" s="9" t="s">
        <v>191</v>
      </c>
    </row>
    <row r="305" customFormat="false" ht="25.35" hidden="false" customHeight="false" outlineLevel="0" collapsed="false">
      <c r="A305" s="9" t="s">
        <v>2546</v>
      </c>
      <c r="B305" s="9" t="s">
        <v>2553</v>
      </c>
      <c r="C305" s="10" t="s">
        <v>2554</v>
      </c>
      <c r="D305" s="9" t="s">
        <v>2026</v>
      </c>
    </row>
    <row r="306" customFormat="false" ht="25.35" hidden="false" customHeight="false" outlineLevel="0" collapsed="false">
      <c r="A306" s="9" t="s">
        <v>2546</v>
      </c>
      <c r="B306" s="9" t="s">
        <v>2555</v>
      </c>
      <c r="C306" s="10" t="s">
        <v>2556</v>
      </c>
      <c r="D306" s="9" t="s">
        <v>2026</v>
      </c>
    </row>
    <row r="307" customFormat="false" ht="25.35" hidden="false" customHeight="false" outlineLevel="0" collapsed="false">
      <c r="A307" s="9" t="s">
        <v>2546</v>
      </c>
      <c r="B307" s="9" t="s">
        <v>2557</v>
      </c>
      <c r="C307" s="10" t="s">
        <v>2558</v>
      </c>
      <c r="D307" s="9" t="s">
        <v>2026</v>
      </c>
    </row>
    <row r="308" customFormat="false" ht="25.35" hidden="false" customHeight="false" outlineLevel="0" collapsed="false">
      <c r="A308" s="9" t="s">
        <v>2546</v>
      </c>
      <c r="B308" s="9" t="s">
        <v>2559</v>
      </c>
      <c r="C308" s="10" t="s">
        <v>2560</v>
      </c>
      <c r="D308" s="9" t="s">
        <v>2026</v>
      </c>
    </row>
    <row r="309" customFormat="false" ht="25.35" hidden="false" customHeight="false" outlineLevel="0" collapsed="false">
      <c r="A309" s="9" t="s">
        <v>2546</v>
      </c>
      <c r="B309" s="9" t="s">
        <v>2561</v>
      </c>
      <c r="C309" s="10" t="s">
        <v>2562</v>
      </c>
      <c r="D309" s="9" t="s">
        <v>2026</v>
      </c>
    </row>
    <row r="310" customFormat="false" ht="25.35" hidden="false" customHeight="false" outlineLevel="0" collapsed="false">
      <c r="A310" s="9" t="s">
        <v>2546</v>
      </c>
      <c r="B310" s="9" t="s">
        <v>2563</v>
      </c>
      <c r="C310" s="10" t="s">
        <v>2564</v>
      </c>
      <c r="D310" s="9" t="s">
        <v>539</v>
      </c>
    </row>
    <row r="311" customFormat="false" ht="25.35" hidden="false" customHeight="false" outlineLevel="0" collapsed="false">
      <c r="A311" s="9" t="s">
        <v>2546</v>
      </c>
      <c r="B311" s="9" t="s">
        <v>2565</v>
      </c>
      <c r="C311" s="10" t="s">
        <v>2566</v>
      </c>
      <c r="D311" s="9" t="s">
        <v>539</v>
      </c>
    </row>
    <row r="312" customFormat="false" ht="25.35" hidden="false" customHeight="false" outlineLevel="0" collapsed="false">
      <c r="A312" s="9" t="s">
        <v>2546</v>
      </c>
      <c r="B312" s="9" t="s">
        <v>2567</v>
      </c>
      <c r="C312" s="10" t="s">
        <v>2568</v>
      </c>
      <c r="D312" s="9" t="s">
        <v>803</v>
      </c>
    </row>
    <row r="313" customFormat="false" ht="25.35" hidden="false" customHeight="false" outlineLevel="0" collapsed="false">
      <c r="A313" s="9" t="s">
        <v>2546</v>
      </c>
      <c r="B313" s="9" t="s">
        <v>2569</v>
      </c>
      <c r="C313" s="10" t="s">
        <v>2570</v>
      </c>
      <c r="D313" s="9" t="s">
        <v>803</v>
      </c>
    </row>
    <row r="314" customFormat="false" ht="25.35" hidden="false" customHeight="false" outlineLevel="0" collapsed="false">
      <c r="A314" s="9" t="s">
        <v>2546</v>
      </c>
      <c r="B314" s="9" t="s">
        <v>2571</v>
      </c>
      <c r="C314" s="10" t="s">
        <v>2572</v>
      </c>
      <c r="D314" s="9" t="s">
        <v>803</v>
      </c>
    </row>
    <row r="315" customFormat="false" ht="25.35" hidden="false" customHeight="false" outlineLevel="0" collapsed="false">
      <c r="A315" s="9" t="s">
        <v>2546</v>
      </c>
      <c r="B315" s="9" t="s">
        <v>2573</v>
      </c>
      <c r="C315" s="10" t="s">
        <v>2574</v>
      </c>
      <c r="D315" s="9" t="s">
        <v>803</v>
      </c>
    </row>
    <row r="316" customFormat="false" ht="25.35" hidden="false" customHeight="false" outlineLevel="0" collapsed="false">
      <c r="A316" s="9" t="s">
        <v>2546</v>
      </c>
      <c r="B316" s="9" t="s">
        <v>2575</v>
      </c>
      <c r="C316" s="10" t="s">
        <v>2576</v>
      </c>
      <c r="D316" s="9" t="s">
        <v>86</v>
      </c>
    </row>
    <row r="317" customFormat="false" ht="25.35" hidden="false" customHeight="false" outlineLevel="0" collapsed="false">
      <c r="A317" s="9" t="s">
        <v>2546</v>
      </c>
      <c r="B317" s="9" t="s">
        <v>2577</v>
      </c>
      <c r="C317" s="10" t="s">
        <v>2578</v>
      </c>
      <c r="D317" s="9" t="s">
        <v>86</v>
      </c>
    </row>
    <row r="318" customFormat="false" ht="25.35" hidden="false" customHeight="false" outlineLevel="0" collapsed="false">
      <c r="A318" s="9" t="s">
        <v>2546</v>
      </c>
      <c r="B318" s="9" t="s">
        <v>2579</v>
      </c>
      <c r="C318" s="10" t="s">
        <v>2580</v>
      </c>
      <c r="D318" s="9" t="s">
        <v>961</v>
      </c>
    </row>
    <row r="319" customFormat="false" ht="25.35" hidden="false" customHeight="false" outlineLevel="0" collapsed="false">
      <c r="A319" s="9" t="s">
        <v>2546</v>
      </c>
      <c r="B319" s="9" t="s">
        <v>2581</v>
      </c>
      <c r="C319" s="10" t="s">
        <v>2582</v>
      </c>
      <c r="D319" s="9" t="s">
        <v>961</v>
      </c>
    </row>
    <row r="320" customFormat="false" ht="25.35" hidden="false" customHeight="false" outlineLevel="0" collapsed="false">
      <c r="A320" s="9" t="s">
        <v>2546</v>
      </c>
      <c r="B320" s="9" t="s">
        <v>2583</v>
      </c>
      <c r="C320" s="10" t="s">
        <v>2584</v>
      </c>
      <c r="D320" s="9" t="s">
        <v>961</v>
      </c>
    </row>
    <row r="321" customFormat="false" ht="25.35" hidden="false" customHeight="false" outlineLevel="0" collapsed="false">
      <c r="A321" s="9" t="s">
        <v>2546</v>
      </c>
      <c r="B321" s="9" t="s">
        <v>2585</v>
      </c>
      <c r="C321" s="10" t="s">
        <v>2586</v>
      </c>
      <c r="D321" s="9" t="s">
        <v>961</v>
      </c>
    </row>
    <row r="322" customFormat="false" ht="25.35" hidden="false" customHeight="false" outlineLevel="0" collapsed="false">
      <c r="A322" s="9" t="s">
        <v>2546</v>
      </c>
      <c r="B322" s="9" t="s">
        <v>2587</v>
      </c>
      <c r="C322" s="10" t="s">
        <v>2588</v>
      </c>
      <c r="D322" s="9" t="s">
        <v>961</v>
      </c>
    </row>
    <row r="323" customFormat="false" ht="25.35" hidden="false" customHeight="false" outlineLevel="0" collapsed="false">
      <c r="A323" s="9" t="s">
        <v>2546</v>
      </c>
      <c r="B323" s="9" t="s">
        <v>2589</v>
      </c>
      <c r="C323" s="10" t="s">
        <v>2590</v>
      </c>
      <c r="D323" s="9" t="s">
        <v>961</v>
      </c>
    </row>
    <row r="324" customFormat="false" ht="26.85" hidden="false" customHeight="false" outlineLevel="0" collapsed="false">
      <c r="A324" s="9" t="s">
        <v>2546</v>
      </c>
      <c r="B324" s="9" t="s">
        <v>2591</v>
      </c>
      <c r="C324" s="10" t="s">
        <v>2592</v>
      </c>
      <c r="D324" s="9" t="s">
        <v>961</v>
      </c>
    </row>
    <row r="325" customFormat="false" ht="25.35" hidden="false" customHeight="false" outlineLevel="0" collapsed="false">
      <c r="A325" s="9" t="s">
        <v>2546</v>
      </c>
      <c r="B325" s="9" t="s">
        <v>2593</v>
      </c>
      <c r="C325" s="10" t="s">
        <v>2594</v>
      </c>
      <c r="D325" s="9" t="s">
        <v>1281</v>
      </c>
    </row>
    <row r="326" customFormat="false" ht="25.35" hidden="false" customHeight="false" outlineLevel="0" collapsed="false">
      <c r="A326" s="9" t="s">
        <v>2546</v>
      </c>
      <c r="B326" s="9" t="s">
        <v>2595</v>
      </c>
      <c r="C326" s="10" t="s">
        <v>2596</v>
      </c>
      <c r="D326" s="9" t="s">
        <v>1281</v>
      </c>
    </row>
    <row r="327" customFormat="false" ht="25.35" hidden="false" customHeight="false" outlineLevel="0" collapsed="false">
      <c r="A327" s="9" t="s">
        <v>2546</v>
      </c>
      <c r="B327" s="9" t="s">
        <v>2597</v>
      </c>
      <c r="C327" s="10" t="s">
        <v>2598</v>
      </c>
      <c r="D327" s="9" t="s">
        <v>1281</v>
      </c>
    </row>
    <row r="328" customFormat="false" ht="25.35" hidden="false" customHeight="false" outlineLevel="0" collapsed="false">
      <c r="A328" s="9" t="s">
        <v>2546</v>
      </c>
      <c r="B328" s="9" t="s">
        <v>2599</v>
      </c>
      <c r="C328" s="10" t="s">
        <v>2600</v>
      </c>
      <c r="D328" s="9" t="s">
        <v>1281</v>
      </c>
    </row>
    <row r="329" customFormat="false" ht="25.35" hidden="false" customHeight="false" outlineLevel="0" collapsed="false">
      <c r="A329" s="9" t="s">
        <v>2546</v>
      </c>
      <c r="B329" s="9" t="s">
        <v>2601</v>
      </c>
      <c r="C329" s="10" t="s">
        <v>2602</v>
      </c>
      <c r="D329" s="9" t="s">
        <v>1281</v>
      </c>
    </row>
    <row r="330" customFormat="false" ht="25.35" hidden="false" customHeight="false" outlineLevel="0" collapsed="false">
      <c r="A330" s="9" t="s">
        <v>2546</v>
      </c>
      <c r="B330" s="9" t="s">
        <v>2603</v>
      </c>
      <c r="C330" s="10" t="s">
        <v>2604</v>
      </c>
      <c r="D330" s="9" t="s">
        <v>1281</v>
      </c>
    </row>
    <row r="331" customFormat="false" ht="25.35" hidden="false" customHeight="false" outlineLevel="0" collapsed="false">
      <c r="A331" s="9" t="s">
        <v>2546</v>
      </c>
      <c r="B331" s="9" t="s">
        <v>2605</v>
      </c>
      <c r="C331" s="10" t="s">
        <v>2606</v>
      </c>
      <c r="D331" s="9" t="s">
        <v>1281</v>
      </c>
    </row>
    <row r="332" customFormat="false" ht="25.35" hidden="false" customHeight="false" outlineLevel="0" collapsed="false">
      <c r="A332" s="9" t="s">
        <v>2546</v>
      </c>
      <c r="B332" s="9" t="s">
        <v>2607</v>
      </c>
      <c r="C332" s="10" t="s">
        <v>2608</v>
      </c>
      <c r="D332" s="9" t="s">
        <v>1281</v>
      </c>
    </row>
    <row r="333" customFormat="false" ht="25.35" hidden="false" customHeight="false" outlineLevel="0" collapsed="false">
      <c r="A333" s="9" t="s">
        <v>2546</v>
      </c>
      <c r="B333" s="9" t="s">
        <v>2609</v>
      </c>
      <c r="C333" s="10" t="s">
        <v>2610</v>
      </c>
      <c r="D333" s="9" t="s">
        <v>1281</v>
      </c>
    </row>
    <row r="334" customFormat="false" ht="25.35" hidden="false" customHeight="false" outlineLevel="0" collapsed="false">
      <c r="A334" s="9" t="s">
        <v>2546</v>
      </c>
      <c r="B334" s="9" t="s">
        <v>2611</v>
      </c>
      <c r="C334" s="10" t="s">
        <v>2612</v>
      </c>
      <c r="D334" s="9" t="s">
        <v>1281</v>
      </c>
    </row>
    <row r="335" customFormat="false" ht="25.35" hidden="false" customHeight="false" outlineLevel="0" collapsed="false">
      <c r="A335" s="9" t="s">
        <v>2546</v>
      </c>
      <c r="B335" s="9" t="s">
        <v>2613</v>
      </c>
      <c r="C335" s="10" t="s">
        <v>2614</v>
      </c>
      <c r="D335" s="9" t="s">
        <v>1281</v>
      </c>
    </row>
    <row r="336" customFormat="false" ht="25.35" hidden="false" customHeight="false" outlineLevel="0" collapsed="false">
      <c r="A336" s="9" t="s">
        <v>2546</v>
      </c>
      <c r="B336" s="9" t="s">
        <v>2615</v>
      </c>
      <c r="C336" s="10" t="s">
        <v>2616</v>
      </c>
      <c r="D336" s="9" t="s">
        <v>1281</v>
      </c>
    </row>
    <row r="337" customFormat="false" ht="25.35" hidden="false" customHeight="false" outlineLevel="0" collapsed="false">
      <c r="A337" s="9" t="s">
        <v>2546</v>
      </c>
      <c r="B337" s="9" t="s">
        <v>2617</v>
      </c>
      <c r="C337" s="10" t="s">
        <v>2618</v>
      </c>
      <c r="D337" s="9" t="s">
        <v>1281</v>
      </c>
    </row>
    <row r="338" customFormat="false" ht="25.35" hidden="false" customHeight="false" outlineLevel="0" collapsed="false">
      <c r="A338" s="9" t="s">
        <v>2546</v>
      </c>
      <c r="B338" s="9" t="s">
        <v>2619</v>
      </c>
      <c r="C338" s="10" t="s">
        <v>2620</v>
      </c>
      <c r="D338" s="9" t="s">
        <v>2037</v>
      </c>
    </row>
    <row r="339" customFormat="false" ht="25.35" hidden="false" customHeight="false" outlineLevel="0" collapsed="false">
      <c r="A339" s="9" t="s">
        <v>2546</v>
      </c>
      <c r="B339" s="9" t="s">
        <v>2621</v>
      </c>
      <c r="C339" s="10" t="s">
        <v>2622</v>
      </c>
      <c r="D339" s="9" t="s">
        <v>1962</v>
      </c>
    </row>
    <row r="340" customFormat="false" ht="15" hidden="false" customHeight="false" outlineLevel="0" collapsed="false">
      <c r="A340" s="9" t="s">
        <v>2623</v>
      </c>
      <c r="B340" s="9" t="s">
        <v>2624</v>
      </c>
      <c r="C340" s="10" t="s">
        <v>2625</v>
      </c>
      <c r="D340" s="9" t="s">
        <v>86</v>
      </c>
    </row>
    <row r="341" customFormat="false" ht="15" hidden="false" customHeight="false" outlineLevel="0" collapsed="false">
      <c r="A341" s="9" t="s">
        <v>2623</v>
      </c>
      <c r="B341" s="9" t="s">
        <v>2626</v>
      </c>
      <c r="C341" s="10" t="s">
        <v>2627</v>
      </c>
      <c r="D341" s="9" t="s">
        <v>86</v>
      </c>
    </row>
    <row r="342" customFormat="false" ht="15" hidden="false" customHeight="false" outlineLevel="0" collapsed="false">
      <c r="A342" s="9" t="s">
        <v>2623</v>
      </c>
      <c r="B342" s="9" t="s">
        <v>2628</v>
      </c>
      <c r="C342" s="10" t="s">
        <v>2629</v>
      </c>
      <c r="D342" s="9" t="s">
        <v>86</v>
      </c>
    </row>
    <row r="343" customFormat="false" ht="15" hidden="false" customHeight="false" outlineLevel="0" collapsed="false">
      <c r="A343" s="9" t="s">
        <v>2623</v>
      </c>
      <c r="B343" s="9" t="s">
        <v>2630</v>
      </c>
      <c r="C343" s="10" t="s">
        <v>2631</v>
      </c>
      <c r="D343" s="9" t="s">
        <v>86</v>
      </c>
    </row>
    <row r="344" customFormat="false" ht="15" hidden="false" customHeight="false" outlineLevel="0" collapsed="false">
      <c r="A344" s="9" t="s">
        <v>2632</v>
      </c>
      <c r="B344" s="9" t="s">
        <v>2633</v>
      </c>
      <c r="C344" s="10" t="s">
        <v>2634</v>
      </c>
      <c r="D344" s="9" t="s">
        <v>1281</v>
      </c>
    </row>
    <row r="345" customFormat="false" ht="15" hidden="false" customHeight="false" outlineLevel="0" collapsed="false">
      <c r="A345" s="9" t="s">
        <v>2632</v>
      </c>
      <c r="B345" s="9" t="s">
        <v>2635</v>
      </c>
      <c r="C345" s="10" t="s">
        <v>2636</v>
      </c>
      <c r="D345" s="9" t="s">
        <v>1281</v>
      </c>
    </row>
    <row r="346" customFormat="false" ht="15" hidden="false" customHeight="false" outlineLevel="0" collapsed="false">
      <c r="A346" s="9" t="s">
        <v>2632</v>
      </c>
      <c r="B346" s="9" t="s">
        <v>2637</v>
      </c>
      <c r="C346" s="10" t="s">
        <v>2638</v>
      </c>
      <c r="D346" s="9" t="s">
        <v>86</v>
      </c>
    </row>
    <row r="347" customFormat="false" ht="15" hidden="false" customHeight="false" outlineLevel="0" collapsed="false">
      <c r="A347" s="9" t="s">
        <v>2632</v>
      </c>
      <c r="B347" s="9" t="s">
        <v>2639</v>
      </c>
      <c r="C347" s="10" t="s">
        <v>2640</v>
      </c>
      <c r="D347" s="9" t="s">
        <v>1281</v>
      </c>
    </row>
    <row r="348" customFormat="false" ht="15" hidden="false" customHeight="false" outlineLevel="0" collapsed="false">
      <c r="A348" s="9" t="s">
        <v>2632</v>
      </c>
      <c r="B348" s="9" t="s">
        <v>2641</v>
      </c>
      <c r="C348" s="10" t="s">
        <v>2642</v>
      </c>
      <c r="D348" s="9" t="s">
        <v>1281</v>
      </c>
    </row>
    <row r="349" customFormat="false" ht="15" hidden="false" customHeight="false" outlineLevel="0" collapsed="false">
      <c r="A349" s="9" t="s">
        <v>2632</v>
      </c>
      <c r="B349" s="9" t="s">
        <v>2643</v>
      </c>
      <c r="C349" s="10" t="s">
        <v>2644</v>
      </c>
      <c r="D349" s="9" t="s">
        <v>2037</v>
      </c>
    </row>
    <row r="350" customFormat="false" ht="15" hidden="false" customHeight="false" outlineLevel="0" collapsed="false">
      <c r="A350" s="9" t="s">
        <v>2632</v>
      </c>
      <c r="B350" s="9" t="s">
        <v>2645</v>
      </c>
      <c r="C350" s="10" t="s">
        <v>2646</v>
      </c>
      <c r="D350" s="9" t="s">
        <v>1962</v>
      </c>
    </row>
    <row r="351" customFormat="false" ht="15" hidden="false" customHeight="false" outlineLevel="0" collapsed="false">
      <c r="A351" s="9" t="s">
        <v>2632</v>
      </c>
      <c r="B351" s="9" t="s">
        <v>2647</v>
      </c>
      <c r="C351" s="10" t="s">
        <v>2648</v>
      </c>
      <c r="D351" s="9" t="s">
        <v>1962</v>
      </c>
    </row>
    <row r="352" customFormat="false" ht="26.85" hidden="false" customHeight="false" outlineLevel="0" collapsed="false">
      <c r="A352" s="9" t="s">
        <v>2632</v>
      </c>
      <c r="B352" s="9" t="s">
        <v>2649</v>
      </c>
      <c r="C352" s="10" t="s">
        <v>2650</v>
      </c>
      <c r="D352" s="9" t="s">
        <v>2074</v>
      </c>
    </row>
    <row r="353" customFormat="false" ht="26.85" hidden="false" customHeight="false" outlineLevel="0" collapsed="false">
      <c r="A353" s="9" t="s">
        <v>2632</v>
      </c>
      <c r="B353" s="9" t="s">
        <v>2651</v>
      </c>
      <c r="C353" s="10" t="s">
        <v>2652</v>
      </c>
      <c r="D353" s="9" t="s">
        <v>2074</v>
      </c>
    </row>
    <row r="354" customFormat="false" ht="15" hidden="false" customHeight="false" outlineLevel="0" collapsed="false">
      <c r="A354" s="9" t="s">
        <v>2632</v>
      </c>
      <c r="B354" s="9" t="s">
        <v>2653</v>
      </c>
      <c r="C354" s="10" t="s">
        <v>2654</v>
      </c>
      <c r="D354" s="9" t="s">
        <v>2074</v>
      </c>
    </row>
    <row r="355" customFormat="false" ht="15" hidden="false" customHeight="false" outlineLevel="0" collapsed="false">
      <c r="A355" s="9" t="s">
        <v>2655</v>
      </c>
      <c r="B355" s="9" t="s">
        <v>2656</v>
      </c>
      <c r="C355" s="10" t="s">
        <v>2657</v>
      </c>
      <c r="D355" s="9" t="s">
        <v>961</v>
      </c>
    </row>
    <row r="356" customFormat="false" ht="15" hidden="false" customHeight="false" outlineLevel="0" collapsed="false">
      <c r="A356" s="9" t="s">
        <v>2658</v>
      </c>
      <c r="B356" s="9" t="s">
        <v>2659</v>
      </c>
      <c r="C356" s="10" t="s">
        <v>2660</v>
      </c>
      <c r="D356" s="9" t="s">
        <v>539</v>
      </c>
    </row>
    <row r="357" customFormat="false" ht="15" hidden="false" customHeight="false" outlineLevel="0" collapsed="false">
      <c r="A357" s="9" t="s">
        <v>2658</v>
      </c>
      <c r="B357" s="9" t="s">
        <v>2661</v>
      </c>
      <c r="C357" s="10" t="s">
        <v>2662</v>
      </c>
      <c r="D357" s="9" t="s">
        <v>539</v>
      </c>
    </row>
    <row r="358" customFormat="false" ht="15" hidden="false" customHeight="false" outlineLevel="0" collapsed="false">
      <c r="A358" s="9" t="s">
        <v>2658</v>
      </c>
      <c r="B358" s="9" t="s">
        <v>2663</v>
      </c>
      <c r="C358" s="10" t="s">
        <v>2664</v>
      </c>
      <c r="D358" s="9" t="s">
        <v>539</v>
      </c>
    </row>
  </sheetData>
  <autoFilter ref="A2:D358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5" min="4" style="0" width="9"/>
  </cols>
  <sheetData>
    <row r="1" customFormat="false" ht="30" hidden="false" customHeight="true" outlineLevel="0" collapsed="false">
      <c r="A1" s="12" t="s">
        <v>2665</v>
      </c>
      <c r="B1" s="12"/>
      <c r="C1" s="12"/>
      <c r="D1" s="12"/>
      <c r="E1" s="12"/>
    </row>
    <row r="2" customFormat="false" ht="15" hidden="false" customHeight="false" outlineLevel="0" collapsed="false">
      <c r="A2" s="8" t="s">
        <v>2666</v>
      </c>
      <c r="B2" s="11" t="s">
        <v>1947</v>
      </c>
      <c r="C2" s="8" t="s">
        <v>2667</v>
      </c>
      <c r="D2" s="11" t="s">
        <v>2668</v>
      </c>
      <c r="E2" s="11" t="s">
        <v>2669</v>
      </c>
    </row>
    <row r="3" customFormat="false" ht="15" hidden="false" customHeight="false" outlineLevel="0" collapsed="false">
      <c r="A3" s="9" t="s">
        <v>1968</v>
      </c>
      <c r="B3" s="10" t="s">
        <v>1970</v>
      </c>
      <c r="C3" s="9" t="s">
        <v>2670</v>
      </c>
      <c r="D3" s="9" t="s">
        <v>2671</v>
      </c>
      <c r="E3" s="9" t="s">
        <v>2671</v>
      </c>
    </row>
    <row r="4" customFormat="false" ht="15" hidden="false" customHeight="false" outlineLevel="0" collapsed="false">
      <c r="A4" s="9" t="s">
        <v>1968</v>
      </c>
      <c r="B4" s="10" t="s">
        <v>1972</v>
      </c>
      <c r="C4" s="9" t="s">
        <v>2672</v>
      </c>
      <c r="D4" s="9" t="s">
        <v>2671</v>
      </c>
      <c r="E4" s="9" t="s">
        <v>2671</v>
      </c>
    </row>
    <row r="5" customFormat="false" ht="15" hidden="false" customHeight="false" outlineLevel="0" collapsed="false">
      <c r="A5" s="9" t="s">
        <v>1968</v>
      </c>
      <c r="B5" s="10" t="s">
        <v>1974</v>
      </c>
      <c r="C5" s="9" t="s">
        <v>2673</v>
      </c>
      <c r="D5" s="9" t="s">
        <v>2671</v>
      </c>
      <c r="E5" s="9" t="s">
        <v>2671</v>
      </c>
    </row>
    <row r="6" customFormat="false" ht="15" hidden="false" customHeight="false" outlineLevel="0" collapsed="false">
      <c r="A6" s="9" t="s">
        <v>1968</v>
      </c>
      <c r="B6" s="10" t="s">
        <v>1976</v>
      </c>
      <c r="C6" s="9" t="s">
        <v>1975</v>
      </c>
      <c r="D6" s="9" t="s">
        <v>2671</v>
      </c>
      <c r="E6" s="9" t="s">
        <v>2671</v>
      </c>
    </row>
    <row r="7" customFormat="false" ht="15" hidden="false" customHeight="false" outlineLevel="0" collapsed="false">
      <c r="A7" s="9" t="s">
        <v>1968</v>
      </c>
      <c r="B7" s="10" t="s">
        <v>1978</v>
      </c>
      <c r="C7" s="9" t="s">
        <v>2674</v>
      </c>
      <c r="D7" s="9" t="s">
        <v>2671</v>
      </c>
      <c r="E7" s="9" t="s">
        <v>2671</v>
      </c>
    </row>
    <row r="8" customFormat="false" ht="15" hidden="false" customHeight="false" outlineLevel="0" collapsed="false">
      <c r="A8" s="9" t="s">
        <v>1968</v>
      </c>
      <c r="B8" s="10" t="s">
        <v>1980</v>
      </c>
      <c r="C8" s="9" t="s">
        <v>1979</v>
      </c>
      <c r="D8" s="9" t="s">
        <v>2671</v>
      </c>
      <c r="E8" s="9" t="s">
        <v>2671</v>
      </c>
    </row>
    <row r="9" customFormat="false" ht="15" hidden="false" customHeight="false" outlineLevel="0" collapsed="false">
      <c r="A9" s="9" t="s">
        <v>1968</v>
      </c>
      <c r="B9" s="10" t="s">
        <v>1982</v>
      </c>
      <c r="C9" s="9" t="s">
        <v>1981</v>
      </c>
      <c r="D9" s="9" t="s">
        <v>2671</v>
      </c>
      <c r="E9" s="9" t="s">
        <v>2671</v>
      </c>
    </row>
    <row r="10" customFormat="false" ht="15" hidden="false" customHeight="false" outlineLevel="0" collapsed="false">
      <c r="A10" s="9" t="s">
        <v>1968</v>
      </c>
      <c r="B10" s="10" t="s">
        <v>1984</v>
      </c>
      <c r="C10" s="9" t="s">
        <v>1983</v>
      </c>
      <c r="D10" s="9" t="s">
        <v>2671</v>
      </c>
      <c r="E10" s="9" t="s">
        <v>2671</v>
      </c>
    </row>
    <row r="11" customFormat="false" ht="15" hidden="false" customHeight="false" outlineLevel="0" collapsed="false">
      <c r="A11" s="9" t="s">
        <v>1968</v>
      </c>
      <c r="B11" s="10" t="s">
        <v>1986</v>
      </c>
      <c r="C11" s="9" t="s">
        <v>1985</v>
      </c>
      <c r="D11" s="9" t="s">
        <v>2671</v>
      </c>
      <c r="E11" s="9" t="s">
        <v>2671</v>
      </c>
    </row>
    <row r="12" customFormat="false" ht="15" hidden="false" customHeight="false" outlineLevel="0" collapsed="false">
      <c r="A12" s="9" t="s">
        <v>1968</v>
      </c>
      <c r="B12" s="10" t="s">
        <v>1988</v>
      </c>
      <c r="C12" s="9" t="s">
        <v>1987</v>
      </c>
      <c r="D12" s="9" t="s">
        <v>2671</v>
      </c>
      <c r="E12" s="9" t="s">
        <v>2671</v>
      </c>
    </row>
    <row r="13" customFormat="false" ht="15" hidden="false" customHeight="false" outlineLevel="0" collapsed="false">
      <c r="A13" s="9" t="s">
        <v>1949</v>
      </c>
      <c r="B13" s="10" t="s">
        <v>2675</v>
      </c>
      <c r="C13" s="9" t="s">
        <v>2676</v>
      </c>
      <c r="D13" s="9" t="s">
        <v>2671</v>
      </c>
      <c r="E13" s="9" t="s">
        <v>2671</v>
      </c>
    </row>
    <row r="14" customFormat="false" ht="15" hidden="false" customHeight="false" outlineLevel="0" collapsed="false">
      <c r="A14" s="9" t="s">
        <v>1949</v>
      </c>
      <c r="B14" s="10" t="s">
        <v>2677</v>
      </c>
      <c r="C14" s="9" t="s">
        <v>2678</v>
      </c>
      <c r="D14" s="9" t="s">
        <v>2671</v>
      </c>
      <c r="E14" s="9" t="s">
        <v>2671</v>
      </c>
    </row>
    <row r="15" customFormat="false" ht="15" hidden="false" customHeight="false" outlineLevel="0" collapsed="false">
      <c r="A15" s="9" t="s">
        <v>1949</v>
      </c>
      <c r="B15" s="10" t="s">
        <v>2679</v>
      </c>
      <c r="C15" s="9" t="s">
        <v>2680</v>
      </c>
      <c r="D15" s="9" t="s">
        <v>2671</v>
      </c>
      <c r="E15" s="9" t="s">
        <v>2671</v>
      </c>
    </row>
    <row r="16" customFormat="false" ht="15" hidden="false" customHeight="false" outlineLevel="0" collapsed="false">
      <c r="A16" s="9" t="s">
        <v>1949</v>
      </c>
      <c r="B16" s="10" t="s">
        <v>2681</v>
      </c>
      <c r="C16" s="9" t="s">
        <v>2682</v>
      </c>
      <c r="D16" s="9" t="s">
        <v>2671</v>
      </c>
      <c r="E16" s="9" t="s">
        <v>2671</v>
      </c>
    </row>
    <row r="17" customFormat="false" ht="15" hidden="false" customHeight="false" outlineLevel="0" collapsed="false">
      <c r="A17" s="9" t="s">
        <v>1949</v>
      </c>
      <c r="B17" s="10" t="s">
        <v>2683</v>
      </c>
      <c r="C17" s="9" t="s">
        <v>2684</v>
      </c>
      <c r="D17" s="9" t="s">
        <v>2671</v>
      </c>
      <c r="E17" s="9" t="s">
        <v>2671</v>
      </c>
    </row>
    <row r="18" customFormat="false" ht="15" hidden="false" customHeight="false" outlineLevel="0" collapsed="false">
      <c r="A18" s="9" t="s">
        <v>1949</v>
      </c>
      <c r="B18" s="10" t="s">
        <v>2685</v>
      </c>
      <c r="C18" s="9" t="s">
        <v>2686</v>
      </c>
      <c r="D18" s="9" t="s">
        <v>2671</v>
      </c>
      <c r="E18" s="9" t="s">
        <v>2671</v>
      </c>
    </row>
    <row r="19" customFormat="false" ht="15" hidden="false" customHeight="false" outlineLevel="0" collapsed="false">
      <c r="A19" s="9" t="s">
        <v>1949</v>
      </c>
      <c r="B19" s="10" t="s">
        <v>2687</v>
      </c>
      <c r="C19" s="9" t="s">
        <v>2688</v>
      </c>
      <c r="D19" s="9" t="s">
        <v>2671</v>
      </c>
      <c r="E19" s="9" t="s">
        <v>2671</v>
      </c>
    </row>
    <row r="20" customFormat="false" ht="15" hidden="false" customHeight="false" outlineLevel="0" collapsed="false">
      <c r="A20" s="9" t="s">
        <v>1949</v>
      </c>
      <c r="B20" s="10" t="s">
        <v>2689</v>
      </c>
      <c r="C20" s="9" t="s">
        <v>2690</v>
      </c>
      <c r="D20" s="9" t="s">
        <v>2671</v>
      </c>
      <c r="E20" s="9" t="s">
        <v>2671</v>
      </c>
    </row>
    <row r="21" customFormat="false" ht="15" hidden="false" customHeight="false" outlineLevel="0" collapsed="false">
      <c r="A21" s="9" t="s">
        <v>1949</v>
      </c>
      <c r="B21" s="10" t="s">
        <v>2691</v>
      </c>
      <c r="C21" s="9" t="s">
        <v>2692</v>
      </c>
      <c r="D21" s="9" t="s">
        <v>2671</v>
      </c>
      <c r="E21" s="9" t="s">
        <v>2671</v>
      </c>
    </row>
    <row r="22" customFormat="false" ht="15" hidden="false" customHeight="false" outlineLevel="0" collapsed="false">
      <c r="A22" s="9" t="s">
        <v>1949</v>
      </c>
      <c r="B22" s="10" t="s">
        <v>2693</v>
      </c>
      <c r="C22" s="9" t="s">
        <v>2694</v>
      </c>
      <c r="D22" s="9" t="s">
        <v>2671</v>
      </c>
      <c r="E22" s="9" t="s">
        <v>2671</v>
      </c>
    </row>
    <row r="23" customFormat="false" ht="15" hidden="false" customHeight="false" outlineLevel="0" collapsed="false">
      <c r="A23" s="9" t="s">
        <v>1949</v>
      </c>
      <c r="B23" s="10" t="s">
        <v>2695</v>
      </c>
      <c r="C23" s="9" t="s">
        <v>2696</v>
      </c>
      <c r="D23" s="9" t="s">
        <v>2671</v>
      </c>
      <c r="E23" s="9" t="s">
        <v>2671</v>
      </c>
    </row>
    <row r="24" customFormat="false" ht="15" hidden="false" customHeight="false" outlineLevel="0" collapsed="false">
      <c r="A24" s="9" t="s">
        <v>1949</v>
      </c>
      <c r="B24" s="10" t="s">
        <v>2697</v>
      </c>
      <c r="C24" s="9" t="s">
        <v>2698</v>
      </c>
      <c r="D24" s="9" t="s">
        <v>2671</v>
      </c>
      <c r="E24" s="9" t="s">
        <v>2671</v>
      </c>
    </row>
    <row r="25" customFormat="false" ht="15" hidden="false" customHeight="false" outlineLevel="0" collapsed="false">
      <c r="A25" s="9" t="s">
        <v>1949</v>
      </c>
      <c r="B25" s="10" t="s">
        <v>2699</v>
      </c>
      <c r="C25" s="9" t="s">
        <v>2700</v>
      </c>
      <c r="D25" s="9" t="s">
        <v>2671</v>
      </c>
      <c r="E25" s="9" t="s">
        <v>2671</v>
      </c>
    </row>
    <row r="26" customFormat="false" ht="15" hidden="false" customHeight="false" outlineLevel="0" collapsed="false">
      <c r="A26" s="9" t="s">
        <v>1949</v>
      </c>
      <c r="B26" s="10" t="s">
        <v>2701</v>
      </c>
      <c r="C26" s="9" t="s">
        <v>2702</v>
      </c>
      <c r="D26" s="9" t="s">
        <v>2671</v>
      </c>
      <c r="E26" s="9" t="s">
        <v>2671</v>
      </c>
    </row>
    <row r="27" customFormat="false" ht="15" hidden="false" customHeight="false" outlineLevel="0" collapsed="false">
      <c r="A27" s="9" t="s">
        <v>1949</v>
      </c>
      <c r="B27" s="10" t="s">
        <v>2703</v>
      </c>
      <c r="C27" s="9" t="s">
        <v>2704</v>
      </c>
      <c r="D27" s="9" t="s">
        <v>2671</v>
      </c>
      <c r="E27" s="9" t="s">
        <v>2671</v>
      </c>
    </row>
    <row r="28" customFormat="false" ht="15" hidden="false" customHeight="false" outlineLevel="0" collapsed="false">
      <c r="A28" s="9" t="s">
        <v>1949</v>
      </c>
      <c r="B28" s="10" t="s">
        <v>2705</v>
      </c>
      <c r="C28" s="9" t="s">
        <v>2706</v>
      </c>
      <c r="D28" s="9" t="s">
        <v>2671</v>
      </c>
      <c r="E28" s="9" t="s">
        <v>2671</v>
      </c>
    </row>
    <row r="29" customFormat="false" ht="15" hidden="false" customHeight="false" outlineLevel="0" collapsed="false">
      <c r="A29" s="9" t="s">
        <v>1949</v>
      </c>
      <c r="B29" s="10" t="s">
        <v>2707</v>
      </c>
      <c r="C29" s="9" t="s">
        <v>2708</v>
      </c>
      <c r="D29" s="9" t="s">
        <v>2671</v>
      </c>
      <c r="E29" s="9" t="s">
        <v>2671</v>
      </c>
    </row>
    <row r="30" customFormat="false" ht="15" hidden="false" customHeight="false" outlineLevel="0" collapsed="false">
      <c r="A30" s="9" t="s">
        <v>1949</v>
      </c>
      <c r="B30" s="10" t="s">
        <v>2709</v>
      </c>
      <c r="C30" s="9" t="s">
        <v>2710</v>
      </c>
      <c r="D30" s="9" t="s">
        <v>2671</v>
      </c>
      <c r="E30" s="9" t="s">
        <v>2671</v>
      </c>
    </row>
    <row r="31" customFormat="false" ht="15" hidden="false" customHeight="false" outlineLevel="0" collapsed="false">
      <c r="A31" s="9" t="s">
        <v>1949</v>
      </c>
      <c r="B31" s="10" t="s">
        <v>2711</v>
      </c>
      <c r="C31" s="9" t="s">
        <v>2712</v>
      </c>
      <c r="D31" s="9" t="s">
        <v>2671</v>
      </c>
      <c r="E31" s="9" t="s">
        <v>2671</v>
      </c>
    </row>
    <row r="32" customFormat="false" ht="15" hidden="false" customHeight="false" outlineLevel="0" collapsed="false">
      <c r="A32" s="9" t="s">
        <v>1949</v>
      </c>
      <c r="B32" s="10" t="s">
        <v>2713</v>
      </c>
      <c r="C32" s="9" t="s">
        <v>2714</v>
      </c>
      <c r="D32" s="9" t="s">
        <v>2671</v>
      </c>
      <c r="E32" s="9" t="s">
        <v>2671</v>
      </c>
    </row>
    <row r="33" customFormat="false" ht="15" hidden="false" customHeight="false" outlineLevel="0" collapsed="false">
      <c r="A33" s="9" t="s">
        <v>1949</v>
      </c>
      <c r="B33" s="10" t="s">
        <v>2715</v>
      </c>
      <c r="C33" s="9" t="s">
        <v>2716</v>
      </c>
      <c r="D33" s="9" t="s">
        <v>2671</v>
      </c>
      <c r="E33" s="9" t="s">
        <v>2671</v>
      </c>
    </row>
    <row r="34" customFormat="false" ht="15" hidden="false" customHeight="false" outlineLevel="0" collapsed="false">
      <c r="A34" s="9" t="s">
        <v>1949</v>
      </c>
      <c r="B34" s="10" t="s">
        <v>2717</v>
      </c>
      <c r="C34" s="9" t="s">
        <v>2718</v>
      </c>
      <c r="D34" s="9" t="s">
        <v>2671</v>
      </c>
      <c r="E34" s="9" t="s">
        <v>2671</v>
      </c>
    </row>
    <row r="35" customFormat="false" ht="15" hidden="false" customHeight="false" outlineLevel="0" collapsed="false">
      <c r="A35" s="9" t="s">
        <v>1949</v>
      </c>
      <c r="B35" s="10" t="s">
        <v>2719</v>
      </c>
      <c r="C35" s="9" t="s">
        <v>2720</v>
      </c>
      <c r="D35" s="9" t="s">
        <v>2671</v>
      </c>
      <c r="E35" s="9" t="s">
        <v>2671</v>
      </c>
    </row>
    <row r="36" customFormat="false" ht="15" hidden="false" customHeight="false" outlineLevel="0" collapsed="false">
      <c r="A36" s="9" t="s">
        <v>1949</v>
      </c>
      <c r="B36" s="10" t="s">
        <v>2721</v>
      </c>
      <c r="C36" s="9" t="s">
        <v>2722</v>
      </c>
      <c r="D36" s="9" t="s">
        <v>2671</v>
      </c>
      <c r="E36" s="9" t="s">
        <v>2671</v>
      </c>
    </row>
    <row r="37" customFormat="false" ht="15" hidden="false" customHeight="false" outlineLevel="0" collapsed="false">
      <c r="A37" s="9" t="s">
        <v>1949</v>
      </c>
      <c r="B37" s="10" t="s">
        <v>2723</v>
      </c>
      <c r="C37" s="9" t="s">
        <v>2724</v>
      </c>
      <c r="D37" s="9" t="s">
        <v>2671</v>
      </c>
      <c r="E37" s="9" t="s">
        <v>2671</v>
      </c>
    </row>
    <row r="38" customFormat="false" ht="15" hidden="false" customHeight="false" outlineLevel="0" collapsed="false">
      <c r="A38" s="9" t="s">
        <v>1949</v>
      </c>
      <c r="B38" s="10" t="s">
        <v>2725</v>
      </c>
      <c r="C38" s="9" t="s">
        <v>2726</v>
      </c>
      <c r="D38" s="9" t="s">
        <v>2671</v>
      </c>
      <c r="E38" s="9" t="s">
        <v>2671</v>
      </c>
    </row>
    <row r="39" customFormat="false" ht="15" hidden="false" customHeight="false" outlineLevel="0" collapsed="false">
      <c r="A39" s="9" t="s">
        <v>1949</v>
      </c>
      <c r="B39" s="10" t="s">
        <v>2727</v>
      </c>
      <c r="C39" s="9" t="s">
        <v>2728</v>
      </c>
      <c r="D39" s="9" t="s">
        <v>2671</v>
      </c>
      <c r="E39" s="9" t="s">
        <v>2671</v>
      </c>
    </row>
    <row r="40" customFormat="false" ht="15" hidden="false" customHeight="false" outlineLevel="0" collapsed="false">
      <c r="A40" s="9" t="s">
        <v>1949</v>
      </c>
      <c r="B40" s="10" t="s">
        <v>2729</v>
      </c>
      <c r="C40" s="9" t="s">
        <v>2730</v>
      </c>
      <c r="D40" s="9" t="s">
        <v>2671</v>
      </c>
      <c r="E40" s="9" t="s">
        <v>2671</v>
      </c>
    </row>
    <row r="41" customFormat="false" ht="15" hidden="false" customHeight="false" outlineLevel="0" collapsed="false">
      <c r="A41" s="9" t="s">
        <v>1949</v>
      </c>
      <c r="B41" s="10" t="s">
        <v>2731</v>
      </c>
      <c r="C41" s="9" t="s">
        <v>2732</v>
      </c>
      <c r="D41" s="9" t="s">
        <v>2671</v>
      </c>
      <c r="E41" s="9" t="s">
        <v>2671</v>
      </c>
    </row>
    <row r="42" customFormat="false" ht="15" hidden="false" customHeight="false" outlineLevel="0" collapsed="false">
      <c r="A42" s="9" t="s">
        <v>1949</v>
      </c>
      <c r="B42" s="10" t="s">
        <v>2733</v>
      </c>
      <c r="C42" s="9" t="s">
        <v>2734</v>
      </c>
      <c r="D42" s="9" t="s">
        <v>2671</v>
      </c>
      <c r="E42" s="9" t="s">
        <v>2671</v>
      </c>
    </row>
    <row r="43" customFormat="false" ht="15" hidden="false" customHeight="false" outlineLevel="0" collapsed="false">
      <c r="A43" s="9" t="s">
        <v>1949</v>
      </c>
      <c r="B43" s="10" t="s">
        <v>2735</v>
      </c>
      <c r="C43" s="9" t="s">
        <v>2736</v>
      </c>
      <c r="D43" s="9" t="s">
        <v>2671</v>
      </c>
      <c r="E43" s="9" t="s">
        <v>2671</v>
      </c>
    </row>
    <row r="44" customFormat="false" ht="15" hidden="false" customHeight="false" outlineLevel="0" collapsed="false">
      <c r="A44" s="9" t="s">
        <v>1949</v>
      </c>
      <c r="B44" s="10" t="s">
        <v>2737</v>
      </c>
      <c r="C44" s="9" t="s">
        <v>2738</v>
      </c>
      <c r="D44" s="9" t="s">
        <v>2671</v>
      </c>
      <c r="E44" s="9" t="s">
        <v>2671</v>
      </c>
    </row>
    <row r="45" customFormat="false" ht="15" hidden="false" customHeight="false" outlineLevel="0" collapsed="false">
      <c r="A45" s="9" t="s">
        <v>1949</v>
      </c>
      <c r="B45" s="10" t="s">
        <v>2739</v>
      </c>
      <c r="C45" s="9" t="s">
        <v>2740</v>
      </c>
      <c r="D45" s="9" t="s">
        <v>2671</v>
      </c>
      <c r="E45" s="9" t="s">
        <v>2671</v>
      </c>
    </row>
    <row r="46" customFormat="false" ht="15" hidden="false" customHeight="false" outlineLevel="0" collapsed="false">
      <c r="A46" s="9" t="s">
        <v>1949</v>
      </c>
      <c r="B46" s="10" t="s">
        <v>2741</v>
      </c>
      <c r="C46" s="10" t="s">
        <v>2742</v>
      </c>
      <c r="D46" s="9" t="s">
        <v>2671</v>
      </c>
      <c r="E46" s="9" t="s">
        <v>2671</v>
      </c>
    </row>
    <row r="47" customFormat="false" ht="15" hidden="false" customHeight="false" outlineLevel="0" collapsed="false">
      <c r="A47" s="9" t="s">
        <v>1949</v>
      </c>
      <c r="B47" s="10" t="s">
        <v>2743</v>
      </c>
      <c r="C47" s="9" t="s">
        <v>2744</v>
      </c>
      <c r="D47" s="9" t="s">
        <v>2671</v>
      </c>
      <c r="E47" s="9" t="s">
        <v>2671</v>
      </c>
    </row>
    <row r="48" customFormat="false" ht="15" hidden="false" customHeight="false" outlineLevel="0" collapsed="false">
      <c r="A48" s="9" t="s">
        <v>1949</v>
      </c>
      <c r="B48" s="10" t="s">
        <v>2745</v>
      </c>
      <c r="C48" s="9" t="s">
        <v>2746</v>
      </c>
      <c r="D48" s="9" t="s">
        <v>2671</v>
      </c>
      <c r="E48" s="9" t="s">
        <v>2671</v>
      </c>
    </row>
    <row r="49" customFormat="false" ht="15" hidden="false" customHeight="false" outlineLevel="0" collapsed="false">
      <c r="A49" s="9" t="s">
        <v>1949</v>
      </c>
      <c r="B49" s="10" t="s">
        <v>2747</v>
      </c>
      <c r="C49" s="9" t="s">
        <v>2748</v>
      </c>
      <c r="D49" s="9" t="s">
        <v>2671</v>
      </c>
      <c r="E49" s="9" t="s">
        <v>2671</v>
      </c>
    </row>
    <row r="50" customFormat="false" ht="15" hidden="false" customHeight="false" outlineLevel="0" collapsed="false">
      <c r="A50" s="9" t="s">
        <v>1949</v>
      </c>
      <c r="B50" s="10" t="s">
        <v>2749</v>
      </c>
      <c r="C50" s="9" t="s">
        <v>2750</v>
      </c>
      <c r="D50" s="9" t="s">
        <v>2671</v>
      </c>
      <c r="E50" s="9" t="s">
        <v>2671</v>
      </c>
    </row>
    <row r="51" customFormat="false" ht="15" hidden="false" customHeight="false" outlineLevel="0" collapsed="false">
      <c r="A51" s="9" t="s">
        <v>1949</v>
      </c>
      <c r="B51" s="10" t="s">
        <v>2751</v>
      </c>
      <c r="C51" s="9" t="s">
        <v>2752</v>
      </c>
      <c r="D51" s="9" t="s">
        <v>2671</v>
      </c>
      <c r="E51" s="9" t="s">
        <v>2671</v>
      </c>
    </row>
    <row r="52" customFormat="false" ht="15" hidden="false" customHeight="false" outlineLevel="0" collapsed="false">
      <c r="A52" s="9" t="s">
        <v>1949</v>
      </c>
      <c r="B52" s="10" t="s">
        <v>2753</v>
      </c>
      <c r="C52" s="9" t="s">
        <v>2754</v>
      </c>
      <c r="D52" s="9" t="s">
        <v>2671</v>
      </c>
      <c r="E52" s="9" t="s">
        <v>2671</v>
      </c>
    </row>
    <row r="53" customFormat="false" ht="15" hidden="false" customHeight="false" outlineLevel="0" collapsed="false">
      <c r="A53" s="9" t="s">
        <v>1949</v>
      </c>
      <c r="B53" s="10" t="s">
        <v>2755</v>
      </c>
      <c r="C53" s="9" t="s">
        <v>2756</v>
      </c>
      <c r="D53" s="9" t="s">
        <v>2671</v>
      </c>
      <c r="E53" s="9" t="s">
        <v>2671</v>
      </c>
    </row>
    <row r="54" customFormat="false" ht="15" hidden="false" customHeight="false" outlineLevel="0" collapsed="false">
      <c r="A54" s="9" t="s">
        <v>1949</v>
      </c>
      <c r="B54" s="10" t="s">
        <v>2757</v>
      </c>
      <c r="C54" s="9" t="s">
        <v>2758</v>
      </c>
      <c r="D54" s="9" t="s">
        <v>2671</v>
      </c>
      <c r="E54" s="9" t="s">
        <v>2671</v>
      </c>
    </row>
    <row r="55" customFormat="false" ht="15" hidden="false" customHeight="false" outlineLevel="0" collapsed="false">
      <c r="A55" s="9" t="s">
        <v>1949</v>
      </c>
      <c r="B55" s="10" t="s">
        <v>2759</v>
      </c>
      <c r="C55" s="9" t="s">
        <v>2760</v>
      </c>
      <c r="D55" s="9" t="s">
        <v>2671</v>
      </c>
      <c r="E55" s="9" t="s">
        <v>2671</v>
      </c>
    </row>
    <row r="56" customFormat="false" ht="15" hidden="false" customHeight="false" outlineLevel="0" collapsed="false">
      <c r="A56" s="9" t="s">
        <v>1949</v>
      </c>
      <c r="B56" s="10" t="s">
        <v>2761</v>
      </c>
      <c r="C56" s="9" t="s">
        <v>2762</v>
      </c>
      <c r="D56" s="9" t="s">
        <v>2671</v>
      </c>
      <c r="E56" s="9" t="s">
        <v>2671</v>
      </c>
    </row>
    <row r="57" customFormat="false" ht="15" hidden="false" customHeight="false" outlineLevel="0" collapsed="false">
      <c r="A57" s="9" t="s">
        <v>1949</v>
      </c>
      <c r="B57" s="10" t="s">
        <v>2763</v>
      </c>
      <c r="C57" s="9" t="s">
        <v>2764</v>
      </c>
      <c r="D57" s="9" t="s">
        <v>2671</v>
      </c>
      <c r="E57" s="9" t="s">
        <v>2671</v>
      </c>
    </row>
    <row r="58" customFormat="false" ht="15" hidden="false" customHeight="false" outlineLevel="0" collapsed="false">
      <c r="A58" s="9" t="s">
        <v>1949</v>
      </c>
      <c r="B58" s="10" t="s">
        <v>2765</v>
      </c>
      <c r="C58" s="9" t="s">
        <v>1966</v>
      </c>
      <c r="D58" s="9" t="s">
        <v>2671</v>
      </c>
      <c r="E58" s="9" t="s">
        <v>2671</v>
      </c>
    </row>
    <row r="59" customFormat="false" ht="15" hidden="false" customHeight="false" outlineLevel="0" collapsed="false">
      <c r="A59" s="9" t="s">
        <v>2766</v>
      </c>
      <c r="B59" s="10" t="s">
        <v>1991</v>
      </c>
      <c r="C59" s="9" t="s">
        <v>1990</v>
      </c>
      <c r="D59" s="9" t="s">
        <v>2671</v>
      </c>
      <c r="E59" s="9" t="s">
        <v>2671</v>
      </c>
    </row>
    <row r="60" customFormat="false" ht="15" hidden="false" customHeight="false" outlineLevel="0" collapsed="false">
      <c r="A60" s="9" t="s">
        <v>2766</v>
      </c>
      <c r="B60" s="10" t="s">
        <v>2767</v>
      </c>
      <c r="C60" s="9" t="s">
        <v>2768</v>
      </c>
      <c r="D60" s="9" t="s">
        <v>2671</v>
      </c>
      <c r="E60" s="9" t="s">
        <v>2671</v>
      </c>
    </row>
    <row r="61" customFormat="false" ht="15" hidden="false" customHeight="false" outlineLevel="0" collapsed="false">
      <c r="A61" s="9" t="s">
        <v>2766</v>
      </c>
      <c r="B61" s="10" t="s">
        <v>2769</v>
      </c>
      <c r="C61" s="9" t="s">
        <v>2768</v>
      </c>
      <c r="D61" s="9" t="s">
        <v>2671</v>
      </c>
      <c r="E61" s="9" t="s">
        <v>2671</v>
      </c>
    </row>
    <row r="62" customFormat="false" ht="15" hidden="false" customHeight="false" outlineLevel="0" collapsed="false">
      <c r="A62" s="9" t="s">
        <v>2766</v>
      </c>
      <c r="B62" s="10" t="s">
        <v>2770</v>
      </c>
      <c r="C62" s="9" t="s">
        <v>2768</v>
      </c>
      <c r="D62" s="9" t="s">
        <v>2671</v>
      </c>
      <c r="E62" s="9" t="s">
        <v>2671</v>
      </c>
    </row>
    <row r="63" customFormat="false" ht="15" hidden="false" customHeight="false" outlineLevel="0" collapsed="false">
      <c r="A63" s="9" t="s">
        <v>2766</v>
      </c>
      <c r="B63" s="10" t="s">
        <v>2771</v>
      </c>
      <c r="C63" s="9" t="s">
        <v>2768</v>
      </c>
      <c r="D63" s="9" t="s">
        <v>2671</v>
      </c>
      <c r="E63" s="9" t="s">
        <v>2671</v>
      </c>
    </row>
    <row r="64" customFormat="false" ht="15" hidden="false" customHeight="false" outlineLevel="0" collapsed="false">
      <c r="A64" s="9" t="s">
        <v>2766</v>
      </c>
      <c r="B64" s="10" t="s">
        <v>2772</v>
      </c>
      <c r="C64" s="9" t="s">
        <v>2773</v>
      </c>
      <c r="D64" s="9" t="s">
        <v>2671</v>
      </c>
      <c r="E64" s="9" t="s">
        <v>2671</v>
      </c>
    </row>
    <row r="65" customFormat="false" ht="15" hidden="false" customHeight="false" outlineLevel="0" collapsed="false">
      <c r="A65" s="9" t="s">
        <v>2766</v>
      </c>
      <c r="B65" s="10" t="s">
        <v>2774</v>
      </c>
      <c r="C65" s="9" t="s">
        <v>2775</v>
      </c>
      <c r="D65" s="9" t="s">
        <v>2671</v>
      </c>
      <c r="E65" s="9" t="s">
        <v>2671</v>
      </c>
    </row>
    <row r="66" customFormat="false" ht="15" hidden="false" customHeight="false" outlineLevel="0" collapsed="false">
      <c r="A66" s="9" t="s">
        <v>2766</v>
      </c>
      <c r="B66" s="10" t="s">
        <v>2776</v>
      </c>
      <c r="C66" s="9" t="s">
        <v>2777</v>
      </c>
      <c r="D66" s="9" t="s">
        <v>2671</v>
      </c>
      <c r="E66" s="9" t="s">
        <v>2671</v>
      </c>
    </row>
    <row r="67" customFormat="false" ht="15" hidden="false" customHeight="false" outlineLevel="0" collapsed="false">
      <c r="A67" s="9" t="s">
        <v>2766</v>
      </c>
      <c r="B67" s="10" t="s">
        <v>2778</v>
      </c>
      <c r="C67" s="9" t="s">
        <v>1994</v>
      </c>
      <c r="D67" s="9" t="s">
        <v>2671</v>
      </c>
      <c r="E67" s="9" t="s">
        <v>2671</v>
      </c>
    </row>
    <row r="68" customFormat="false" ht="15" hidden="false" customHeight="false" outlineLevel="0" collapsed="false">
      <c r="A68" s="9" t="s">
        <v>2766</v>
      </c>
      <c r="B68" s="10" t="s">
        <v>2779</v>
      </c>
      <c r="C68" s="9" t="s">
        <v>1994</v>
      </c>
      <c r="D68" s="9" t="s">
        <v>2671</v>
      </c>
      <c r="E68" s="9" t="s">
        <v>2671</v>
      </c>
    </row>
    <row r="69" customFormat="false" ht="15" hidden="false" customHeight="false" outlineLevel="0" collapsed="false">
      <c r="A69" s="9" t="s">
        <v>2766</v>
      </c>
      <c r="B69" s="10" t="s">
        <v>2780</v>
      </c>
      <c r="C69" s="9" t="s">
        <v>2781</v>
      </c>
      <c r="D69" s="9" t="s">
        <v>2671</v>
      </c>
      <c r="E69" s="9" t="s">
        <v>2671</v>
      </c>
    </row>
    <row r="70" customFormat="false" ht="15" hidden="false" customHeight="false" outlineLevel="0" collapsed="false">
      <c r="A70" s="9" t="s">
        <v>2766</v>
      </c>
      <c r="B70" s="10" t="s">
        <v>2782</v>
      </c>
      <c r="C70" s="9" t="s">
        <v>2783</v>
      </c>
      <c r="D70" s="9" t="s">
        <v>2671</v>
      </c>
      <c r="E70" s="9" t="s">
        <v>2671</v>
      </c>
    </row>
    <row r="71" customFormat="false" ht="15" hidden="false" customHeight="false" outlineLevel="0" collapsed="false">
      <c r="A71" s="9" t="s">
        <v>2766</v>
      </c>
      <c r="B71" s="10" t="s">
        <v>2784</v>
      </c>
      <c r="C71" s="9" t="s">
        <v>2785</v>
      </c>
      <c r="D71" s="9" t="s">
        <v>2671</v>
      </c>
      <c r="E71" s="9" t="s">
        <v>2671</v>
      </c>
    </row>
    <row r="72" customFormat="false" ht="15" hidden="false" customHeight="false" outlineLevel="0" collapsed="false">
      <c r="A72" s="9" t="s">
        <v>2766</v>
      </c>
      <c r="B72" s="10" t="s">
        <v>2786</v>
      </c>
      <c r="C72" s="9" t="s">
        <v>2785</v>
      </c>
      <c r="D72" s="9" t="s">
        <v>2671</v>
      </c>
      <c r="E72" s="9" t="s">
        <v>2671</v>
      </c>
    </row>
    <row r="73" customFormat="false" ht="15" hidden="false" customHeight="false" outlineLevel="0" collapsed="false">
      <c r="A73" s="9" t="s">
        <v>2766</v>
      </c>
      <c r="B73" s="10" t="s">
        <v>2787</v>
      </c>
      <c r="C73" s="9" t="s">
        <v>2785</v>
      </c>
      <c r="D73" s="9" t="s">
        <v>2671</v>
      </c>
      <c r="E73" s="9" t="s">
        <v>2671</v>
      </c>
    </row>
    <row r="74" customFormat="false" ht="15" hidden="false" customHeight="false" outlineLevel="0" collapsed="false">
      <c r="A74" s="9" t="s">
        <v>2766</v>
      </c>
      <c r="B74" s="10" t="s">
        <v>2788</v>
      </c>
      <c r="C74" s="9" t="s">
        <v>2789</v>
      </c>
      <c r="D74" s="9" t="s">
        <v>2671</v>
      </c>
      <c r="E74" s="9" t="s">
        <v>2671</v>
      </c>
    </row>
    <row r="75" customFormat="false" ht="15" hidden="false" customHeight="false" outlineLevel="0" collapsed="false">
      <c r="A75" s="9" t="s">
        <v>2766</v>
      </c>
      <c r="B75" s="10" t="s">
        <v>2790</v>
      </c>
      <c r="C75" s="9" t="s">
        <v>2785</v>
      </c>
      <c r="D75" s="9" t="s">
        <v>2671</v>
      </c>
      <c r="E75" s="9" t="s">
        <v>2671</v>
      </c>
    </row>
    <row r="76" customFormat="false" ht="15" hidden="false" customHeight="false" outlineLevel="0" collapsed="false">
      <c r="A76" s="9" t="s">
        <v>2766</v>
      </c>
      <c r="B76" s="10" t="s">
        <v>2791</v>
      </c>
      <c r="C76" s="9" t="s">
        <v>2785</v>
      </c>
      <c r="D76" s="9" t="s">
        <v>2671</v>
      </c>
      <c r="E76" s="9" t="s">
        <v>2671</v>
      </c>
    </row>
    <row r="77" customFormat="false" ht="15" hidden="false" customHeight="false" outlineLevel="0" collapsed="false">
      <c r="A77" s="9" t="s">
        <v>2766</v>
      </c>
      <c r="B77" s="10" t="s">
        <v>2792</v>
      </c>
      <c r="C77" s="9" t="s">
        <v>2793</v>
      </c>
      <c r="D77" s="9" t="s">
        <v>2671</v>
      </c>
      <c r="E77" s="9" t="s">
        <v>2671</v>
      </c>
    </row>
    <row r="78" customFormat="false" ht="15" hidden="false" customHeight="false" outlineLevel="0" collapsed="false">
      <c r="A78" s="9" t="s">
        <v>2766</v>
      </c>
      <c r="B78" s="10" t="s">
        <v>2794</v>
      </c>
      <c r="C78" s="9" t="s">
        <v>2795</v>
      </c>
      <c r="D78" s="9" t="s">
        <v>2671</v>
      </c>
      <c r="E78" s="9" t="s">
        <v>2671</v>
      </c>
    </row>
    <row r="79" customFormat="false" ht="15" hidden="false" customHeight="false" outlineLevel="0" collapsed="false">
      <c r="A79" s="9" t="s">
        <v>2766</v>
      </c>
      <c r="B79" s="10" t="s">
        <v>2796</v>
      </c>
      <c r="C79" s="9" t="s">
        <v>1998</v>
      </c>
      <c r="D79" s="9" t="s">
        <v>2671</v>
      </c>
      <c r="E79" s="9" t="s">
        <v>2671</v>
      </c>
    </row>
    <row r="80" customFormat="false" ht="15" hidden="false" customHeight="false" outlineLevel="0" collapsed="false">
      <c r="A80" s="9" t="s">
        <v>2766</v>
      </c>
      <c r="B80" s="10" t="s">
        <v>2797</v>
      </c>
      <c r="C80" s="9" t="s">
        <v>2000</v>
      </c>
      <c r="D80" s="9" t="s">
        <v>2671</v>
      </c>
      <c r="E80" s="9" t="s">
        <v>2671</v>
      </c>
    </row>
    <row r="81" customFormat="false" ht="15" hidden="false" customHeight="false" outlineLevel="0" collapsed="false">
      <c r="A81" s="9" t="s">
        <v>2766</v>
      </c>
      <c r="B81" s="10" t="s">
        <v>2003</v>
      </c>
      <c r="C81" s="9" t="s">
        <v>2002</v>
      </c>
      <c r="D81" s="9" t="s">
        <v>2671</v>
      </c>
      <c r="E81" s="9" t="s">
        <v>2671</v>
      </c>
    </row>
    <row r="82" customFormat="false" ht="15" hidden="false" customHeight="false" outlineLevel="0" collapsed="false">
      <c r="A82" s="9" t="s">
        <v>2766</v>
      </c>
      <c r="B82" s="10" t="s">
        <v>2005</v>
      </c>
      <c r="C82" s="9" t="s">
        <v>2004</v>
      </c>
      <c r="D82" s="9" t="s">
        <v>2671</v>
      </c>
      <c r="E82" s="9" t="s">
        <v>2671</v>
      </c>
    </row>
    <row r="83" customFormat="false" ht="15" hidden="false" customHeight="false" outlineLevel="0" collapsed="false">
      <c r="A83" s="9" t="s">
        <v>2766</v>
      </c>
      <c r="B83" s="10" t="s">
        <v>2007</v>
      </c>
      <c r="C83" s="9" t="s">
        <v>2006</v>
      </c>
      <c r="D83" s="9" t="s">
        <v>2671</v>
      </c>
      <c r="E83" s="9" t="s">
        <v>2671</v>
      </c>
    </row>
    <row r="84" customFormat="false" ht="15" hidden="false" customHeight="false" outlineLevel="0" collapsed="false">
      <c r="A84" s="9" t="s">
        <v>2766</v>
      </c>
      <c r="B84" s="10" t="s">
        <v>2009</v>
      </c>
      <c r="C84" s="9" t="s">
        <v>2008</v>
      </c>
      <c r="D84" s="9" t="s">
        <v>2671</v>
      </c>
      <c r="E84" s="9" t="s">
        <v>2671</v>
      </c>
    </row>
    <row r="85" customFormat="false" ht="15" hidden="false" customHeight="false" outlineLevel="0" collapsed="false">
      <c r="A85" s="9" t="s">
        <v>2766</v>
      </c>
      <c r="B85" s="10" t="s">
        <v>2011</v>
      </c>
      <c r="C85" s="9" t="s">
        <v>2010</v>
      </c>
      <c r="D85" s="9" t="s">
        <v>2671</v>
      </c>
      <c r="E85" s="9" t="s">
        <v>2671</v>
      </c>
    </row>
    <row r="86" customFormat="false" ht="15" hidden="false" customHeight="false" outlineLevel="0" collapsed="false">
      <c r="A86" s="9" t="s">
        <v>2766</v>
      </c>
      <c r="B86" s="10" t="s">
        <v>2013</v>
      </c>
      <c r="C86" s="9" t="s">
        <v>2798</v>
      </c>
      <c r="D86" s="9" t="s">
        <v>2671</v>
      </c>
      <c r="E86" s="9" t="s">
        <v>2671</v>
      </c>
    </row>
    <row r="87" customFormat="false" ht="15" hidden="false" customHeight="false" outlineLevel="0" collapsed="false">
      <c r="A87" s="9" t="s">
        <v>2766</v>
      </c>
      <c r="B87" s="10" t="s">
        <v>2015</v>
      </c>
      <c r="C87" s="10" t="s">
        <v>2014</v>
      </c>
      <c r="D87" s="9" t="s">
        <v>2671</v>
      </c>
      <c r="E87" s="9" t="s">
        <v>2671</v>
      </c>
    </row>
    <row r="88" customFormat="false" ht="15" hidden="false" customHeight="false" outlineLevel="0" collapsed="false">
      <c r="A88" s="9" t="s">
        <v>2766</v>
      </c>
      <c r="B88" s="10" t="s">
        <v>2017</v>
      </c>
      <c r="C88" s="10" t="s">
        <v>2016</v>
      </c>
      <c r="D88" s="9" t="s">
        <v>2671</v>
      </c>
      <c r="E88" s="9" t="s">
        <v>2671</v>
      </c>
    </row>
    <row r="89" customFormat="false" ht="15" hidden="false" customHeight="false" outlineLevel="0" collapsed="false">
      <c r="A89" s="9" t="s">
        <v>2766</v>
      </c>
      <c r="B89" s="10" t="s">
        <v>2019</v>
      </c>
      <c r="C89" s="9" t="s">
        <v>2799</v>
      </c>
      <c r="D89" s="9" t="s">
        <v>2671</v>
      </c>
      <c r="E89" s="9" t="s">
        <v>2671</v>
      </c>
    </row>
    <row r="90" customFormat="false" ht="15" hidden="false" customHeight="false" outlineLevel="0" collapsed="false">
      <c r="A90" s="9" t="s">
        <v>2766</v>
      </c>
      <c r="B90" s="10" t="s">
        <v>2021</v>
      </c>
      <c r="C90" s="9" t="s">
        <v>2020</v>
      </c>
      <c r="D90" s="9" t="s">
        <v>2671</v>
      </c>
      <c r="E90" s="9" t="s">
        <v>2671</v>
      </c>
    </row>
    <row r="91" customFormat="false" ht="15" hidden="false" customHeight="false" outlineLevel="0" collapsed="false">
      <c r="A91" s="9" t="s">
        <v>2766</v>
      </c>
      <c r="B91" s="10" t="s">
        <v>2023</v>
      </c>
      <c r="C91" s="9" t="s">
        <v>2022</v>
      </c>
      <c r="D91" s="9" t="s">
        <v>2671</v>
      </c>
      <c r="E91" s="9" t="s">
        <v>2671</v>
      </c>
    </row>
    <row r="92" customFormat="false" ht="15" hidden="false" customHeight="false" outlineLevel="0" collapsed="false">
      <c r="A92" s="9" t="s">
        <v>2766</v>
      </c>
      <c r="B92" s="10" t="s">
        <v>2800</v>
      </c>
      <c r="C92" s="9" t="s">
        <v>2801</v>
      </c>
      <c r="D92" s="9" t="s">
        <v>2671</v>
      </c>
      <c r="E92" s="9" t="s">
        <v>2671</v>
      </c>
    </row>
    <row r="93" customFormat="false" ht="15" hidden="false" customHeight="false" outlineLevel="0" collapsed="false">
      <c r="A93" s="9" t="s">
        <v>2766</v>
      </c>
      <c r="B93" s="10" t="s">
        <v>2802</v>
      </c>
      <c r="C93" s="9" t="s">
        <v>2803</v>
      </c>
      <c r="D93" s="9" t="s">
        <v>2671</v>
      </c>
      <c r="E93" s="9" t="s">
        <v>2671</v>
      </c>
    </row>
    <row r="94" customFormat="false" ht="15" hidden="false" customHeight="false" outlineLevel="0" collapsed="false">
      <c r="A94" s="9" t="s">
        <v>2766</v>
      </c>
      <c r="B94" s="10" t="s">
        <v>2804</v>
      </c>
      <c r="C94" s="9" t="s">
        <v>2805</v>
      </c>
      <c r="D94" s="9" t="s">
        <v>2671</v>
      </c>
      <c r="E94" s="9" t="s">
        <v>2671</v>
      </c>
    </row>
    <row r="95" customFormat="false" ht="25.35" hidden="false" customHeight="false" outlineLevel="0" collapsed="false">
      <c r="A95" s="9" t="s">
        <v>2766</v>
      </c>
      <c r="B95" s="10" t="s">
        <v>2806</v>
      </c>
      <c r="C95" s="9" t="s">
        <v>2807</v>
      </c>
      <c r="D95" s="9" t="s">
        <v>2671</v>
      </c>
      <c r="E95" s="9" t="s">
        <v>2671</v>
      </c>
    </row>
    <row r="96" customFormat="false" ht="15" hidden="false" customHeight="false" outlineLevel="0" collapsed="false">
      <c r="A96" s="9" t="s">
        <v>2766</v>
      </c>
      <c r="B96" s="10" t="s">
        <v>2808</v>
      </c>
      <c r="C96" s="9" t="s">
        <v>2809</v>
      </c>
      <c r="D96" s="9" t="s">
        <v>2671</v>
      </c>
      <c r="E96" s="9" t="s">
        <v>2671</v>
      </c>
    </row>
    <row r="97" customFormat="false" ht="15" hidden="false" customHeight="false" outlineLevel="0" collapsed="false">
      <c r="A97" s="9" t="s">
        <v>2766</v>
      </c>
      <c r="B97" s="10" t="s">
        <v>2810</v>
      </c>
      <c r="C97" s="9" t="s">
        <v>2811</v>
      </c>
      <c r="D97" s="9" t="s">
        <v>2671</v>
      </c>
      <c r="E97" s="9" t="s">
        <v>2671</v>
      </c>
    </row>
    <row r="98" customFormat="false" ht="15" hidden="false" customHeight="false" outlineLevel="0" collapsed="false">
      <c r="A98" s="9" t="s">
        <v>2766</v>
      </c>
      <c r="B98" s="10" t="s">
        <v>2039</v>
      </c>
      <c r="C98" s="9" t="s">
        <v>2812</v>
      </c>
      <c r="D98" s="9" t="s">
        <v>2671</v>
      </c>
      <c r="E98" s="9" t="s">
        <v>2671</v>
      </c>
    </row>
    <row r="99" customFormat="false" ht="15" hidden="false" customHeight="false" outlineLevel="0" collapsed="false">
      <c r="A99" s="9" t="s">
        <v>2766</v>
      </c>
      <c r="B99" s="10" t="s">
        <v>2041</v>
      </c>
      <c r="C99" s="9" t="s">
        <v>2040</v>
      </c>
      <c r="D99" s="9" t="s">
        <v>2671</v>
      </c>
      <c r="E99" s="9" t="s">
        <v>2671</v>
      </c>
    </row>
    <row r="100" customFormat="false" ht="15" hidden="false" customHeight="false" outlineLevel="0" collapsed="false">
      <c r="A100" s="9" t="s">
        <v>2766</v>
      </c>
      <c r="B100" s="10" t="s">
        <v>2043</v>
      </c>
      <c r="C100" s="9" t="s">
        <v>2813</v>
      </c>
      <c r="D100" s="9" t="s">
        <v>2671</v>
      </c>
      <c r="E100" s="9" t="s">
        <v>2671</v>
      </c>
    </row>
    <row r="101" customFormat="false" ht="15" hidden="false" customHeight="false" outlineLevel="0" collapsed="false">
      <c r="A101" s="9" t="s">
        <v>2766</v>
      </c>
      <c r="B101" s="10" t="s">
        <v>2045</v>
      </c>
      <c r="C101" s="9" t="s">
        <v>2044</v>
      </c>
      <c r="D101" s="9" t="s">
        <v>2671</v>
      </c>
      <c r="E101" s="9" t="s">
        <v>2671</v>
      </c>
    </row>
    <row r="102" customFormat="false" ht="15" hidden="false" customHeight="false" outlineLevel="0" collapsed="false">
      <c r="A102" s="9" t="s">
        <v>2766</v>
      </c>
      <c r="B102" s="10" t="s">
        <v>2047</v>
      </c>
      <c r="C102" s="9" t="s">
        <v>2046</v>
      </c>
      <c r="D102" s="9" t="s">
        <v>2671</v>
      </c>
      <c r="E102" s="9" t="s">
        <v>2671</v>
      </c>
    </row>
    <row r="103" customFormat="false" ht="15" hidden="false" customHeight="false" outlineLevel="0" collapsed="false">
      <c r="A103" s="9" t="s">
        <v>2766</v>
      </c>
      <c r="B103" s="10" t="s">
        <v>2049</v>
      </c>
      <c r="C103" s="9" t="s">
        <v>2048</v>
      </c>
      <c r="D103" s="9" t="s">
        <v>2671</v>
      </c>
      <c r="E103" s="9" t="s">
        <v>2671</v>
      </c>
    </row>
    <row r="104" customFormat="false" ht="15" hidden="false" customHeight="false" outlineLevel="0" collapsed="false">
      <c r="A104" s="9" t="s">
        <v>2766</v>
      </c>
      <c r="B104" s="10" t="s">
        <v>2051</v>
      </c>
      <c r="C104" s="9" t="s">
        <v>2050</v>
      </c>
      <c r="D104" s="9" t="s">
        <v>2671</v>
      </c>
      <c r="E104" s="9" t="s">
        <v>2671</v>
      </c>
    </row>
    <row r="105" customFormat="false" ht="15" hidden="false" customHeight="false" outlineLevel="0" collapsed="false">
      <c r="A105" s="9" t="s">
        <v>2766</v>
      </c>
      <c r="B105" s="10" t="s">
        <v>2053</v>
      </c>
      <c r="C105" s="9" t="s">
        <v>2052</v>
      </c>
      <c r="D105" s="9" t="s">
        <v>2671</v>
      </c>
      <c r="E105" s="9" t="s">
        <v>2671</v>
      </c>
    </row>
    <row r="106" customFormat="false" ht="15" hidden="false" customHeight="false" outlineLevel="0" collapsed="false">
      <c r="A106" s="9" t="s">
        <v>2766</v>
      </c>
      <c r="B106" s="10" t="s">
        <v>2055</v>
      </c>
      <c r="C106" s="9" t="s">
        <v>2054</v>
      </c>
      <c r="D106" s="9" t="s">
        <v>2671</v>
      </c>
      <c r="E106" s="9" t="s">
        <v>2671</v>
      </c>
    </row>
    <row r="107" customFormat="false" ht="15" hidden="false" customHeight="false" outlineLevel="0" collapsed="false">
      <c r="A107" s="9" t="s">
        <v>2766</v>
      </c>
      <c r="B107" s="10" t="s">
        <v>2814</v>
      </c>
      <c r="C107" s="9" t="s">
        <v>2815</v>
      </c>
      <c r="D107" s="9" t="s">
        <v>2671</v>
      </c>
      <c r="E107" s="9" t="s">
        <v>2671</v>
      </c>
    </row>
    <row r="108" customFormat="false" ht="15" hidden="false" customHeight="false" outlineLevel="0" collapsed="false">
      <c r="A108" s="9" t="s">
        <v>2766</v>
      </c>
      <c r="B108" s="10" t="s">
        <v>2816</v>
      </c>
      <c r="C108" s="9" t="s">
        <v>2817</v>
      </c>
      <c r="D108" s="9" t="s">
        <v>2671</v>
      </c>
      <c r="E108" s="9" t="s">
        <v>2671</v>
      </c>
    </row>
    <row r="109" customFormat="false" ht="15" hidden="false" customHeight="false" outlineLevel="0" collapsed="false">
      <c r="A109" s="9" t="s">
        <v>2766</v>
      </c>
      <c r="B109" s="10" t="s">
        <v>2818</v>
      </c>
      <c r="C109" s="9" t="s">
        <v>2819</v>
      </c>
      <c r="D109" s="9" t="s">
        <v>2671</v>
      </c>
      <c r="E109" s="9" t="s">
        <v>2671</v>
      </c>
    </row>
    <row r="110" customFormat="false" ht="15" hidden="false" customHeight="false" outlineLevel="0" collapsed="false">
      <c r="A110" s="9" t="s">
        <v>2766</v>
      </c>
      <c r="B110" s="10" t="s">
        <v>2820</v>
      </c>
      <c r="C110" s="9" t="s">
        <v>2821</v>
      </c>
      <c r="D110" s="9" t="s">
        <v>2671</v>
      </c>
      <c r="E110" s="9" t="s">
        <v>2671</v>
      </c>
    </row>
    <row r="111" customFormat="false" ht="15" hidden="false" customHeight="false" outlineLevel="0" collapsed="false">
      <c r="A111" s="9" t="s">
        <v>2766</v>
      </c>
      <c r="B111" s="10" t="s">
        <v>2822</v>
      </c>
      <c r="C111" s="9" t="s">
        <v>2823</v>
      </c>
      <c r="D111" s="9" t="s">
        <v>2671</v>
      </c>
      <c r="E111" s="9" t="s">
        <v>2671</v>
      </c>
    </row>
    <row r="112" customFormat="false" ht="15" hidden="false" customHeight="false" outlineLevel="0" collapsed="false">
      <c r="A112" s="9" t="s">
        <v>2766</v>
      </c>
      <c r="B112" s="10" t="s">
        <v>2059</v>
      </c>
      <c r="C112" s="9" t="s">
        <v>2058</v>
      </c>
      <c r="D112" s="9" t="s">
        <v>2671</v>
      </c>
      <c r="E112" s="9" t="s">
        <v>2671</v>
      </c>
    </row>
    <row r="113" customFormat="false" ht="15" hidden="false" customHeight="false" outlineLevel="0" collapsed="false">
      <c r="A113" s="9" t="s">
        <v>2766</v>
      </c>
      <c r="B113" s="10" t="s">
        <v>2824</v>
      </c>
      <c r="C113" s="9" t="s">
        <v>2825</v>
      </c>
      <c r="D113" s="9" t="s">
        <v>2671</v>
      </c>
      <c r="E113" s="9" t="s">
        <v>2671</v>
      </c>
    </row>
    <row r="114" customFormat="false" ht="15" hidden="false" customHeight="false" outlineLevel="0" collapsed="false">
      <c r="A114" s="9" t="s">
        <v>2766</v>
      </c>
      <c r="B114" s="10" t="s">
        <v>2826</v>
      </c>
      <c r="C114" s="9" t="s">
        <v>2827</v>
      </c>
      <c r="D114" s="9" t="s">
        <v>2671</v>
      </c>
      <c r="E114" s="9" t="s">
        <v>2671</v>
      </c>
    </row>
    <row r="115" customFormat="false" ht="15" hidden="false" customHeight="false" outlineLevel="0" collapsed="false">
      <c r="A115" s="9" t="s">
        <v>2766</v>
      </c>
      <c r="B115" s="10" t="s">
        <v>2828</v>
      </c>
      <c r="C115" s="9" t="s">
        <v>2829</v>
      </c>
      <c r="D115" s="9" t="s">
        <v>2671</v>
      </c>
      <c r="E115" s="9" t="s">
        <v>2671</v>
      </c>
    </row>
    <row r="116" customFormat="false" ht="15" hidden="false" customHeight="false" outlineLevel="0" collapsed="false">
      <c r="A116" s="9" t="s">
        <v>2766</v>
      </c>
      <c r="B116" s="10" t="s">
        <v>2830</v>
      </c>
      <c r="C116" s="9" t="s">
        <v>2831</v>
      </c>
      <c r="D116" s="9" t="s">
        <v>2671</v>
      </c>
      <c r="E116" s="9" t="s">
        <v>2671</v>
      </c>
    </row>
    <row r="117" customFormat="false" ht="15" hidden="false" customHeight="false" outlineLevel="0" collapsed="false">
      <c r="A117" s="9" t="s">
        <v>2766</v>
      </c>
      <c r="B117" s="10" t="s">
        <v>2832</v>
      </c>
      <c r="C117" s="9" t="s">
        <v>2833</v>
      </c>
      <c r="D117" s="9" t="s">
        <v>2671</v>
      </c>
      <c r="E117" s="9" t="s">
        <v>2671</v>
      </c>
    </row>
    <row r="118" customFormat="false" ht="15" hidden="false" customHeight="false" outlineLevel="0" collapsed="false">
      <c r="A118" s="9" t="s">
        <v>2766</v>
      </c>
      <c r="B118" s="10" t="s">
        <v>2834</v>
      </c>
      <c r="C118" s="9" t="s">
        <v>2835</v>
      </c>
      <c r="D118" s="9" t="s">
        <v>2671</v>
      </c>
      <c r="E118" s="9" t="s">
        <v>2671</v>
      </c>
    </row>
    <row r="119" customFormat="false" ht="15" hidden="false" customHeight="false" outlineLevel="0" collapsed="false">
      <c r="A119" s="9" t="s">
        <v>2766</v>
      </c>
      <c r="B119" s="10" t="s">
        <v>2836</v>
      </c>
      <c r="C119" s="9" t="s">
        <v>2837</v>
      </c>
      <c r="D119" s="9" t="s">
        <v>2671</v>
      </c>
      <c r="E119" s="9" t="s">
        <v>2671</v>
      </c>
    </row>
    <row r="120" customFormat="false" ht="15" hidden="false" customHeight="false" outlineLevel="0" collapsed="false">
      <c r="A120" s="9" t="s">
        <v>2766</v>
      </c>
      <c r="B120" s="10" t="s">
        <v>2838</v>
      </c>
      <c r="C120" s="9" t="s">
        <v>2837</v>
      </c>
      <c r="D120" s="9" t="s">
        <v>2671</v>
      </c>
      <c r="E120" s="9" t="s">
        <v>2671</v>
      </c>
    </row>
    <row r="121" customFormat="false" ht="15" hidden="false" customHeight="false" outlineLevel="0" collapsed="false">
      <c r="A121" s="9" t="s">
        <v>2766</v>
      </c>
      <c r="B121" s="10" t="s">
        <v>2839</v>
      </c>
      <c r="C121" s="9" t="s">
        <v>2840</v>
      </c>
      <c r="D121" s="9" t="s">
        <v>2671</v>
      </c>
      <c r="E121" s="9" t="s">
        <v>2671</v>
      </c>
    </row>
    <row r="122" customFormat="false" ht="15" hidden="false" customHeight="false" outlineLevel="0" collapsed="false">
      <c r="A122" s="9" t="s">
        <v>2766</v>
      </c>
      <c r="B122" s="10" t="s">
        <v>2841</v>
      </c>
      <c r="C122" s="9" t="s">
        <v>2840</v>
      </c>
      <c r="D122" s="9" t="s">
        <v>2671</v>
      </c>
      <c r="E122" s="9" t="s">
        <v>2671</v>
      </c>
    </row>
    <row r="123" customFormat="false" ht="15" hidden="false" customHeight="false" outlineLevel="0" collapsed="false">
      <c r="A123" s="9" t="s">
        <v>2766</v>
      </c>
      <c r="B123" s="10" t="s">
        <v>2842</v>
      </c>
      <c r="C123" s="9" t="s">
        <v>2843</v>
      </c>
      <c r="D123" s="9" t="s">
        <v>2671</v>
      </c>
      <c r="E123" s="9" t="s">
        <v>2671</v>
      </c>
    </row>
    <row r="124" customFormat="false" ht="15" hidden="false" customHeight="false" outlineLevel="0" collapsed="false">
      <c r="A124" s="9" t="s">
        <v>2766</v>
      </c>
      <c r="B124" s="10" t="s">
        <v>2844</v>
      </c>
      <c r="C124" s="9" t="s">
        <v>2845</v>
      </c>
      <c r="D124" s="9" t="s">
        <v>2671</v>
      </c>
      <c r="E124" s="9" t="s">
        <v>2671</v>
      </c>
    </row>
    <row r="125" customFormat="false" ht="15" hidden="false" customHeight="false" outlineLevel="0" collapsed="false">
      <c r="A125" s="9" t="s">
        <v>2766</v>
      </c>
      <c r="B125" s="10" t="s">
        <v>2846</v>
      </c>
      <c r="C125" s="9" t="s">
        <v>2847</v>
      </c>
      <c r="D125" s="9" t="s">
        <v>2671</v>
      </c>
      <c r="E125" s="9" t="s">
        <v>2671</v>
      </c>
    </row>
    <row r="126" customFormat="false" ht="15" hidden="false" customHeight="false" outlineLevel="0" collapsed="false">
      <c r="A126" s="9" t="s">
        <v>2766</v>
      </c>
      <c r="B126" s="10" t="s">
        <v>2848</v>
      </c>
      <c r="C126" s="9" t="s">
        <v>2849</v>
      </c>
      <c r="D126" s="9" t="s">
        <v>2671</v>
      </c>
      <c r="E126" s="9" t="s">
        <v>2671</v>
      </c>
    </row>
    <row r="127" customFormat="false" ht="15" hidden="false" customHeight="false" outlineLevel="0" collapsed="false">
      <c r="A127" s="9" t="s">
        <v>2766</v>
      </c>
      <c r="B127" s="10" t="s">
        <v>2850</v>
      </c>
      <c r="C127" s="9" t="s">
        <v>2851</v>
      </c>
      <c r="D127" s="9" t="s">
        <v>2671</v>
      </c>
      <c r="E127" s="9" t="s">
        <v>2671</v>
      </c>
    </row>
    <row r="128" customFormat="false" ht="15" hidden="false" customHeight="false" outlineLevel="0" collapsed="false">
      <c r="A128" s="9" t="s">
        <v>2766</v>
      </c>
      <c r="B128" s="10" t="s">
        <v>2078</v>
      </c>
      <c r="C128" s="9" t="s">
        <v>2077</v>
      </c>
      <c r="D128" s="9" t="s">
        <v>2671</v>
      </c>
      <c r="E128" s="9" t="s">
        <v>2671</v>
      </c>
    </row>
    <row r="129" customFormat="false" ht="15" hidden="false" customHeight="false" outlineLevel="0" collapsed="false">
      <c r="A129" s="9" t="s">
        <v>2766</v>
      </c>
      <c r="B129" s="10" t="s">
        <v>2080</v>
      </c>
      <c r="C129" s="9" t="s">
        <v>2079</v>
      </c>
      <c r="D129" s="9" t="s">
        <v>2671</v>
      </c>
      <c r="E129" s="9" t="s">
        <v>2671</v>
      </c>
    </row>
    <row r="130" customFormat="false" ht="15" hidden="false" customHeight="false" outlineLevel="0" collapsed="false">
      <c r="A130" s="9" t="s">
        <v>2766</v>
      </c>
      <c r="B130" s="10" t="s">
        <v>2082</v>
      </c>
      <c r="C130" s="9" t="s">
        <v>2081</v>
      </c>
      <c r="D130" s="9" t="s">
        <v>2671</v>
      </c>
      <c r="E130" s="9" t="s">
        <v>2671</v>
      </c>
    </row>
    <row r="131" customFormat="false" ht="15" hidden="false" customHeight="false" outlineLevel="0" collapsed="false">
      <c r="A131" s="9" t="s">
        <v>2766</v>
      </c>
      <c r="B131" s="10" t="s">
        <v>2084</v>
      </c>
      <c r="C131" s="9" t="s">
        <v>2083</v>
      </c>
      <c r="D131" s="9" t="s">
        <v>2671</v>
      </c>
      <c r="E131" s="9" t="s">
        <v>2671</v>
      </c>
    </row>
    <row r="132" customFormat="false" ht="15" hidden="false" customHeight="false" outlineLevel="0" collapsed="false">
      <c r="A132" s="9" t="s">
        <v>2766</v>
      </c>
      <c r="B132" s="10" t="s">
        <v>2852</v>
      </c>
      <c r="C132" s="9" t="s">
        <v>2085</v>
      </c>
      <c r="D132" s="9" t="s">
        <v>2671</v>
      </c>
      <c r="E132" s="9" t="s">
        <v>2671</v>
      </c>
    </row>
    <row r="133" customFormat="false" ht="15" hidden="false" customHeight="false" outlineLevel="0" collapsed="false">
      <c r="A133" s="9" t="s">
        <v>2766</v>
      </c>
      <c r="B133" s="10" t="s">
        <v>2088</v>
      </c>
      <c r="C133" s="9" t="s">
        <v>2853</v>
      </c>
      <c r="D133" s="9" t="s">
        <v>2671</v>
      </c>
      <c r="E133" s="9" t="s">
        <v>2671</v>
      </c>
    </row>
    <row r="134" customFormat="false" ht="15" hidden="false" customHeight="false" outlineLevel="0" collapsed="false">
      <c r="A134" s="9" t="s">
        <v>2766</v>
      </c>
      <c r="B134" s="10" t="s">
        <v>2854</v>
      </c>
      <c r="C134" s="9" t="s">
        <v>2855</v>
      </c>
      <c r="D134" s="9" t="s">
        <v>2671</v>
      </c>
      <c r="E134" s="9" t="s">
        <v>2671</v>
      </c>
    </row>
    <row r="135" customFormat="false" ht="15" hidden="false" customHeight="false" outlineLevel="0" collapsed="false">
      <c r="A135" s="9" t="s">
        <v>2766</v>
      </c>
      <c r="B135" s="10" t="s">
        <v>2856</v>
      </c>
      <c r="C135" s="9" t="s">
        <v>2857</v>
      </c>
      <c r="D135" s="9" t="s">
        <v>2671</v>
      </c>
      <c r="E135" s="9" t="s">
        <v>2671</v>
      </c>
    </row>
    <row r="136" customFormat="false" ht="15" hidden="false" customHeight="false" outlineLevel="0" collapsed="false">
      <c r="A136" s="9" t="s">
        <v>2766</v>
      </c>
      <c r="B136" s="10" t="s">
        <v>2858</v>
      </c>
      <c r="C136" s="9" t="s">
        <v>2859</v>
      </c>
      <c r="D136" s="9" t="s">
        <v>2671</v>
      </c>
      <c r="E136" s="9" t="s">
        <v>2671</v>
      </c>
    </row>
    <row r="137" customFormat="false" ht="15" hidden="false" customHeight="false" outlineLevel="0" collapsed="false">
      <c r="A137" s="9" t="s">
        <v>2766</v>
      </c>
      <c r="B137" s="10" t="s">
        <v>2860</v>
      </c>
      <c r="C137" s="9" t="s">
        <v>2861</v>
      </c>
      <c r="D137" s="9" t="s">
        <v>2671</v>
      </c>
      <c r="E137" s="9" t="s">
        <v>2671</v>
      </c>
    </row>
    <row r="138" customFormat="false" ht="15" hidden="false" customHeight="false" outlineLevel="0" collapsed="false">
      <c r="A138" s="9" t="s">
        <v>2766</v>
      </c>
      <c r="B138" s="10" t="s">
        <v>2862</v>
      </c>
      <c r="C138" s="9" t="s">
        <v>2863</v>
      </c>
      <c r="D138" s="9" t="s">
        <v>2671</v>
      </c>
      <c r="E138" s="9" t="s">
        <v>2671</v>
      </c>
    </row>
    <row r="139" customFormat="false" ht="15" hidden="false" customHeight="false" outlineLevel="0" collapsed="false">
      <c r="A139" s="9" t="s">
        <v>2766</v>
      </c>
      <c r="B139" s="10" t="s">
        <v>2864</v>
      </c>
      <c r="C139" s="9" t="s">
        <v>2865</v>
      </c>
      <c r="D139" s="9" t="s">
        <v>2671</v>
      </c>
      <c r="E139" s="9" t="s">
        <v>2671</v>
      </c>
    </row>
    <row r="140" customFormat="false" ht="15" hidden="false" customHeight="false" outlineLevel="0" collapsed="false">
      <c r="A140" s="9" t="s">
        <v>2766</v>
      </c>
      <c r="B140" s="10" t="s">
        <v>2866</v>
      </c>
      <c r="C140" s="9" t="s">
        <v>2867</v>
      </c>
      <c r="D140" s="9" t="s">
        <v>2671</v>
      </c>
      <c r="E140" s="9" t="s">
        <v>2671</v>
      </c>
    </row>
    <row r="141" customFormat="false" ht="15" hidden="false" customHeight="false" outlineLevel="0" collapsed="false">
      <c r="A141" s="9" t="s">
        <v>2766</v>
      </c>
      <c r="B141" s="10" t="s">
        <v>2868</v>
      </c>
      <c r="C141" s="9" t="s">
        <v>2869</v>
      </c>
      <c r="D141" s="9" t="s">
        <v>2671</v>
      </c>
      <c r="E141" s="9" t="s">
        <v>2671</v>
      </c>
    </row>
    <row r="142" customFormat="false" ht="15" hidden="false" customHeight="false" outlineLevel="0" collapsed="false">
      <c r="A142" s="9" t="s">
        <v>2766</v>
      </c>
      <c r="B142" s="10" t="s">
        <v>2870</v>
      </c>
      <c r="C142" s="9" t="s">
        <v>2871</v>
      </c>
      <c r="D142" s="9" t="s">
        <v>2671</v>
      </c>
      <c r="E142" s="9" t="s">
        <v>2671</v>
      </c>
    </row>
    <row r="143" customFormat="false" ht="15" hidden="false" customHeight="false" outlineLevel="0" collapsed="false">
      <c r="A143" s="9" t="s">
        <v>2766</v>
      </c>
      <c r="B143" s="10" t="s">
        <v>2872</v>
      </c>
      <c r="C143" s="9" t="s">
        <v>2873</v>
      </c>
      <c r="D143" s="9" t="s">
        <v>2671</v>
      </c>
      <c r="E143" s="9" t="s">
        <v>2671</v>
      </c>
    </row>
    <row r="144" customFormat="false" ht="15" hidden="false" customHeight="false" outlineLevel="0" collapsed="false">
      <c r="A144" s="9" t="s">
        <v>2766</v>
      </c>
      <c r="B144" s="10" t="s">
        <v>2874</v>
      </c>
      <c r="C144" s="9" t="s">
        <v>2875</v>
      </c>
      <c r="D144" s="9" t="s">
        <v>2671</v>
      </c>
      <c r="E144" s="9" t="s">
        <v>2671</v>
      </c>
    </row>
    <row r="145" customFormat="false" ht="15" hidden="false" customHeight="false" outlineLevel="0" collapsed="false">
      <c r="A145" s="9" t="s">
        <v>2766</v>
      </c>
      <c r="B145" s="10" t="s">
        <v>2108</v>
      </c>
      <c r="C145" s="9" t="s">
        <v>2107</v>
      </c>
      <c r="D145" s="9" t="s">
        <v>2671</v>
      </c>
      <c r="E145" s="9" t="s">
        <v>2671</v>
      </c>
    </row>
    <row r="146" customFormat="false" ht="15" hidden="false" customHeight="false" outlineLevel="0" collapsed="false">
      <c r="A146" s="9" t="s">
        <v>2766</v>
      </c>
      <c r="B146" s="10" t="s">
        <v>2110</v>
      </c>
      <c r="C146" s="9" t="s">
        <v>2109</v>
      </c>
      <c r="D146" s="9" t="s">
        <v>2671</v>
      </c>
      <c r="E146" s="9" t="s">
        <v>2671</v>
      </c>
    </row>
    <row r="147" customFormat="false" ht="15" hidden="false" customHeight="false" outlineLevel="0" collapsed="false">
      <c r="A147" s="9" t="s">
        <v>2766</v>
      </c>
      <c r="B147" s="10" t="s">
        <v>2112</v>
      </c>
      <c r="C147" s="9" t="s">
        <v>2876</v>
      </c>
      <c r="D147" s="9" t="s">
        <v>2671</v>
      </c>
      <c r="E147" s="9" t="s">
        <v>2671</v>
      </c>
    </row>
    <row r="148" customFormat="false" ht="15" hidden="false" customHeight="false" outlineLevel="0" collapsed="false">
      <c r="A148" s="9" t="s">
        <v>2766</v>
      </c>
      <c r="B148" s="10" t="s">
        <v>2877</v>
      </c>
      <c r="C148" s="9" t="s">
        <v>2878</v>
      </c>
      <c r="D148" s="9" t="s">
        <v>2671</v>
      </c>
      <c r="E148" s="9" t="s">
        <v>2671</v>
      </c>
    </row>
    <row r="149" customFormat="false" ht="15" hidden="false" customHeight="false" outlineLevel="0" collapsed="false">
      <c r="A149" s="9" t="s">
        <v>2766</v>
      </c>
      <c r="B149" s="10" t="s">
        <v>2879</v>
      </c>
      <c r="C149" s="9" t="s">
        <v>2880</v>
      </c>
      <c r="D149" s="9" t="s">
        <v>2671</v>
      </c>
      <c r="E149" s="9" t="s">
        <v>2671</v>
      </c>
    </row>
    <row r="150" customFormat="false" ht="15" hidden="false" customHeight="false" outlineLevel="0" collapsed="false">
      <c r="A150" s="9" t="s">
        <v>2766</v>
      </c>
      <c r="B150" s="10" t="s">
        <v>2881</v>
      </c>
      <c r="C150" s="9" t="s">
        <v>2882</v>
      </c>
      <c r="D150" s="9" t="s">
        <v>2671</v>
      </c>
      <c r="E150" s="9" t="s">
        <v>2671</v>
      </c>
    </row>
    <row r="151" customFormat="false" ht="15" hidden="false" customHeight="false" outlineLevel="0" collapsed="false">
      <c r="A151" s="9" t="s">
        <v>2766</v>
      </c>
      <c r="B151" s="10" t="s">
        <v>2883</v>
      </c>
      <c r="C151" s="9" t="s">
        <v>2884</v>
      </c>
      <c r="D151" s="9" t="s">
        <v>2671</v>
      </c>
      <c r="E151" s="9" t="s">
        <v>2671</v>
      </c>
    </row>
    <row r="152" customFormat="false" ht="15" hidden="false" customHeight="false" outlineLevel="0" collapsed="false">
      <c r="A152" s="9" t="s">
        <v>2766</v>
      </c>
      <c r="B152" s="10" t="s">
        <v>2885</v>
      </c>
      <c r="C152" s="9" t="s">
        <v>2886</v>
      </c>
      <c r="D152" s="9" t="s">
        <v>2671</v>
      </c>
      <c r="E152" s="9" t="s">
        <v>2671</v>
      </c>
    </row>
    <row r="153" customFormat="false" ht="15" hidden="false" customHeight="false" outlineLevel="0" collapsed="false">
      <c r="A153" s="9" t="s">
        <v>2766</v>
      </c>
      <c r="B153" s="10" t="s">
        <v>2887</v>
      </c>
      <c r="C153" s="9" t="s">
        <v>2888</v>
      </c>
      <c r="D153" s="9" t="s">
        <v>2671</v>
      </c>
      <c r="E153" s="9" t="s">
        <v>2671</v>
      </c>
    </row>
    <row r="154" customFormat="false" ht="15" hidden="false" customHeight="false" outlineLevel="0" collapsed="false">
      <c r="A154" s="9" t="s">
        <v>2766</v>
      </c>
      <c r="B154" s="10" t="s">
        <v>2889</v>
      </c>
      <c r="C154" s="9" t="s">
        <v>2890</v>
      </c>
      <c r="D154" s="9" t="s">
        <v>2671</v>
      </c>
      <c r="E154" s="9" t="s">
        <v>2671</v>
      </c>
    </row>
    <row r="155" customFormat="false" ht="15" hidden="false" customHeight="false" outlineLevel="0" collapsed="false">
      <c r="A155" s="9" t="s">
        <v>2766</v>
      </c>
      <c r="B155" s="10" t="s">
        <v>2128</v>
      </c>
      <c r="C155" s="9" t="s">
        <v>2127</v>
      </c>
      <c r="D155" s="9" t="s">
        <v>2671</v>
      </c>
      <c r="E155" s="9" t="s">
        <v>2671</v>
      </c>
    </row>
    <row r="156" customFormat="false" ht="15" hidden="false" customHeight="false" outlineLevel="0" collapsed="false">
      <c r="A156" s="9" t="s">
        <v>2766</v>
      </c>
      <c r="B156" s="10" t="s">
        <v>2130</v>
      </c>
      <c r="C156" s="9" t="s">
        <v>2129</v>
      </c>
      <c r="D156" s="9" t="s">
        <v>2671</v>
      </c>
      <c r="E156" s="9" t="s">
        <v>2671</v>
      </c>
    </row>
    <row r="157" customFormat="false" ht="15" hidden="false" customHeight="false" outlineLevel="0" collapsed="false">
      <c r="A157" s="9" t="s">
        <v>2766</v>
      </c>
      <c r="B157" s="10" t="s">
        <v>2891</v>
      </c>
      <c r="C157" s="9" t="s">
        <v>2892</v>
      </c>
      <c r="D157" s="9" t="s">
        <v>2671</v>
      </c>
      <c r="E157" s="9" t="s">
        <v>2671</v>
      </c>
    </row>
    <row r="158" customFormat="false" ht="15" hidden="false" customHeight="false" outlineLevel="0" collapsed="false">
      <c r="A158" s="9" t="s">
        <v>2766</v>
      </c>
      <c r="B158" s="10" t="s">
        <v>2134</v>
      </c>
      <c r="C158" s="9" t="s">
        <v>2893</v>
      </c>
      <c r="D158" s="9" t="s">
        <v>2671</v>
      </c>
      <c r="E158" s="9" t="s">
        <v>2671</v>
      </c>
    </row>
    <row r="159" customFormat="false" ht="15" hidden="false" customHeight="false" outlineLevel="0" collapsed="false">
      <c r="A159" s="9" t="s">
        <v>2766</v>
      </c>
      <c r="B159" s="10" t="s">
        <v>2136</v>
      </c>
      <c r="C159" s="9" t="s">
        <v>2135</v>
      </c>
      <c r="D159" s="9" t="s">
        <v>2671</v>
      </c>
      <c r="E159" s="9" t="s">
        <v>2671</v>
      </c>
    </row>
    <row r="160" customFormat="false" ht="15" hidden="false" customHeight="false" outlineLevel="0" collapsed="false">
      <c r="A160" s="9" t="s">
        <v>2766</v>
      </c>
      <c r="B160" s="10" t="s">
        <v>2138</v>
      </c>
      <c r="C160" s="9" t="s">
        <v>2137</v>
      </c>
      <c r="D160" s="9" t="s">
        <v>2671</v>
      </c>
      <c r="E160" s="9" t="s">
        <v>2671</v>
      </c>
    </row>
    <row r="161" customFormat="false" ht="15" hidden="false" customHeight="false" outlineLevel="0" collapsed="false">
      <c r="A161" s="9" t="s">
        <v>2766</v>
      </c>
      <c r="B161" s="10" t="s">
        <v>2140</v>
      </c>
      <c r="C161" s="9" t="s">
        <v>2894</v>
      </c>
      <c r="D161" s="9" t="s">
        <v>2671</v>
      </c>
      <c r="E161" s="9" t="s">
        <v>2671</v>
      </c>
    </row>
    <row r="162" customFormat="false" ht="15" hidden="false" customHeight="false" outlineLevel="0" collapsed="false">
      <c r="A162" s="9" t="s">
        <v>2766</v>
      </c>
      <c r="B162" s="10" t="s">
        <v>2142</v>
      </c>
      <c r="C162" s="9" t="s">
        <v>2141</v>
      </c>
      <c r="D162" s="9" t="s">
        <v>2671</v>
      </c>
      <c r="E162" s="9" t="s">
        <v>2671</v>
      </c>
    </row>
    <row r="163" customFormat="false" ht="15" hidden="false" customHeight="false" outlineLevel="0" collapsed="false">
      <c r="A163" s="9" t="s">
        <v>2766</v>
      </c>
      <c r="B163" s="10" t="s">
        <v>2144</v>
      </c>
      <c r="C163" s="9" t="s">
        <v>2143</v>
      </c>
      <c r="D163" s="9" t="s">
        <v>2671</v>
      </c>
      <c r="E163" s="9" t="s">
        <v>2671</v>
      </c>
    </row>
    <row r="164" customFormat="false" ht="15" hidden="false" customHeight="false" outlineLevel="0" collapsed="false">
      <c r="A164" s="9" t="s">
        <v>2766</v>
      </c>
      <c r="B164" s="10" t="s">
        <v>2146</v>
      </c>
      <c r="C164" s="9" t="s">
        <v>2145</v>
      </c>
      <c r="D164" s="9" t="s">
        <v>2671</v>
      </c>
      <c r="E164" s="9" t="s">
        <v>2671</v>
      </c>
    </row>
    <row r="165" customFormat="false" ht="15" hidden="false" customHeight="false" outlineLevel="0" collapsed="false">
      <c r="A165" s="9" t="s">
        <v>2766</v>
      </c>
      <c r="B165" s="10" t="s">
        <v>2148</v>
      </c>
      <c r="C165" s="9" t="s">
        <v>2147</v>
      </c>
      <c r="D165" s="9" t="s">
        <v>2671</v>
      </c>
      <c r="E165" s="9" t="s">
        <v>2671</v>
      </c>
    </row>
    <row r="166" customFormat="false" ht="15" hidden="false" customHeight="false" outlineLevel="0" collapsed="false">
      <c r="A166" s="9" t="s">
        <v>2766</v>
      </c>
      <c r="B166" s="10" t="s">
        <v>2150</v>
      </c>
      <c r="C166" s="9" t="s">
        <v>2149</v>
      </c>
      <c r="D166" s="9" t="s">
        <v>2671</v>
      </c>
      <c r="E166" s="9" t="s">
        <v>2671</v>
      </c>
    </row>
    <row r="167" customFormat="false" ht="15" hidden="false" customHeight="false" outlineLevel="0" collapsed="false">
      <c r="A167" s="9" t="s">
        <v>2766</v>
      </c>
      <c r="B167" s="10" t="s">
        <v>2152</v>
      </c>
      <c r="C167" s="9" t="s">
        <v>2151</v>
      </c>
      <c r="D167" s="9" t="s">
        <v>2671</v>
      </c>
      <c r="E167" s="9" t="s">
        <v>2671</v>
      </c>
    </row>
    <row r="168" customFormat="false" ht="15" hidden="false" customHeight="false" outlineLevel="0" collapsed="false">
      <c r="A168" s="9" t="s">
        <v>2766</v>
      </c>
      <c r="B168" s="10" t="s">
        <v>2154</v>
      </c>
      <c r="C168" s="9" t="s">
        <v>2153</v>
      </c>
      <c r="D168" s="9" t="s">
        <v>2671</v>
      </c>
      <c r="E168" s="9" t="s">
        <v>2671</v>
      </c>
    </row>
    <row r="169" customFormat="false" ht="15" hidden="false" customHeight="false" outlineLevel="0" collapsed="false">
      <c r="A169" s="9" t="s">
        <v>2766</v>
      </c>
      <c r="B169" s="10" t="s">
        <v>2156</v>
      </c>
      <c r="C169" s="9" t="s">
        <v>2155</v>
      </c>
      <c r="D169" s="9" t="s">
        <v>2671</v>
      </c>
      <c r="E169" s="9" t="s">
        <v>2671</v>
      </c>
    </row>
    <row r="170" customFormat="false" ht="15" hidden="false" customHeight="false" outlineLevel="0" collapsed="false">
      <c r="A170" s="9" t="s">
        <v>2766</v>
      </c>
      <c r="B170" s="10" t="s">
        <v>2158</v>
      </c>
      <c r="C170" s="9" t="s">
        <v>2157</v>
      </c>
      <c r="D170" s="9" t="s">
        <v>2671</v>
      </c>
      <c r="E170" s="9" t="s">
        <v>2671</v>
      </c>
    </row>
    <row r="171" customFormat="false" ht="15" hidden="false" customHeight="false" outlineLevel="0" collapsed="false">
      <c r="A171" s="9" t="s">
        <v>2766</v>
      </c>
      <c r="B171" s="10" t="s">
        <v>2160</v>
      </c>
      <c r="C171" s="9" t="s">
        <v>2159</v>
      </c>
      <c r="D171" s="9" t="s">
        <v>2671</v>
      </c>
      <c r="E171" s="9" t="s">
        <v>2671</v>
      </c>
    </row>
    <row r="172" customFormat="false" ht="15" hidden="false" customHeight="false" outlineLevel="0" collapsed="false">
      <c r="A172" s="9" t="s">
        <v>2766</v>
      </c>
      <c r="B172" s="10" t="s">
        <v>2162</v>
      </c>
      <c r="C172" s="9" t="s">
        <v>2161</v>
      </c>
      <c r="D172" s="9" t="s">
        <v>2671</v>
      </c>
      <c r="E172" s="9" t="s">
        <v>2671</v>
      </c>
    </row>
    <row r="173" customFormat="false" ht="15" hidden="false" customHeight="false" outlineLevel="0" collapsed="false">
      <c r="A173" s="9" t="s">
        <v>2766</v>
      </c>
      <c r="B173" s="10" t="s">
        <v>2164</v>
      </c>
      <c r="C173" s="9" t="s">
        <v>2163</v>
      </c>
      <c r="D173" s="9" t="s">
        <v>2671</v>
      </c>
      <c r="E173" s="9" t="s">
        <v>2671</v>
      </c>
    </row>
    <row r="174" customFormat="false" ht="15" hidden="false" customHeight="false" outlineLevel="0" collapsed="false">
      <c r="A174" s="9" t="s">
        <v>2766</v>
      </c>
      <c r="B174" s="10" t="s">
        <v>2166</v>
      </c>
      <c r="C174" s="9" t="s">
        <v>2165</v>
      </c>
      <c r="D174" s="9" t="s">
        <v>2671</v>
      </c>
      <c r="E174" s="9" t="s">
        <v>2671</v>
      </c>
    </row>
    <row r="175" customFormat="false" ht="15" hidden="false" customHeight="false" outlineLevel="0" collapsed="false">
      <c r="A175" s="9" t="s">
        <v>2766</v>
      </c>
      <c r="B175" s="10" t="s">
        <v>2168</v>
      </c>
      <c r="C175" s="9" t="s">
        <v>2167</v>
      </c>
      <c r="D175" s="9" t="s">
        <v>2671</v>
      </c>
      <c r="E175" s="9" t="s">
        <v>2671</v>
      </c>
    </row>
    <row r="176" customFormat="false" ht="15" hidden="false" customHeight="false" outlineLevel="0" collapsed="false">
      <c r="A176" s="9" t="s">
        <v>2766</v>
      </c>
      <c r="B176" s="10" t="s">
        <v>2170</v>
      </c>
      <c r="C176" s="9" t="s">
        <v>2169</v>
      </c>
      <c r="D176" s="9" t="s">
        <v>2671</v>
      </c>
      <c r="E176" s="9" t="s">
        <v>2671</v>
      </c>
    </row>
    <row r="177" customFormat="false" ht="15" hidden="false" customHeight="false" outlineLevel="0" collapsed="false">
      <c r="A177" s="9" t="s">
        <v>2766</v>
      </c>
      <c r="B177" s="10" t="s">
        <v>2172</v>
      </c>
      <c r="C177" s="9" t="s">
        <v>2171</v>
      </c>
      <c r="D177" s="9" t="s">
        <v>2671</v>
      </c>
      <c r="E177" s="9" t="s">
        <v>2671</v>
      </c>
    </row>
    <row r="178" customFormat="false" ht="15" hidden="false" customHeight="false" outlineLevel="0" collapsed="false">
      <c r="A178" s="9" t="s">
        <v>2766</v>
      </c>
      <c r="B178" s="10" t="s">
        <v>2174</v>
      </c>
      <c r="C178" s="9" t="s">
        <v>2173</v>
      </c>
      <c r="D178" s="9" t="s">
        <v>2671</v>
      </c>
      <c r="E178" s="9" t="s">
        <v>2671</v>
      </c>
    </row>
    <row r="179" customFormat="false" ht="15" hidden="false" customHeight="false" outlineLevel="0" collapsed="false">
      <c r="A179" s="9" t="s">
        <v>2766</v>
      </c>
      <c r="B179" s="10" t="s">
        <v>2176</v>
      </c>
      <c r="C179" s="9" t="s">
        <v>2175</v>
      </c>
      <c r="D179" s="9" t="s">
        <v>2671</v>
      </c>
      <c r="E179" s="9" t="s">
        <v>2671</v>
      </c>
    </row>
    <row r="180" customFormat="false" ht="15" hidden="false" customHeight="false" outlineLevel="0" collapsed="false">
      <c r="A180" s="9" t="s">
        <v>2766</v>
      </c>
      <c r="B180" s="10" t="s">
        <v>2178</v>
      </c>
      <c r="C180" s="9" t="s">
        <v>2177</v>
      </c>
      <c r="D180" s="9" t="s">
        <v>2671</v>
      </c>
      <c r="E180" s="9" t="s">
        <v>2671</v>
      </c>
    </row>
    <row r="181" customFormat="false" ht="15" hidden="false" customHeight="false" outlineLevel="0" collapsed="false">
      <c r="A181" s="9" t="s">
        <v>2766</v>
      </c>
      <c r="B181" s="10" t="s">
        <v>2180</v>
      </c>
      <c r="C181" s="9" t="s">
        <v>2179</v>
      </c>
      <c r="D181" s="9" t="s">
        <v>2671</v>
      </c>
      <c r="E181" s="9" t="s">
        <v>2671</v>
      </c>
    </row>
    <row r="182" customFormat="false" ht="15" hidden="false" customHeight="false" outlineLevel="0" collapsed="false">
      <c r="A182" s="9" t="s">
        <v>2766</v>
      </c>
      <c r="B182" s="10" t="s">
        <v>2182</v>
      </c>
      <c r="C182" s="9" t="s">
        <v>2181</v>
      </c>
      <c r="D182" s="9" t="s">
        <v>2671</v>
      </c>
      <c r="E182" s="9" t="s">
        <v>2671</v>
      </c>
    </row>
    <row r="183" customFormat="false" ht="15" hidden="false" customHeight="false" outlineLevel="0" collapsed="false">
      <c r="A183" s="9" t="s">
        <v>2766</v>
      </c>
      <c r="B183" s="10" t="s">
        <v>2184</v>
      </c>
      <c r="C183" s="9" t="s">
        <v>2183</v>
      </c>
      <c r="D183" s="9" t="s">
        <v>2671</v>
      </c>
      <c r="E183" s="9" t="s">
        <v>2671</v>
      </c>
    </row>
    <row r="184" customFormat="false" ht="15" hidden="false" customHeight="false" outlineLevel="0" collapsed="false">
      <c r="A184" s="9" t="s">
        <v>2766</v>
      </c>
      <c r="B184" s="10" t="s">
        <v>2186</v>
      </c>
      <c r="C184" s="9" t="s">
        <v>2185</v>
      </c>
      <c r="D184" s="9" t="s">
        <v>2671</v>
      </c>
      <c r="E184" s="9" t="s">
        <v>2671</v>
      </c>
    </row>
    <row r="185" customFormat="false" ht="15" hidden="false" customHeight="false" outlineLevel="0" collapsed="false">
      <c r="A185" s="9" t="s">
        <v>2766</v>
      </c>
      <c r="B185" s="10" t="s">
        <v>2895</v>
      </c>
      <c r="C185" s="9" t="s">
        <v>2896</v>
      </c>
      <c r="D185" s="9" t="s">
        <v>2671</v>
      </c>
      <c r="E185" s="9" t="s">
        <v>2671</v>
      </c>
    </row>
    <row r="186" customFormat="false" ht="15" hidden="false" customHeight="false" outlineLevel="0" collapsed="false">
      <c r="A186" s="9" t="s">
        <v>2766</v>
      </c>
      <c r="B186" s="10" t="s">
        <v>2897</v>
      </c>
      <c r="C186" s="9" t="s">
        <v>2898</v>
      </c>
      <c r="D186" s="9" t="s">
        <v>2671</v>
      </c>
      <c r="E186" s="9" t="s">
        <v>2671</v>
      </c>
    </row>
    <row r="187" customFormat="false" ht="15" hidden="false" customHeight="false" outlineLevel="0" collapsed="false">
      <c r="A187" s="9" t="s">
        <v>2766</v>
      </c>
      <c r="B187" s="10" t="s">
        <v>2899</v>
      </c>
      <c r="C187" s="9" t="s">
        <v>2189</v>
      </c>
      <c r="D187" s="9" t="s">
        <v>2671</v>
      </c>
      <c r="E187" s="9" t="s">
        <v>2671</v>
      </c>
    </row>
    <row r="188" customFormat="false" ht="15" hidden="false" customHeight="false" outlineLevel="0" collapsed="false">
      <c r="A188" s="9" t="s">
        <v>2766</v>
      </c>
      <c r="B188" s="10" t="s">
        <v>2900</v>
      </c>
      <c r="C188" s="9" t="s">
        <v>2901</v>
      </c>
      <c r="D188" s="9" t="s">
        <v>2671</v>
      </c>
      <c r="E188" s="9" t="s">
        <v>2671</v>
      </c>
    </row>
    <row r="189" customFormat="false" ht="15" hidden="false" customHeight="false" outlineLevel="0" collapsed="false">
      <c r="A189" s="9" t="s">
        <v>2766</v>
      </c>
      <c r="B189" s="10" t="s">
        <v>2902</v>
      </c>
      <c r="C189" s="9" t="s">
        <v>2903</v>
      </c>
      <c r="D189" s="9" t="s">
        <v>2671</v>
      </c>
      <c r="E189" s="9" t="s">
        <v>2671</v>
      </c>
    </row>
    <row r="190" customFormat="false" ht="15" hidden="false" customHeight="false" outlineLevel="0" collapsed="false">
      <c r="A190" s="9" t="s">
        <v>2766</v>
      </c>
      <c r="B190" s="10" t="s">
        <v>2904</v>
      </c>
      <c r="C190" s="9" t="s">
        <v>2905</v>
      </c>
      <c r="D190" s="9" t="s">
        <v>2671</v>
      </c>
      <c r="E190" s="9" t="s">
        <v>2671</v>
      </c>
    </row>
    <row r="191" customFormat="false" ht="15" hidden="false" customHeight="false" outlineLevel="0" collapsed="false">
      <c r="A191" s="9" t="s">
        <v>2766</v>
      </c>
      <c r="B191" s="10" t="s">
        <v>2196</v>
      </c>
      <c r="C191" s="9" t="s">
        <v>2195</v>
      </c>
      <c r="D191" s="9" t="s">
        <v>2671</v>
      </c>
      <c r="E191" s="9" t="s">
        <v>2671</v>
      </c>
    </row>
    <row r="192" customFormat="false" ht="15" hidden="false" customHeight="false" outlineLevel="0" collapsed="false">
      <c r="A192" s="9" t="s">
        <v>2766</v>
      </c>
      <c r="B192" s="10" t="s">
        <v>2198</v>
      </c>
      <c r="C192" s="9" t="s">
        <v>2197</v>
      </c>
      <c r="D192" s="9" t="s">
        <v>2671</v>
      </c>
      <c r="E192" s="9" t="s">
        <v>2671</v>
      </c>
    </row>
    <row r="193" customFormat="false" ht="15" hidden="false" customHeight="false" outlineLevel="0" collapsed="false">
      <c r="A193" s="9" t="s">
        <v>2766</v>
      </c>
      <c r="B193" s="10" t="s">
        <v>2200</v>
      </c>
      <c r="C193" s="9" t="s">
        <v>2199</v>
      </c>
      <c r="D193" s="9" t="s">
        <v>2671</v>
      </c>
      <c r="E193" s="9" t="s">
        <v>2671</v>
      </c>
    </row>
    <row r="194" customFormat="false" ht="15" hidden="false" customHeight="false" outlineLevel="0" collapsed="false">
      <c r="A194" s="9" t="s">
        <v>2766</v>
      </c>
      <c r="B194" s="10" t="s">
        <v>2906</v>
      </c>
      <c r="C194" s="9" t="s">
        <v>2201</v>
      </c>
      <c r="D194" s="9" t="s">
        <v>2671</v>
      </c>
      <c r="E194" s="9" t="s">
        <v>2671</v>
      </c>
    </row>
    <row r="195" customFormat="false" ht="15" hidden="false" customHeight="false" outlineLevel="0" collapsed="false">
      <c r="A195" s="9" t="s">
        <v>2766</v>
      </c>
      <c r="B195" s="10" t="s">
        <v>2907</v>
      </c>
      <c r="C195" s="9" t="s">
        <v>2201</v>
      </c>
      <c r="D195" s="9" t="s">
        <v>2671</v>
      </c>
      <c r="E195" s="9" t="s">
        <v>2671</v>
      </c>
    </row>
    <row r="196" customFormat="false" ht="15" hidden="false" customHeight="false" outlineLevel="0" collapsed="false">
      <c r="A196" s="9" t="s">
        <v>2766</v>
      </c>
      <c r="B196" s="10" t="s">
        <v>2908</v>
      </c>
      <c r="C196" s="9" t="s">
        <v>2909</v>
      </c>
      <c r="D196" s="9" t="s">
        <v>2671</v>
      </c>
      <c r="E196" s="9" t="s">
        <v>2671</v>
      </c>
    </row>
    <row r="197" customFormat="false" ht="15" hidden="false" customHeight="false" outlineLevel="0" collapsed="false">
      <c r="A197" s="9" t="s">
        <v>2766</v>
      </c>
      <c r="B197" s="10" t="s">
        <v>2910</v>
      </c>
      <c r="C197" s="9" t="s">
        <v>2911</v>
      </c>
      <c r="D197" s="9" t="s">
        <v>2671</v>
      </c>
      <c r="E197" s="9" t="s">
        <v>2671</v>
      </c>
    </row>
    <row r="198" customFormat="false" ht="15" hidden="false" customHeight="false" outlineLevel="0" collapsed="false">
      <c r="A198" s="9" t="s">
        <v>2766</v>
      </c>
      <c r="B198" s="10" t="s">
        <v>2912</v>
      </c>
      <c r="C198" s="9" t="s">
        <v>2203</v>
      </c>
      <c r="D198" s="9" t="s">
        <v>2671</v>
      </c>
      <c r="E198" s="9" t="s">
        <v>2671</v>
      </c>
    </row>
    <row r="199" customFormat="false" ht="15" hidden="false" customHeight="false" outlineLevel="0" collapsed="false">
      <c r="A199" s="9" t="s">
        <v>2766</v>
      </c>
      <c r="B199" s="10" t="s">
        <v>2913</v>
      </c>
      <c r="C199" s="9" t="s">
        <v>2203</v>
      </c>
      <c r="D199" s="9" t="s">
        <v>2671</v>
      </c>
      <c r="E199" s="9" t="s">
        <v>2671</v>
      </c>
    </row>
    <row r="200" customFormat="false" ht="15" hidden="false" customHeight="false" outlineLevel="0" collapsed="false">
      <c r="A200" s="9" t="s">
        <v>2766</v>
      </c>
      <c r="B200" s="10" t="s">
        <v>2914</v>
      </c>
      <c r="C200" s="9" t="s">
        <v>2203</v>
      </c>
      <c r="D200" s="9" t="s">
        <v>2671</v>
      </c>
      <c r="E200" s="9" t="s">
        <v>2671</v>
      </c>
    </row>
    <row r="201" customFormat="false" ht="15" hidden="false" customHeight="false" outlineLevel="0" collapsed="false">
      <c r="A201" s="9" t="s">
        <v>2766</v>
      </c>
      <c r="B201" s="10" t="s">
        <v>2915</v>
      </c>
      <c r="C201" s="9" t="s">
        <v>2916</v>
      </c>
      <c r="D201" s="9" t="s">
        <v>2671</v>
      </c>
      <c r="E201" s="9" t="s">
        <v>2671</v>
      </c>
    </row>
    <row r="202" customFormat="false" ht="15" hidden="false" customHeight="false" outlineLevel="0" collapsed="false">
      <c r="A202" s="9" t="s">
        <v>2766</v>
      </c>
      <c r="B202" s="10" t="s">
        <v>2917</v>
      </c>
      <c r="C202" s="9" t="s">
        <v>2918</v>
      </c>
      <c r="D202" s="9" t="s">
        <v>2671</v>
      </c>
      <c r="E202" s="9" t="s">
        <v>2671</v>
      </c>
    </row>
    <row r="203" customFormat="false" ht="15" hidden="false" customHeight="false" outlineLevel="0" collapsed="false">
      <c r="A203" s="9" t="s">
        <v>2766</v>
      </c>
      <c r="B203" s="10" t="s">
        <v>2919</v>
      </c>
      <c r="C203" s="9" t="s">
        <v>2920</v>
      </c>
      <c r="D203" s="9" t="s">
        <v>2671</v>
      </c>
      <c r="E203" s="9" t="s">
        <v>2671</v>
      </c>
    </row>
    <row r="204" customFormat="false" ht="15" hidden="false" customHeight="false" outlineLevel="0" collapsed="false">
      <c r="A204" s="9" t="s">
        <v>2766</v>
      </c>
      <c r="B204" s="10" t="s">
        <v>2921</v>
      </c>
      <c r="C204" s="9" t="s">
        <v>2922</v>
      </c>
      <c r="D204" s="9" t="s">
        <v>2671</v>
      </c>
      <c r="E204" s="9" t="s">
        <v>2671</v>
      </c>
    </row>
    <row r="205" customFormat="false" ht="15" hidden="false" customHeight="false" outlineLevel="0" collapsed="false">
      <c r="A205" s="9" t="s">
        <v>2766</v>
      </c>
      <c r="B205" s="10" t="s">
        <v>2923</v>
      </c>
      <c r="C205" s="9" t="s">
        <v>2924</v>
      </c>
      <c r="D205" s="9" t="s">
        <v>2671</v>
      </c>
      <c r="E205" s="9" t="s">
        <v>2671</v>
      </c>
    </row>
    <row r="206" customFormat="false" ht="15" hidden="false" customHeight="false" outlineLevel="0" collapsed="false">
      <c r="A206" s="9" t="s">
        <v>2766</v>
      </c>
      <c r="B206" s="10" t="s">
        <v>2925</v>
      </c>
      <c r="C206" s="9" t="s">
        <v>2926</v>
      </c>
      <c r="D206" s="9" t="s">
        <v>2671</v>
      </c>
      <c r="E206" s="9" t="s">
        <v>2671</v>
      </c>
    </row>
    <row r="207" customFormat="false" ht="15" hidden="false" customHeight="false" outlineLevel="0" collapsed="false">
      <c r="A207" s="9" t="s">
        <v>2766</v>
      </c>
      <c r="B207" s="10" t="s">
        <v>2927</v>
      </c>
      <c r="C207" s="9" t="s">
        <v>2205</v>
      </c>
      <c r="D207" s="9" t="s">
        <v>2671</v>
      </c>
      <c r="E207" s="9" t="s">
        <v>2671</v>
      </c>
    </row>
    <row r="208" customFormat="false" ht="15" hidden="false" customHeight="false" outlineLevel="0" collapsed="false">
      <c r="A208" s="9" t="s">
        <v>2766</v>
      </c>
      <c r="B208" s="10" t="s">
        <v>2928</v>
      </c>
      <c r="C208" s="9" t="s">
        <v>2205</v>
      </c>
      <c r="D208" s="9" t="s">
        <v>2671</v>
      </c>
      <c r="E208" s="9" t="s">
        <v>2671</v>
      </c>
    </row>
    <row r="209" customFormat="false" ht="15" hidden="false" customHeight="false" outlineLevel="0" collapsed="false">
      <c r="A209" s="9" t="s">
        <v>2766</v>
      </c>
      <c r="B209" s="10" t="s">
        <v>2929</v>
      </c>
      <c r="C209" s="9" t="s">
        <v>2205</v>
      </c>
      <c r="D209" s="9" t="s">
        <v>2671</v>
      </c>
      <c r="E209" s="9" t="s">
        <v>2671</v>
      </c>
    </row>
    <row r="210" customFormat="false" ht="15" hidden="false" customHeight="false" outlineLevel="0" collapsed="false">
      <c r="A210" s="9" t="s">
        <v>2766</v>
      </c>
      <c r="B210" s="10" t="s">
        <v>2930</v>
      </c>
      <c r="C210" s="9" t="s">
        <v>2205</v>
      </c>
      <c r="D210" s="9" t="s">
        <v>2671</v>
      </c>
      <c r="E210" s="9" t="s">
        <v>2671</v>
      </c>
    </row>
    <row r="211" customFormat="false" ht="15" hidden="false" customHeight="false" outlineLevel="0" collapsed="false">
      <c r="A211" s="9" t="s">
        <v>2766</v>
      </c>
      <c r="B211" s="10" t="s">
        <v>2931</v>
      </c>
      <c r="C211" s="9" t="s">
        <v>2205</v>
      </c>
      <c r="D211" s="9" t="s">
        <v>2671</v>
      </c>
      <c r="E211" s="9" t="s">
        <v>2671</v>
      </c>
    </row>
    <row r="212" customFormat="false" ht="15" hidden="false" customHeight="false" outlineLevel="0" collapsed="false">
      <c r="A212" s="9" t="s">
        <v>2766</v>
      </c>
      <c r="B212" s="10" t="s">
        <v>2208</v>
      </c>
      <c r="C212" s="9" t="s">
        <v>2207</v>
      </c>
      <c r="D212" s="9" t="s">
        <v>2671</v>
      </c>
      <c r="E212" s="9" t="s">
        <v>2671</v>
      </c>
    </row>
    <row r="213" customFormat="false" ht="15" hidden="false" customHeight="false" outlineLevel="0" collapsed="false">
      <c r="A213" s="9" t="s">
        <v>2766</v>
      </c>
      <c r="B213" s="10" t="s">
        <v>2210</v>
      </c>
      <c r="C213" s="9" t="s">
        <v>2209</v>
      </c>
      <c r="D213" s="9" t="s">
        <v>2671</v>
      </c>
      <c r="E213" s="9" t="s">
        <v>2671</v>
      </c>
    </row>
    <row r="214" customFormat="false" ht="15" hidden="false" customHeight="false" outlineLevel="0" collapsed="false">
      <c r="A214" s="9" t="s">
        <v>2766</v>
      </c>
      <c r="B214" s="10" t="s">
        <v>2212</v>
      </c>
      <c r="C214" s="9" t="s">
        <v>2211</v>
      </c>
      <c r="D214" s="9" t="s">
        <v>2671</v>
      </c>
      <c r="E214" s="9" t="s">
        <v>2671</v>
      </c>
    </row>
    <row r="215" customFormat="false" ht="15" hidden="false" customHeight="false" outlineLevel="0" collapsed="false">
      <c r="A215" s="9" t="s">
        <v>2766</v>
      </c>
      <c r="B215" s="10" t="s">
        <v>2214</v>
      </c>
      <c r="C215" s="9" t="s">
        <v>2213</v>
      </c>
      <c r="D215" s="9" t="s">
        <v>2671</v>
      </c>
      <c r="E215" s="9" t="s">
        <v>2671</v>
      </c>
    </row>
    <row r="216" customFormat="false" ht="15" hidden="false" customHeight="false" outlineLevel="0" collapsed="false">
      <c r="A216" s="9" t="s">
        <v>2766</v>
      </c>
      <c r="B216" s="10" t="s">
        <v>2216</v>
      </c>
      <c r="C216" s="9" t="s">
        <v>2215</v>
      </c>
      <c r="D216" s="9" t="s">
        <v>2671</v>
      </c>
      <c r="E216" s="9" t="s">
        <v>2671</v>
      </c>
    </row>
    <row r="217" customFormat="false" ht="15" hidden="false" customHeight="false" outlineLevel="0" collapsed="false">
      <c r="A217" s="9" t="s">
        <v>2766</v>
      </c>
      <c r="B217" s="10" t="s">
        <v>2218</v>
      </c>
      <c r="C217" s="9" t="s">
        <v>2217</v>
      </c>
      <c r="D217" s="9" t="s">
        <v>2671</v>
      </c>
      <c r="E217" s="9" t="s">
        <v>2671</v>
      </c>
    </row>
    <row r="218" customFormat="false" ht="15" hidden="false" customHeight="false" outlineLevel="0" collapsed="false">
      <c r="A218" s="9" t="s">
        <v>2766</v>
      </c>
      <c r="B218" s="10" t="s">
        <v>2932</v>
      </c>
      <c r="C218" s="9" t="s">
        <v>2933</v>
      </c>
      <c r="D218" s="9" t="s">
        <v>2671</v>
      </c>
      <c r="E218" s="9" t="s">
        <v>2671</v>
      </c>
    </row>
    <row r="219" customFormat="false" ht="15" hidden="false" customHeight="false" outlineLevel="0" collapsed="false">
      <c r="A219" s="9" t="s">
        <v>2766</v>
      </c>
      <c r="B219" s="10" t="s">
        <v>2934</v>
      </c>
      <c r="C219" s="9" t="s">
        <v>2935</v>
      </c>
      <c r="D219" s="9" t="s">
        <v>2671</v>
      </c>
      <c r="E219" s="9" t="s">
        <v>2671</v>
      </c>
    </row>
    <row r="220" customFormat="false" ht="15" hidden="false" customHeight="false" outlineLevel="0" collapsed="false">
      <c r="A220" s="9" t="s">
        <v>2766</v>
      </c>
      <c r="B220" s="10" t="s">
        <v>2936</v>
      </c>
      <c r="C220" s="9" t="s">
        <v>2937</v>
      </c>
      <c r="D220" s="9" t="s">
        <v>2671</v>
      </c>
      <c r="E220" s="9" t="s">
        <v>2671</v>
      </c>
    </row>
    <row r="221" customFormat="false" ht="15" hidden="false" customHeight="false" outlineLevel="0" collapsed="false">
      <c r="A221" s="9" t="s">
        <v>2766</v>
      </c>
      <c r="B221" s="10" t="s">
        <v>2938</v>
      </c>
      <c r="C221" s="9" t="s">
        <v>2939</v>
      </c>
      <c r="D221" s="9" t="s">
        <v>2671</v>
      </c>
      <c r="E221" s="9" t="s">
        <v>2671</v>
      </c>
    </row>
    <row r="222" customFormat="false" ht="15" hidden="false" customHeight="false" outlineLevel="0" collapsed="false">
      <c r="A222" s="9" t="s">
        <v>2766</v>
      </c>
      <c r="B222" s="10" t="s">
        <v>2940</v>
      </c>
      <c r="C222" s="9" t="s">
        <v>2941</v>
      </c>
      <c r="D222" s="9" t="s">
        <v>2671</v>
      </c>
      <c r="E222" s="9" t="s">
        <v>2671</v>
      </c>
    </row>
    <row r="223" customFormat="false" ht="15" hidden="false" customHeight="false" outlineLevel="0" collapsed="false">
      <c r="A223" s="9" t="s">
        <v>2766</v>
      </c>
      <c r="B223" s="10" t="s">
        <v>2942</v>
      </c>
      <c r="C223" s="9" t="s">
        <v>2943</v>
      </c>
      <c r="D223" s="9" t="s">
        <v>2671</v>
      </c>
      <c r="E223" s="9" t="s">
        <v>2671</v>
      </c>
    </row>
    <row r="224" customFormat="false" ht="15" hidden="false" customHeight="false" outlineLevel="0" collapsed="false">
      <c r="A224" s="9" t="s">
        <v>2944</v>
      </c>
      <c r="B224" s="10" t="s">
        <v>2227</v>
      </c>
      <c r="C224" s="9" t="s">
        <v>2945</v>
      </c>
      <c r="D224" s="9" t="s">
        <v>2671</v>
      </c>
      <c r="E224" s="9" t="s">
        <v>2671</v>
      </c>
    </row>
    <row r="225" customFormat="false" ht="15" hidden="false" customHeight="false" outlineLevel="0" collapsed="false">
      <c r="A225" s="9" t="s">
        <v>2944</v>
      </c>
      <c r="B225" s="10" t="s">
        <v>2230</v>
      </c>
      <c r="C225" s="9" t="s">
        <v>2946</v>
      </c>
      <c r="D225" s="9" t="s">
        <v>2671</v>
      </c>
      <c r="E225" s="9" t="s">
        <v>2671</v>
      </c>
    </row>
    <row r="226" customFormat="false" ht="15" hidden="false" customHeight="false" outlineLevel="0" collapsed="false">
      <c r="A226" s="9" t="s">
        <v>2944</v>
      </c>
      <c r="B226" s="10" t="s">
        <v>2232</v>
      </c>
      <c r="C226" s="9" t="s">
        <v>2231</v>
      </c>
      <c r="D226" s="9" t="s">
        <v>2671</v>
      </c>
      <c r="E226" s="9" t="s">
        <v>2671</v>
      </c>
    </row>
    <row r="227" customFormat="false" ht="15" hidden="false" customHeight="false" outlineLevel="0" collapsed="false">
      <c r="A227" s="9" t="s">
        <v>2944</v>
      </c>
      <c r="B227" s="10" t="s">
        <v>2234</v>
      </c>
      <c r="C227" s="9" t="s">
        <v>2947</v>
      </c>
      <c r="D227" s="9" t="s">
        <v>2671</v>
      </c>
      <c r="E227" s="9" t="s">
        <v>2671</v>
      </c>
    </row>
    <row r="228" customFormat="false" ht="15" hidden="false" customHeight="false" outlineLevel="0" collapsed="false">
      <c r="A228" s="9" t="s">
        <v>2944</v>
      </c>
      <c r="B228" s="10" t="s">
        <v>2236</v>
      </c>
      <c r="C228" s="9" t="s">
        <v>2948</v>
      </c>
      <c r="D228" s="9" t="s">
        <v>2671</v>
      </c>
      <c r="E228" s="9" t="s">
        <v>2671</v>
      </c>
    </row>
    <row r="229" customFormat="false" ht="15" hidden="false" customHeight="false" outlineLevel="0" collapsed="false">
      <c r="A229" s="9" t="s">
        <v>2944</v>
      </c>
      <c r="B229" s="10" t="s">
        <v>2238</v>
      </c>
      <c r="C229" s="9" t="s">
        <v>2237</v>
      </c>
      <c r="D229" s="9" t="s">
        <v>2671</v>
      </c>
      <c r="E229" s="9" t="s">
        <v>2671</v>
      </c>
    </row>
    <row r="230" customFormat="false" ht="15" hidden="false" customHeight="false" outlineLevel="0" collapsed="false">
      <c r="A230" s="9" t="s">
        <v>2944</v>
      </c>
      <c r="B230" s="10" t="s">
        <v>2240</v>
      </c>
      <c r="C230" s="9" t="s">
        <v>2239</v>
      </c>
      <c r="D230" s="9" t="s">
        <v>2671</v>
      </c>
      <c r="E230" s="9" t="s">
        <v>2671</v>
      </c>
    </row>
    <row r="231" customFormat="false" ht="15" hidden="false" customHeight="false" outlineLevel="0" collapsed="false">
      <c r="A231" s="9" t="s">
        <v>2944</v>
      </c>
      <c r="B231" s="10" t="s">
        <v>2242</v>
      </c>
      <c r="C231" s="9" t="s">
        <v>2949</v>
      </c>
      <c r="D231" s="9" t="s">
        <v>2671</v>
      </c>
      <c r="E231" s="9" t="s">
        <v>2671</v>
      </c>
    </row>
    <row r="232" customFormat="false" ht="15" hidden="false" customHeight="false" outlineLevel="0" collapsed="false">
      <c r="A232" s="9" t="s">
        <v>2944</v>
      </c>
      <c r="B232" s="10" t="s">
        <v>2244</v>
      </c>
      <c r="C232" s="9" t="s">
        <v>2243</v>
      </c>
      <c r="D232" s="9" t="s">
        <v>2671</v>
      </c>
      <c r="E232" s="9" t="s">
        <v>2671</v>
      </c>
    </row>
    <row r="233" customFormat="false" ht="15" hidden="false" customHeight="false" outlineLevel="0" collapsed="false">
      <c r="A233" s="9" t="s">
        <v>2944</v>
      </c>
      <c r="B233" s="10" t="s">
        <v>2246</v>
      </c>
      <c r="C233" s="9" t="s">
        <v>2245</v>
      </c>
      <c r="D233" s="9" t="s">
        <v>2671</v>
      </c>
      <c r="E233" s="9" t="s">
        <v>2671</v>
      </c>
    </row>
    <row r="234" customFormat="false" ht="15" hidden="false" customHeight="false" outlineLevel="0" collapsed="false">
      <c r="A234" s="9" t="s">
        <v>2944</v>
      </c>
      <c r="B234" s="10" t="s">
        <v>2248</v>
      </c>
      <c r="C234" s="9" t="s">
        <v>2247</v>
      </c>
      <c r="D234" s="9" t="s">
        <v>2671</v>
      </c>
      <c r="E234" s="9" t="s">
        <v>2671</v>
      </c>
    </row>
    <row r="235" customFormat="false" ht="15" hidden="false" customHeight="false" outlineLevel="0" collapsed="false">
      <c r="A235" s="9" t="s">
        <v>2944</v>
      </c>
      <c r="B235" s="10" t="s">
        <v>2250</v>
      </c>
      <c r="C235" s="9" t="s">
        <v>2950</v>
      </c>
      <c r="D235" s="9" t="s">
        <v>2671</v>
      </c>
      <c r="E235" s="9" t="s">
        <v>2671</v>
      </c>
    </row>
    <row r="236" customFormat="false" ht="15" hidden="false" customHeight="false" outlineLevel="0" collapsed="false">
      <c r="A236" s="9" t="s">
        <v>2944</v>
      </c>
      <c r="B236" s="10" t="s">
        <v>2252</v>
      </c>
      <c r="C236" s="9" t="s">
        <v>2951</v>
      </c>
      <c r="D236" s="9" t="s">
        <v>2671</v>
      </c>
      <c r="E236" s="9" t="s">
        <v>2671</v>
      </c>
    </row>
    <row r="237" customFormat="false" ht="15" hidden="false" customHeight="false" outlineLevel="0" collapsed="false">
      <c r="A237" s="9" t="s">
        <v>2944</v>
      </c>
      <c r="B237" s="10" t="s">
        <v>2254</v>
      </c>
      <c r="C237" s="9" t="s">
        <v>2253</v>
      </c>
      <c r="D237" s="9" t="s">
        <v>2671</v>
      </c>
      <c r="E237" s="9" t="s">
        <v>2671</v>
      </c>
    </row>
    <row r="238" customFormat="false" ht="15" hidden="false" customHeight="false" outlineLevel="0" collapsed="false">
      <c r="A238" s="9" t="s">
        <v>2944</v>
      </c>
      <c r="B238" s="10" t="s">
        <v>2256</v>
      </c>
      <c r="C238" s="9" t="s">
        <v>2952</v>
      </c>
      <c r="D238" s="9" t="s">
        <v>2671</v>
      </c>
      <c r="E238" s="9" t="s">
        <v>2671</v>
      </c>
    </row>
    <row r="239" customFormat="false" ht="15" hidden="false" customHeight="false" outlineLevel="0" collapsed="false">
      <c r="A239" s="9" t="s">
        <v>2944</v>
      </c>
      <c r="B239" s="10" t="s">
        <v>2258</v>
      </c>
      <c r="C239" s="9" t="s">
        <v>2953</v>
      </c>
      <c r="D239" s="9" t="s">
        <v>2671</v>
      </c>
      <c r="E239" s="9" t="s">
        <v>2671</v>
      </c>
    </row>
    <row r="240" customFormat="false" ht="15" hidden="false" customHeight="false" outlineLevel="0" collapsed="false">
      <c r="A240" s="9" t="s">
        <v>2944</v>
      </c>
      <c r="B240" s="10" t="s">
        <v>2260</v>
      </c>
      <c r="C240" s="9" t="s">
        <v>2954</v>
      </c>
      <c r="D240" s="9" t="s">
        <v>2671</v>
      </c>
      <c r="E240" s="9" t="s">
        <v>2671</v>
      </c>
    </row>
    <row r="241" customFormat="false" ht="15" hidden="false" customHeight="false" outlineLevel="0" collapsed="false">
      <c r="A241" s="9" t="s">
        <v>2944</v>
      </c>
      <c r="B241" s="10" t="s">
        <v>2262</v>
      </c>
      <c r="C241" s="9" t="s">
        <v>2955</v>
      </c>
      <c r="D241" s="9" t="s">
        <v>2671</v>
      </c>
      <c r="E241" s="9" t="s">
        <v>2671</v>
      </c>
    </row>
    <row r="242" customFormat="false" ht="15" hidden="false" customHeight="false" outlineLevel="0" collapsed="false">
      <c r="A242" s="9" t="s">
        <v>2944</v>
      </c>
      <c r="B242" s="10" t="s">
        <v>2264</v>
      </c>
      <c r="C242" s="9" t="s">
        <v>2956</v>
      </c>
      <c r="D242" s="9" t="s">
        <v>2671</v>
      </c>
      <c r="E242" s="9" t="s">
        <v>2671</v>
      </c>
    </row>
    <row r="243" customFormat="false" ht="15" hidden="false" customHeight="false" outlineLevel="0" collapsed="false">
      <c r="A243" s="9" t="s">
        <v>2944</v>
      </c>
      <c r="B243" s="10" t="s">
        <v>2266</v>
      </c>
      <c r="C243" s="9" t="s">
        <v>2265</v>
      </c>
      <c r="D243" s="9" t="s">
        <v>2671</v>
      </c>
      <c r="E243" s="9" t="s">
        <v>2671</v>
      </c>
    </row>
    <row r="244" customFormat="false" ht="15" hidden="false" customHeight="false" outlineLevel="0" collapsed="false">
      <c r="A244" s="9" t="s">
        <v>2944</v>
      </c>
      <c r="B244" s="10" t="s">
        <v>2268</v>
      </c>
      <c r="C244" s="9" t="s">
        <v>2267</v>
      </c>
      <c r="D244" s="9" t="s">
        <v>2671</v>
      </c>
      <c r="E244" s="9" t="s">
        <v>2671</v>
      </c>
    </row>
    <row r="245" customFormat="false" ht="15" hidden="false" customHeight="false" outlineLevel="0" collapsed="false">
      <c r="A245" s="9" t="s">
        <v>2944</v>
      </c>
      <c r="B245" s="10" t="s">
        <v>2274</v>
      </c>
      <c r="C245" s="9" t="s">
        <v>2957</v>
      </c>
      <c r="D245" s="9" t="s">
        <v>2671</v>
      </c>
      <c r="E245" s="9" t="s">
        <v>2671</v>
      </c>
    </row>
    <row r="246" customFormat="false" ht="15" hidden="false" customHeight="false" outlineLevel="0" collapsed="false">
      <c r="A246" s="9" t="s">
        <v>2944</v>
      </c>
      <c r="B246" s="10" t="s">
        <v>2276</v>
      </c>
      <c r="C246" s="9" t="s">
        <v>2275</v>
      </c>
      <c r="D246" s="9" t="s">
        <v>2671</v>
      </c>
      <c r="E246" s="9" t="s">
        <v>2671</v>
      </c>
    </row>
    <row r="247" customFormat="false" ht="15" hidden="false" customHeight="false" outlineLevel="0" collapsed="false">
      <c r="A247" s="9" t="s">
        <v>2944</v>
      </c>
      <c r="B247" s="10" t="s">
        <v>2278</v>
      </c>
      <c r="C247" s="9" t="s">
        <v>2277</v>
      </c>
      <c r="D247" s="9" t="s">
        <v>2671</v>
      </c>
      <c r="E247" s="9" t="s">
        <v>2671</v>
      </c>
    </row>
    <row r="248" customFormat="false" ht="15" hidden="false" customHeight="false" outlineLevel="0" collapsed="false">
      <c r="A248" s="9" t="s">
        <v>2944</v>
      </c>
      <c r="B248" s="10" t="s">
        <v>2280</v>
      </c>
      <c r="C248" s="9" t="s">
        <v>2279</v>
      </c>
      <c r="D248" s="9" t="s">
        <v>2671</v>
      </c>
      <c r="E248" s="9" t="s">
        <v>2671</v>
      </c>
    </row>
    <row r="249" customFormat="false" ht="15" hidden="false" customHeight="false" outlineLevel="0" collapsed="false">
      <c r="A249" s="9" t="s">
        <v>2944</v>
      </c>
      <c r="B249" s="10" t="s">
        <v>2282</v>
      </c>
      <c r="C249" s="9" t="s">
        <v>2281</v>
      </c>
      <c r="D249" s="9" t="s">
        <v>2671</v>
      </c>
      <c r="E249" s="9" t="s">
        <v>2671</v>
      </c>
    </row>
    <row r="250" customFormat="false" ht="15" hidden="false" customHeight="false" outlineLevel="0" collapsed="false">
      <c r="A250" s="9" t="s">
        <v>2944</v>
      </c>
      <c r="B250" s="10" t="s">
        <v>2284</v>
      </c>
      <c r="C250" s="9" t="s">
        <v>2283</v>
      </c>
      <c r="D250" s="9" t="s">
        <v>2671</v>
      </c>
      <c r="E250" s="9" t="s">
        <v>2671</v>
      </c>
    </row>
    <row r="251" customFormat="false" ht="15" hidden="false" customHeight="false" outlineLevel="0" collapsed="false">
      <c r="A251" s="9" t="s">
        <v>2944</v>
      </c>
      <c r="B251" s="10" t="s">
        <v>2286</v>
      </c>
      <c r="C251" s="9" t="s">
        <v>2285</v>
      </c>
      <c r="D251" s="9" t="s">
        <v>2671</v>
      </c>
      <c r="E251" s="9" t="s">
        <v>2671</v>
      </c>
    </row>
    <row r="252" customFormat="false" ht="15" hidden="false" customHeight="false" outlineLevel="0" collapsed="false">
      <c r="A252" s="9" t="s">
        <v>2944</v>
      </c>
      <c r="B252" s="10" t="s">
        <v>2288</v>
      </c>
      <c r="C252" s="9" t="s">
        <v>2287</v>
      </c>
      <c r="D252" s="9" t="s">
        <v>2671</v>
      </c>
      <c r="E252" s="9" t="s">
        <v>2671</v>
      </c>
    </row>
    <row r="253" customFormat="false" ht="15" hidden="false" customHeight="false" outlineLevel="0" collapsed="false">
      <c r="A253" s="9" t="s">
        <v>2944</v>
      </c>
      <c r="B253" s="10" t="s">
        <v>2290</v>
      </c>
      <c r="C253" s="9" t="s">
        <v>2289</v>
      </c>
      <c r="D253" s="9" t="s">
        <v>2671</v>
      </c>
      <c r="E253" s="9" t="s">
        <v>2671</v>
      </c>
    </row>
    <row r="254" customFormat="false" ht="15" hidden="false" customHeight="false" outlineLevel="0" collapsed="false">
      <c r="A254" s="9" t="s">
        <v>2944</v>
      </c>
      <c r="B254" s="10" t="s">
        <v>2292</v>
      </c>
      <c r="C254" s="9" t="s">
        <v>2291</v>
      </c>
      <c r="D254" s="9" t="s">
        <v>2671</v>
      </c>
      <c r="E254" s="9" t="s">
        <v>2671</v>
      </c>
    </row>
    <row r="255" customFormat="false" ht="15" hidden="false" customHeight="false" outlineLevel="0" collapsed="false">
      <c r="A255" s="9" t="s">
        <v>2944</v>
      </c>
      <c r="B255" s="10" t="s">
        <v>2294</v>
      </c>
      <c r="C255" s="9" t="s">
        <v>2293</v>
      </c>
      <c r="D255" s="9" t="s">
        <v>2671</v>
      </c>
      <c r="E255" s="9" t="s">
        <v>2671</v>
      </c>
    </row>
    <row r="256" customFormat="false" ht="15" hidden="false" customHeight="false" outlineLevel="0" collapsed="false">
      <c r="A256" s="9" t="s">
        <v>2944</v>
      </c>
      <c r="B256" s="10" t="s">
        <v>2296</v>
      </c>
      <c r="C256" s="9" t="s">
        <v>2295</v>
      </c>
      <c r="D256" s="9" t="s">
        <v>2671</v>
      </c>
      <c r="E256" s="9" t="s">
        <v>2671</v>
      </c>
    </row>
    <row r="257" customFormat="false" ht="15" hidden="false" customHeight="false" outlineLevel="0" collapsed="false">
      <c r="A257" s="9" t="s">
        <v>2944</v>
      </c>
      <c r="B257" s="10" t="s">
        <v>2298</v>
      </c>
      <c r="C257" s="9" t="s">
        <v>2297</v>
      </c>
      <c r="D257" s="9" t="s">
        <v>2671</v>
      </c>
      <c r="E257" s="9" t="s">
        <v>2671</v>
      </c>
    </row>
    <row r="258" customFormat="false" ht="15" hidden="false" customHeight="false" outlineLevel="0" collapsed="false">
      <c r="A258" s="9" t="s">
        <v>2944</v>
      </c>
      <c r="B258" s="10" t="s">
        <v>2300</v>
      </c>
      <c r="C258" s="9" t="s">
        <v>2299</v>
      </c>
      <c r="D258" s="9" t="s">
        <v>2671</v>
      </c>
      <c r="E258" s="9" t="s">
        <v>2671</v>
      </c>
    </row>
    <row r="259" customFormat="false" ht="15" hidden="false" customHeight="false" outlineLevel="0" collapsed="false">
      <c r="A259" s="9" t="s">
        <v>2944</v>
      </c>
      <c r="B259" s="10" t="s">
        <v>2302</v>
      </c>
      <c r="C259" s="9" t="s">
        <v>2301</v>
      </c>
      <c r="D259" s="9" t="s">
        <v>2671</v>
      </c>
      <c r="E259" s="9" t="s">
        <v>2671</v>
      </c>
    </row>
    <row r="260" customFormat="false" ht="15" hidden="false" customHeight="false" outlineLevel="0" collapsed="false">
      <c r="A260" s="9" t="s">
        <v>2944</v>
      </c>
      <c r="B260" s="10" t="s">
        <v>2304</v>
      </c>
      <c r="C260" s="9" t="s">
        <v>2303</v>
      </c>
      <c r="D260" s="9" t="s">
        <v>2671</v>
      </c>
      <c r="E260" s="9" t="s">
        <v>2671</v>
      </c>
    </row>
    <row r="261" customFormat="false" ht="15" hidden="false" customHeight="false" outlineLevel="0" collapsed="false">
      <c r="A261" s="9" t="s">
        <v>2944</v>
      </c>
      <c r="B261" s="10" t="s">
        <v>2306</v>
      </c>
      <c r="C261" s="9" t="s">
        <v>2305</v>
      </c>
      <c r="D261" s="9" t="s">
        <v>2671</v>
      </c>
      <c r="E261" s="9" t="s">
        <v>2671</v>
      </c>
    </row>
    <row r="262" customFormat="false" ht="15" hidden="false" customHeight="false" outlineLevel="0" collapsed="false">
      <c r="A262" s="9" t="s">
        <v>2944</v>
      </c>
      <c r="B262" s="10" t="s">
        <v>2310</v>
      </c>
      <c r="C262" s="9" t="s">
        <v>2958</v>
      </c>
      <c r="D262" s="9" t="s">
        <v>2671</v>
      </c>
      <c r="E262" s="9" t="s">
        <v>2671</v>
      </c>
    </row>
    <row r="263" customFormat="false" ht="15" hidden="false" customHeight="false" outlineLevel="0" collapsed="false">
      <c r="A263" s="9" t="s">
        <v>2944</v>
      </c>
      <c r="B263" s="10" t="s">
        <v>2312</v>
      </c>
      <c r="C263" s="9" t="s">
        <v>2959</v>
      </c>
      <c r="D263" s="9" t="s">
        <v>2671</v>
      </c>
      <c r="E263" s="9" t="s">
        <v>2671</v>
      </c>
    </row>
    <row r="264" customFormat="false" ht="15" hidden="false" customHeight="false" outlineLevel="0" collapsed="false">
      <c r="A264" s="9" t="s">
        <v>2944</v>
      </c>
      <c r="B264" s="10" t="s">
        <v>2314</v>
      </c>
      <c r="C264" s="9" t="s">
        <v>2313</v>
      </c>
      <c r="D264" s="9" t="s">
        <v>2671</v>
      </c>
      <c r="E264" s="9" t="s">
        <v>2671</v>
      </c>
    </row>
    <row r="265" customFormat="false" ht="15" hidden="false" customHeight="false" outlineLevel="0" collapsed="false">
      <c r="A265" s="9" t="s">
        <v>2944</v>
      </c>
      <c r="B265" s="10" t="s">
        <v>2316</v>
      </c>
      <c r="C265" s="9" t="s">
        <v>2315</v>
      </c>
      <c r="D265" s="9" t="s">
        <v>2671</v>
      </c>
      <c r="E265" s="9" t="s">
        <v>2671</v>
      </c>
    </row>
    <row r="266" customFormat="false" ht="15" hidden="false" customHeight="false" outlineLevel="0" collapsed="false">
      <c r="A266" s="9" t="s">
        <v>2944</v>
      </c>
      <c r="B266" s="10" t="s">
        <v>2318</v>
      </c>
      <c r="C266" s="9" t="s">
        <v>2317</v>
      </c>
      <c r="D266" s="9" t="s">
        <v>2671</v>
      </c>
      <c r="E266" s="9" t="s">
        <v>2671</v>
      </c>
    </row>
    <row r="267" customFormat="false" ht="15" hidden="false" customHeight="false" outlineLevel="0" collapsed="false">
      <c r="A267" s="9" t="s">
        <v>2944</v>
      </c>
      <c r="B267" s="10" t="s">
        <v>2323</v>
      </c>
      <c r="C267" s="9" t="s">
        <v>2322</v>
      </c>
      <c r="D267" s="9" t="s">
        <v>2671</v>
      </c>
      <c r="E267" s="9" t="s">
        <v>2671</v>
      </c>
    </row>
    <row r="268" customFormat="false" ht="15" hidden="false" customHeight="false" outlineLevel="0" collapsed="false">
      <c r="A268" s="9" t="s">
        <v>2944</v>
      </c>
      <c r="B268" s="10" t="s">
        <v>2325</v>
      </c>
      <c r="C268" s="9" t="s">
        <v>2324</v>
      </c>
      <c r="D268" s="9" t="s">
        <v>2671</v>
      </c>
      <c r="E268" s="9" t="s">
        <v>2671</v>
      </c>
    </row>
    <row r="269" customFormat="false" ht="15" hidden="false" customHeight="false" outlineLevel="0" collapsed="false">
      <c r="A269" s="9" t="s">
        <v>2944</v>
      </c>
      <c r="B269" s="10" t="s">
        <v>2327</v>
      </c>
      <c r="C269" s="9" t="s">
        <v>2326</v>
      </c>
      <c r="D269" s="9" t="s">
        <v>2671</v>
      </c>
      <c r="E269" s="9" t="s">
        <v>2671</v>
      </c>
    </row>
    <row r="270" customFormat="false" ht="26.85" hidden="false" customHeight="false" outlineLevel="0" collapsed="false">
      <c r="A270" s="9" t="s">
        <v>2944</v>
      </c>
      <c r="B270" s="10" t="s">
        <v>2329</v>
      </c>
      <c r="C270" s="9" t="s">
        <v>2960</v>
      </c>
      <c r="D270" s="9" t="s">
        <v>2671</v>
      </c>
      <c r="E270" s="9" t="s">
        <v>2671</v>
      </c>
    </row>
    <row r="271" customFormat="false" ht="15" hidden="false" customHeight="false" outlineLevel="0" collapsed="false">
      <c r="A271" s="9" t="s">
        <v>2944</v>
      </c>
      <c r="B271" s="10" t="s">
        <v>2331</v>
      </c>
      <c r="C271" s="9" t="s">
        <v>2330</v>
      </c>
      <c r="D271" s="9" t="s">
        <v>2671</v>
      </c>
      <c r="E271" s="9" t="s">
        <v>2671</v>
      </c>
    </row>
    <row r="272" customFormat="false" ht="15" hidden="false" customHeight="false" outlineLevel="0" collapsed="false">
      <c r="A272" s="9" t="s">
        <v>2944</v>
      </c>
      <c r="B272" s="10" t="s">
        <v>2333</v>
      </c>
      <c r="C272" s="9" t="s">
        <v>2961</v>
      </c>
      <c r="D272" s="9" t="s">
        <v>2671</v>
      </c>
      <c r="E272" s="9" t="s">
        <v>2671</v>
      </c>
    </row>
    <row r="273" customFormat="false" ht="15" hidden="false" customHeight="false" outlineLevel="0" collapsed="false">
      <c r="A273" s="9" t="s">
        <v>2944</v>
      </c>
      <c r="B273" s="10" t="s">
        <v>2344</v>
      </c>
      <c r="C273" s="9" t="s">
        <v>2962</v>
      </c>
      <c r="D273" s="9" t="s">
        <v>2671</v>
      </c>
      <c r="E273" s="9" t="s">
        <v>2671</v>
      </c>
    </row>
    <row r="274" customFormat="false" ht="15" hidden="false" customHeight="false" outlineLevel="0" collapsed="false">
      <c r="A274" s="9" t="s">
        <v>2944</v>
      </c>
      <c r="B274" s="10" t="s">
        <v>2366</v>
      </c>
      <c r="C274" s="9" t="s">
        <v>2963</v>
      </c>
      <c r="D274" s="9" t="s">
        <v>2671</v>
      </c>
      <c r="E274" s="9" t="s">
        <v>2671</v>
      </c>
    </row>
    <row r="275" customFormat="false" ht="15" hidden="false" customHeight="false" outlineLevel="0" collapsed="false">
      <c r="A275" s="9" t="s">
        <v>2944</v>
      </c>
      <c r="B275" s="10" t="s">
        <v>2368</v>
      </c>
      <c r="C275" s="9" t="s">
        <v>2367</v>
      </c>
      <c r="D275" s="9" t="s">
        <v>2671</v>
      </c>
      <c r="E275" s="9" t="s">
        <v>2671</v>
      </c>
    </row>
    <row r="276" customFormat="false" ht="15" hidden="false" customHeight="false" outlineLevel="0" collapsed="false">
      <c r="A276" s="9" t="s">
        <v>2944</v>
      </c>
      <c r="B276" s="10" t="s">
        <v>2370</v>
      </c>
      <c r="C276" s="9" t="s">
        <v>2369</v>
      </c>
      <c r="D276" s="9" t="s">
        <v>2671</v>
      </c>
      <c r="E276" s="9" t="s">
        <v>2671</v>
      </c>
    </row>
    <row r="277" customFormat="false" ht="15" hidden="false" customHeight="false" outlineLevel="0" collapsed="false">
      <c r="A277" s="9" t="s">
        <v>2944</v>
      </c>
      <c r="B277" s="10" t="s">
        <v>2372</v>
      </c>
      <c r="C277" s="9" t="s">
        <v>2371</v>
      </c>
      <c r="D277" s="9" t="s">
        <v>2671</v>
      </c>
      <c r="E277" s="9" t="s">
        <v>2671</v>
      </c>
    </row>
    <row r="278" customFormat="false" ht="15" hidden="false" customHeight="false" outlineLevel="0" collapsed="false">
      <c r="A278" s="9" t="s">
        <v>2944</v>
      </c>
      <c r="B278" s="10" t="s">
        <v>2374</v>
      </c>
      <c r="C278" s="9" t="s">
        <v>2373</v>
      </c>
      <c r="D278" s="9" t="s">
        <v>2671</v>
      </c>
      <c r="E278" s="9" t="s">
        <v>2671</v>
      </c>
    </row>
    <row r="279" customFormat="false" ht="15" hidden="false" customHeight="false" outlineLevel="0" collapsed="false">
      <c r="A279" s="9" t="s">
        <v>2944</v>
      </c>
      <c r="B279" s="10" t="s">
        <v>2376</v>
      </c>
      <c r="C279" s="9" t="s">
        <v>2375</v>
      </c>
      <c r="D279" s="9" t="s">
        <v>2671</v>
      </c>
      <c r="E279" s="9" t="s">
        <v>2671</v>
      </c>
    </row>
    <row r="280" customFormat="false" ht="15" hidden="false" customHeight="false" outlineLevel="0" collapsed="false">
      <c r="A280" s="9" t="s">
        <v>2944</v>
      </c>
      <c r="B280" s="10" t="s">
        <v>2378</v>
      </c>
      <c r="C280" s="9" t="s">
        <v>2377</v>
      </c>
      <c r="D280" s="9" t="s">
        <v>2671</v>
      </c>
      <c r="E280" s="9" t="s">
        <v>2671</v>
      </c>
    </row>
    <row r="281" customFormat="false" ht="15" hidden="false" customHeight="false" outlineLevel="0" collapsed="false">
      <c r="A281" s="9" t="s">
        <v>2944</v>
      </c>
      <c r="B281" s="10" t="s">
        <v>2380</v>
      </c>
      <c r="C281" s="9" t="s">
        <v>2379</v>
      </c>
      <c r="D281" s="9" t="s">
        <v>2671</v>
      </c>
      <c r="E281" s="9" t="s">
        <v>2671</v>
      </c>
    </row>
    <row r="282" customFormat="false" ht="15" hidden="false" customHeight="false" outlineLevel="0" collapsed="false">
      <c r="A282" s="9" t="s">
        <v>2944</v>
      </c>
      <c r="B282" s="10" t="s">
        <v>2382</v>
      </c>
      <c r="C282" s="9" t="s">
        <v>2964</v>
      </c>
      <c r="D282" s="9" t="s">
        <v>2671</v>
      </c>
      <c r="E282" s="9" t="s">
        <v>2671</v>
      </c>
    </row>
    <row r="283" customFormat="false" ht="15" hidden="false" customHeight="false" outlineLevel="0" collapsed="false">
      <c r="A283" s="9" t="s">
        <v>2944</v>
      </c>
      <c r="B283" s="10" t="s">
        <v>2386</v>
      </c>
      <c r="C283" s="9" t="s">
        <v>2385</v>
      </c>
      <c r="D283" s="9" t="s">
        <v>2671</v>
      </c>
      <c r="E283" s="9" t="s">
        <v>2671</v>
      </c>
    </row>
    <row r="284" customFormat="false" ht="15" hidden="false" customHeight="false" outlineLevel="0" collapsed="false">
      <c r="A284" s="9" t="s">
        <v>2944</v>
      </c>
      <c r="B284" s="10" t="s">
        <v>2388</v>
      </c>
      <c r="C284" s="9" t="s">
        <v>2387</v>
      </c>
      <c r="D284" s="9" t="s">
        <v>2671</v>
      </c>
      <c r="E284" s="9" t="s">
        <v>2671</v>
      </c>
    </row>
    <row r="285" customFormat="false" ht="15" hidden="false" customHeight="false" outlineLevel="0" collapsed="false">
      <c r="A285" s="9" t="s">
        <v>2944</v>
      </c>
      <c r="B285" s="10" t="s">
        <v>2390</v>
      </c>
      <c r="C285" s="9" t="s">
        <v>2389</v>
      </c>
      <c r="D285" s="9" t="s">
        <v>2671</v>
      </c>
      <c r="E285" s="9" t="s">
        <v>2671</v>
      </c>
    </row>
    <row r="286" customFormat="false" ht="15" hidden="false" customHeight="false" outlineLevel="0" collapsed="false">
      <c r="A286" s="9" t="s">
        <v>2944</v>
      </c>
      <c r="B286" s="10" t="s">
        <v>2392</v>
      </c>
      <c r="C286" s="9" t="s">
        <v>2965</v>
      </c>
      <c r="D286" s="9" t="s">
        <v>2671</v>
      </c>
      <c r="E286" s="9" t="s">
        <v>2671</v>
      </c>
    </row>
    <row r="287" customFormat="false" ht="15" hidden="false" customHeight="false" outlineLevel="0" collapsed="false">
      <c r="A287" s="9" t="s">
        <v>2944</v>
      </c>
      <c r="B287" s="10" t="s">
        <v>2394</v>
      </c>
      <c r="C287" s="9" t="s">
        <v>2966</v>
      </c>
      <c r="D287" s="9" t="s">
        <v>2671</v>
      </c>
      <c r="E287" s="9" t="s">
        <v>2671</v>
      </c>
    </row>
    <row r="288" customFormat="false" ht="15" hidden="false" customHeight="false" outlineLevel="0" collapsed="false">
      <c r="A288" s="9" t="s">
        <v>2944</v>
      </c>
      <c r="B288" s="10" t="s">
        <v>2396</v>
      </c>
      <c r="C288" s="9" t="s">
        <v>2395</v>
      </c>
      <c r="D288" s="9" t="s">
        <v>2671</v>
      </c>
      <c r="E288" s="9" t="s">
        <v>2671</v>
      </c>
    </row>
    <row r="289" customFormat="false" ht="15" hidden="false" customHeight="false" outlineLevel="0" collapsed="false">
      <c r="A289" s="9" t="s">
        <v>2944</v>
      </c>
      <c r="B289" s="10" t="s">
        <v>2398</v>
      </c>
      <c r="C289" s="9" t="s">
        <v>2397</v>
      </c>
      <c r="D289" s="9" t="s">
        <v>2671</v>
      </c>
      <c r="E289" s="9" t="s">
        <v>2671</v>
      </c>
    </row>
    <row r="290" customFormat="false" ht="15" hidden="false" customHeight="false" outlineLevel="0" collapsed="false">
      <c r="A290" s="9" t="s">
        <v>2944</v>
      </c>
      <c r="B290" s="10" t="s">
        <v>2400</v>
      </c>
      <c r="C290" s="9" t="s">
        <v>2399</v>
      </c>
      <c r="D290" s="9" t="s">
        <v>2671</v>
      </c>
      <c r="E290" s="9" t="s">
        <v>2671</v>
      </c>
    </row>
    <row r="291" customFormat="false" ht="15" hidden="false" customHeight="false" outlineLevel="0" collapsed="false">
      <c r="A291" s="9" t="s">
        <v>2944</v>
      </c>
      <c r="B291" s="10" t="s">
        <v>2402</v>
      </c>
      <c r="C291" s="9" t="s">
        <v>2967</v>
      </c>
      <c r="D291" s="9" t="s">
        <v>2671</v>
      </c>
      <c r="E291" s="9" t="s">
        <v>2671</v>
      </c>
    </row>
    <row r="292" customFormat="false" ht="15" hidden="false" customHeight="false" outlineLevel="0" collapsed="false">
      <c r="A292" s="9" t="s">
        <v>2944</v>
      </c>
      <c r="B292" s="10" t="s">
        <v>2404</v>
      </c>
      <c r="C292" s="9" t="s">
        <v>2403</v>
      </c>
      <c r="D292" s="9" t="s">
        <v>2671</v>
      </c>
      <c r="E292" s="9" t="s">
        <v>2671</v>
      </c>
    </row>
    <row r="293" customFormat="false" ht="15" hidden="false" customHeight="false" outlineLevel="0" collapsed="false">
      <c r="A293" s="9" t="s">
        <v>2944</v>
      </c>
      <c r="B293" s="10" t="s">
        <v>2406</v>
      </c>
      <c r="C293" s="9" t="s">
        <v>2405</v>
      </c>
      <c r="D293" s="9" t="s">
        <v>2671</v>
      </c>
      <c r="E293" s="9" t="s">
        <v>2671</v>
      </c>
    </row>
    <row r="294" customFormat="false" ht="15" hidden="false" customHeight="false" outlineLevel="0" collapsed="false">
      <c r="A294" s="9" t="s">
        <v>2944</v>
      </c>
      <c r="B294" s="10" t="s">
        <v>2408</v>
      </c>
      <c r="C294" s="9" t="s">
        <v>2407</v>
      </c>
      <c r="D294" s="9" t="s">
        <v>2671</v>
      </c>
      <c r="E294" s="9" t="s">
        <v>2671</v>
      </c>
    </row>
    <row r="295" customFormat="false" ht="15" hidden="false" customHeight="false" outlineLevel="0" collapsed="false">
      <c r="A295" s="9" t="s">
        <v>2944</v>
      </c>
      <c r="B295" s="10" t="s">
        <v>2410</v>
      </c>
      <c r="C295" s="9" t="s">
        <v>2409</v>
      </c>
      <c r="D295" s="9" t="s">
        <v>2671</v>
      </c>
      <c r="E295" s="9" t="s">
        <v>2671</v>
      </c>
    </row>
    <row r="296" customFormat="false" ht="15" hidden="false" customHeight="false" outlineLevel="0" collapsed="false">
      <c r="A296" s="9" t="s">
        <v>2944</v>
      </c>
      <c r="B296" s="10" t="s">
        <v>2426</v>
      </c>
      <c r="C296" s="9" t="s">
        <v>2425</v>
      </c>
      <c r="D296" s="9" t="s">
        <v>2671</v>
      </c>
      <c r="E296" s="9" t="s">
        <v>2671</v>
      </c>
    </row>
    <row r="297" customFormat="false" ht="15" hidden="false" customHeight="false" outlineLevel="0" collapsed="false">
      <c r="A297" s="9" t="s">
        <v>2944</v>
      </c>
      <c r="B297" s="10" t="s">
        <v>2428</v>
      </c>
      <c r="C297" s="9" t="s">
        <v>2427</v>
      </c>
      <c r="D297" s="9" t="s">
        <v>2671</v>
      </c>
      <c r="E297" s="9" t="s">
        <v>2671</v>
      </c>
    </row>
    <row r="298" customFormat="false" ht="15" hidden="false" customHeight="false" outlineLevel="0" collapsed="false">
      <c r="A298" s="9" t="s">
        <v>2944</v>
      </c>
      <c r="B298" s="10" t="s">
        <v>2430</v>
      </c>
      <c r="C298" s="9" t="s">
        <v>2429</v>
      </c>
      <c r="D298" s="9" t="s">
        <v>2671</v>
      </c>
      <c r="E298" s="9" t="s">
        <v>2671</v>
      </c>
    </row>
    <row r="299" customFormat="false" ht="15" hidden="false" customHeight="false" outlineLevel="0" collapsed="false">
      <c r="A299" s="9" t="s">
        <v>2944</v>
      </c>
      <c r="B299" s="10" t="s">
        <v>2443</v>
      </c>
      <c r="C299" s="9" t="s">
        <v>2442</v>
      </c>
      <c r="D299" s="9" t="s">
        <v>2671</v>
      </c>
      <c r="E299" s="9" t="s">
        <v>2671</v>
      </c>
    </row>
    <row r="300" customFormat="false" ht="15" hidden="false" customHeight="false" outlineLevel="0" collapsed="false">
      <c r="A300" s="9" t="s">
        <v>2944</v>
      </c>
      <c r="B300" s="10" t="s">
        <v>2445</v>
      </c>
      <c r="C300" s="9" t="s">
        <v>2444</v>
      </c>
      <c r="D300" s="9" t="s">
        <v>2671</v>
      </c>
      <c r="E300" s="9" t="s">
        <v>2671</v>
      </c>
    </row>
    <row r="301" customFormat="false" ht="15" hidden="false" customHeight="false" outlineLevel="0" collapsed="false">
      <c r="A301" s="9" t="s">
        <v>2944</v>
      </c>
      <c r="B301" s="10" t="s">
        <v>2447</v>
      </c>
      <c r="C301" s="9" t="s">
        <v>2446</v>
      </c>
      <c r="D301" s="9" t="s">
        <v>2671</v>
      </c>
      <c r="E301" s="9" t="s">
        <v>2671</v>
      </c>
    </row>
    <row r="302" customFormat="false" ht="15" hidden="false" customHeight="false" outlineLevel="0" collapsed="false">
      <c r="A302" s="9" t="s">
        <v>2944</v>
      </c>
      <c r="B302" s="10" t="s">
        <v>2449</v>
      </c>
      <c r="C302" s="9" t="s">
        <v>2448</v>
      </c>
      <c r="D302" s="9" t="s">
        <v>2671</v>
      </c>
      <c r="E302" s="9" t="s">
        <v>2671</v>
      </c>
    </row>
    <row r="303" customFormat="false" ht="15" hidden="false" customHeight="false" outlineLevel="0" collapsed="false">
      <c r="A303" s="9" t="s">
        <v>2944</v>
      </c>
      <c r="B303" s="10" t="s">
        <v>2453</v>
      </c>
      <c r="C303" s="9" t="s">
        <v>2452</v>
      </c>
      <c r="D303" s="9" t="s">
        <v>2671</v>
      </c>
      <c r="E303" s="9" t="s">
        <v>2671</v>
      </c>
    </row>
    <row r="304" customFormat="false" ht="15" hidden="false" customHeight="false" outlineLevel="0" collapsed="false">
      <c r="A304" s="9" t="s">
        <v>2944</v>
      </c>
      <c r="B304" s="10" t="s">
        <v>2455</v>
      </c>
      <c r="C304" s="9" t="s">
        <v>2454</v>
      </c>
      <c r="D304" s="9" t="s">
        <v>2671</v>
      </c>
      <c r="E304" s="9" t="s">
        <v>2671</v>
      </c>
    </row>
    <row r="305" customFormat="false" ht="15" hidden="false" customHeight="false" outlineLevel="0" collapsed="false">
      <c r="A305" s="9" t="s">
        <v>2944</v>
      </c>
      <c r="B305" s="10" t="s">
        <v>2457</v>
      </c>
      <c r="C305" s="9" t="s">
        <v>2456</v>
      </c>
      <c r="D305" s="9" t="s">
        <v>2671</v>
      </c>
      <c r="E305" s="9" t="s">
        <v>2671</v>
      </c>
    </row>
    <row r="306" customFormat="false" ht="15" hidden="false" customHeight="false" outlineLevel="0" collapsed="false">
      <c r="A306" s="9" t="s">
        <v>2944</v>
      </c>
      <c r="B306" s="10" t="s">
        <v>2459</v>
      </c>
      <c r="C306" s="9" t="s">
        <v>2458</v>
      </c>
      <c r="D306" s="9" t="s">
        <v>2671</v>
      </c>
      <c r="E306" s="9" t="s">
        <v>2671</v>
      </c>
    </row>
    <row r="307" customFormat="false" ht="15" hidden="false" customHeight="false" outlineLevel="0" collapsed="false">
      <c r="A307" s="9" t="s">
        <v>2944</v>
      </c>
      <c r="B307" s="10" t="s">
        <v>2461</v>
      </c>
      <c r="C307" s="9" t="s">
        <v>2460</v>
      </c>
      <c r="D307" s="9" t="s">
        <v>2671</v>
      </c>
      <c r="E307" s="9" t="s">
        <v>2671</v>
      </c>
    </row>
    <row r="308" customFormat="false" ht="15" hidden="false" customHeight="false" outlineLevel="0" collapsed="false">
      <c r="A308" s="9" t="s">
        <v>2944</v>
      </c>
      <c r="B308" s="10" t="s">
        <v>2463</v>
      </c>
      <c r="C308" s="9" t="s">
        <v>2462</v>
      </c>
      <c r="D308" s="9" t="s">
        <v>2671</v>
      </c>
      <c r="E308" s="9" t="s">
        <v>2671</v>
      </c>
    </row>
    <row r="309" customFormat="false" ht="15" hidden="false" customHeight="false" outlineLevel="0" collapsed="false">
      <c r="A309" s="9" t="s">
        <v>2944</v>
      </c>
      <c r="B309" s="10" t="s">
        <v>2465</v>
      </c>
      <c r="C309" s="9" t="s">
        <v>2464</v>
      </c>
      <c r="D309" s="9" t="s">
        <v>2671</v>
      </c>
      <c r="E309" s="9" t="s">
        <v>2671</v>
      </c>
    </row>
    <row r="310" customFormat="false" ht="15" hidden="false" customHeight="false" outlineLevel="0" collapsed="false">
      <c r="A310" s="9" t="s">
        <v>2944</v>
      </c>
      <c r="B310" s="10" t="s">
        <v>2467</v>
      </c>
      <c r="C310" s="9" t="s">
        <v>2466</v>
      </c>
      <c r="D310" s="9" t="s">
        <v>2671</v>
      </c>
      <c r="E310" s="9" t="s">
        <v>2671</v>
      </c>
    </row>
    <row r="311" customFormat="false" ht="15" hidden="false" customHeight="false" outlineLevel="0" collapsed="false">
      <c r="A311" s="9" t="s">
        <v>2944</v>
      </c>
      <c r="B311" s="10" t="s">
        <v>2469</v>
      </c>
      <c r="C311" s="9" t="s">
        <v>2468</v>
      </c>
      <c r="D311" s="9" t="s">
        <v>2671</v>
      </c>
      <c r="E311" s="9" t="s">
        <v>2671</v>
      </c>
    </row>
    <row r="312" customFormat="false" ht="15" hidden="false" customHeight="false" outlineLevel="0" collapsed="false">
      <c r="A312" s="9" t="s">
        <v>2944</v>
      </c>
      <c r="B312" s="10" t="s">
        <v>2471</v>
      </c>
      <c r="C312" s="9" t="s">
        <v>2470</v>
      </c>
      <c r="D312" s="9" t="s">
        <v>2671</v>
      </c>
      <c r="E312" s="9" t="s">
        <v>2671</v>
      </c>
    </row>
    <row r="313" customFormat="false" ht="15" hidden="false" customHeight="false" outlineLevel="0" collapsed="false">
      <c r="A313" s="9" t="s">
        <v>2944</v>
      </c>
      <c r="B313" s="10" t="s">
        <v>2473</v>
      </c>
      <c r="C313" s="9" t="s">
        <v>2472</v>
      </c>
      <c r="D313" s="9" t="s">
        <v>2671</v>
      </c>
      <c r="E313" s="9" t="s">
        <v>2671</v>
      </c>
    </row>
    <row r="314" customFormat="false" ht="15" hidden="false" customHeight="false" outlineLevel="0" collapsed="false">
      <c r="A314" s="9" t="s">
        <v>2944</v>
      </c>
      <c r="B314" s="10" t="s">
        <v>2475</v>
      </c>
      <c r="C314" s="9" t="s">
        <v>2474</v>
      </c>
      <c r="D314" s="9" t="s">
        <v>2671</v>
      </c>
      <c r="E314" s="9" t="s">
        <v>2671</v>
      </c>
    </row>
    <row r="315" customFormat="false" ht="15" hidden="false" customHeight="false" outlineLevel="0" collapsed="false">
      <c r="A315" s="9" t="s">
        <v>2944</v>
      </c>
      <c r="B315" s="10" t="s">
        <v>2477</v>
      </c>
      <c r="C315" s="9" t="s">
        <v>2476</v>
      </c>
      <c r="D315" s="9" t="s">
        <v>2671</v>
      </c>
      <c r="E315" s="9" t="s">
        <v>2671</v>
      </c>
    </row>
    <row r="316" customFormat="false" ht="15" hidden="false" customHeight="false" outlineLevel="0" collapsed="false">
      <c r="A316" s="9" t="s">
        <v>2944</v>
      </c>
      <c r="B316" s="10" t="s">
        <v>2479</v>
      </c>
      <c r="C316" s="9" t="s">
        <v>2478</v>
      </c>
      <c r="D316" s="9" t="s">
        <v>2671</v>
      </c>
      <c r="E316" s="9" t="s">
        <v>2671</v>
      </c>
    </row>
    <row r="317" customFormat="false" ht="15" hidden="false" customHeight="false" outlineLevel="0" collapsed="false">
      <c r="A317" s="9" t="s">
        <v>2944</v>
      </c>
      <c r="B317" s="10" t="s">
        <v>2481</v>
      </c>
      <c r="C317" s="9" t="s">
        <v>2968</v>
      </c>
      <c r="D317" s="9" t="s">
        <v>2671</v>
      </c>
      <c r="E317" s="9" t="s">
        <v>2671</v>
      </c>
    </row>
    <row r="318" customFormat="false" ht="15" hidden="false" customHeight="false" outlineLevel="0" collapsed="false">
      <c r="A318" s="9" t="s">
        <v>2944</v>
      </c>
      <c r="B318" s="10" t="s">
        <v>2483</v>
      </c>
      <c r="C318" s="9" t="s">
        <v>2482</v>
      </c>
      <c r="D318" s="9" t="s">
        <v>2671</v>
      </c>
      <c r="E318" s="9" t="s">
        <v>2671</v>
      </c>
    </row>
    <row r="319" customFormat="false" ht="15" hidden="false" customHeight="false" outlineLevel="0" collapsed="false">
      <c r="A319" s="9" t="s">
        <v>2944</v>
      </c>
      <c r="B319" s="10" t="s">
        <v>2487</v>
      </c>
      <c r="C319" s="9" t="s">
        <v>2486</v>
      </c>
      <c r="D319" s="9" t="s">
        <v>2671</v>
      </c>
      <c r="E319" s="9" t="s">
        <v>2671</v>
      </c>
    </row>
    <row r="320" customFormat="false" ht="15" hidden="false" customHeight="false" outlineLevel="0" collapsed="false">
      <c r="A320" s="9" t="s">
        <v>2944</v>
      </c>
      <c r="B320" s="10" t="s">
        <v>2489</v>
      </c>
      <c r="C320" s="9" t="s">
        <v>2488</v>
      </c>
      <c r="D320" s="9" t="s">
        <v>2671</v>
      </c>
      <c r="E320" s="9" t="s">
        <v>2671</v>
      </c>
    </row>
    <row r="321" customFormat="false" ht="15" hidden="false" customHeight="false" outlineLevel="0" collapsed="false">
      <c r="A321" s="9" t="s">
        <v>2944</v>
      </c>
      <c r="B321" s="10" t="s">
        <v>2491</v>
      </c>
      <c r="C321" s="9" t="s">
        <v>2490</v>
      </c>
      <c r="D321" s="9" t="s">
        <v>2671</v>
      </c>
      <c r="E321" s="9" t="s">
        <v>2671</v>
      </c>
    </row>
    <row r="322" customFormat="false" ht="15" hidden="false" customHeight="false" outlineLevel="0" collapsed="false">
      <c r="A322" s="9" t="s">
        <v>2944</v>
      </c>
      <c r="B322" s="10" t="s">
        <v>2493</v>
      </c>
      <c r="C322" s="9" t="s">
        <v>2492</v>
      </c>
      <c r="D322" s="9" t="s">
        <v>2671</v>
      </c>
      <c r="E322" s="9" t="s">
        <v>2671</v>
      </c>
    </row>
    <row r="323" customFormat="false" ht="15" hidden="false" customHeight="false" outlineLevel="0" collapsed="false">
      <c r="A323" s="9" t="s">
        <v>2944</v>
      </c>
      <c r="B323" s="10" t="s">
        <v>2495</v>
      </c>
      <c r="C323" s="9" t="s">
        <v>2494</v>
      </c>
      <c r="D323" s="9" t="s">
        <v>2671</v>
      </c>
      <c r="E323" s="9" t="s">
        <v>2671</v>
      </c>
    </row>
    <row r="324" customFormat="false" ht="15" hidden="false" customHeight="false" outlineLevel="0" collapsed="false">
      <c r="A324" s="9" t="s">
        <v>2944</v>
      </c>
      <c r="B324" s="10" t="s">
        <v>2497</v>
      </c>
      <c r="C324" s="9" t="s">
        <v>2969</v>
      </c>
      <c r="D324" s="9" t="s">
        <v>2671</v>
      </c>
      <c r="E324" s="9" t="s">
        <v>2671</v>
      </c>
    </row>
    <row r="325" customFormat="false" ht="15" hidden="false" customHeight="false" outlineLevel="0" collapsed="false">
      <c r="A325" s="9" t="s">
        <v>2944</v>
      </c>
      <c r="B325" s="10" t="s">
        <v>2499</v>
      </c>
      <c r="C325" s="9" t="s">
        <v>2498</v>
      </c>
      <c r="D325" s="9" t="s">
        <v>2671</v>
      </c>
      <c r="E325" s="9" t="s">
        <v>2671</v>
      </c>
    </row>
    <row r="326" customFormat="false" ht="15" hidden="false" customHeight="false" outlineLevel="0" collapsed="false">
      <c r="A326" s="9" t="s">
        <v>2944</v>
      </c>
      <c r="B326" s="10" t="s">
        <v>2501</v>
      </c>
      <c r="C326" s="9" t="s">
        <v>2500</v>
      </c>
      <c r="D326" s="9" t="s">
        <v>2671</v>
      </c>
      <c r="E326" s="9" t="s">
        <v>2671</v>
      </c>
    </row>
    <row r="327" customFormat="false" ht="15" hidden="false" customHeight="false" outlineLevel="0" collapsed="false">
      <c r="A327" s="9" t="s">
        <v>2944</v>
      </c>
      <c r="B327" s="10" t="s">
        <v>2505</v>
      </c>
      <c r="C327" s="9" t="s">
        <v>2504</v>
      </c>
      <c r="D327" s="9" t="s">
        <v>2671</v>
      </c>
      <c r="E327" s="9" t="s">
        <v>2671</v>
      </c>
    </row>
    <row r="328" customFormat="false" ht="15" hidden="false" customHeight="false" outlineLevel="0" collapsed="false">
      <c r="A328" s="9" t="s">
        <v>2944</v>
      </c>
      <c r="B328" s="10" t="s">
        <v>2507</v>
      </c>
      <c r="C328" s="9" t="s">
        <v>2506</v>
      </c>
      <c r="D328" s="9" t="s">
        <v>2671</v>
      </c>
      <c r="E328" s="9" t="s">
        <v>2671</v>
      </c>
    </row>
    <row r="329" customFormat="false" ht="15" hidden="false" customHeight="false" outlineLevel="0" collapsed="false">
      <c r="A329" s="9" t="s">
        <v>2944</v>
      </c>
      <c r="B329" s="10" t="s">
        <v>2509</v>
      </c>
      <c r="C329" s="9" t="s">
        <v>2508</v>
      </c>
      <c r="D329" s="9" t="s">
        <v>2671</v>
      </c>
      <c r="E329" s="9" t="s">
        <v>2671</v>
      </c>
    </row>
    <row r="330" customFormat="false" ht="15" hidden="false" customHeight="false" outlineLevel="0" collapsed="false">
      <c r="A330" s="9" t="s">
        <v>2944</v>
      </c>
      <c r="B330" s="10" t="s">
        <v>2511</v>
      </c>
      <c r="C330" s="9" t="s">
        <v>2510</v>
      </c>
      <c r="D330" s="9" t="s">
        <v>2671</v>
      </c>
      <c r="E330" s="9" t="s">
        <v>2671</v>
      </c>
    </row>
    <row r="331" customFormat="false" ht="15" hidden="false" customHeight="false" outlineLevel="0" collapsed="false">
      <c r="A331" s="9" t="s">
        <v>2944</v>
      </c>
      <c r="B331" s="10" t="s">
        <v>2513</v>
      </c>
      <c r="C331" s="9" t="s">
        <v>2512</v>
      </c>
      <c r="D331" s="9" t="s">
        <v>2671</v>
      </c>
      <c r="E331" s="9" t="s">
        <v>2671</v>
      </c>
    </row>
    <row r="332" customFormat="false" ht="15" hidden="false" customHeight="false" outlineLevel="0" collapsed="false">
      <c r="A332" s="9" t="s">
        <v>2944</v>
      </c>
      <c r="B332" s="10" t="s">
        <v>2515</v>
      </c>
      <c r="C332" s="9" t="s">
        <v>2514</v>
      </c>
      <c r="D332" s="9" t="s">
        <v>2671</v>
      </c>
      <c r="E332" s="9" t="s">
        <v>2671</v>
      </c>
    </row>
    <row r="333" customFormat="false" ht="15" hidden="false" customHeight="false" outlineLevel="0" collapsed="false">
      <c r="A333" s="9" t="s">
        <v>2944</v>
      </c>
      <c r="B333" s="10" t="s">
        <v>2517</v>
      </c>
      <c r="C333" s="9" t="s">
        <v>2516</v>
      </c>
      <c r="D333" s="9" t="s">
        <v>2671</v>
      </c>
      <c r="E333" s="9" t="s">
        <v>2671</v>
      </c>
    </row>
    <row r="334" customFormat="false" ht="15" hidden="false" customHeight="false" outlineLevel="0" collapsed="false">
      <c r="A334" s="9" t="s">
        <v>2944</v>
      </c>
      <c r="B334" s="10" t="s">
        <v>2519</v>
      </c>
      <c r="C334" s="9" t="s">
        <v>2518</v>
      </c>
      <c r="D334" s="9" t="s">
        <v>2671</v>
      </c>
      <c r="E334" s="9" t="s">
        <v>2671</v>
      </c>
    </row>
    <row r="335" customFormat="false" ht="15" hidden="false" customHeight="false" outlineLevel="0" collapsed="false">
      <c r="A335" s="9" t="s">
        <v>2944</v>
      </c>
      <c r="B335" s="10" t="s">
        <v>2521</v>
      </c>
      <c r="C335" s="9" t="s">
        <v>2520</v>
      </c>
      <c r="D335" s="9" t="s">
        <v>2671</v>
      </c>
      <c r="E335" s="9" t="s">
        <v>2970</v>
      </c>
    </row>
    <row r="336" customFormat="false" ht="15" hidden="false" customHeight="false" outlineLevel="0" collapsed="false">
      <c r="A336" s="9" t="s">
        <v>2944</v>
      </c>
      <c r="B336" s="10" t="s">
        <v>2523</v>
      </c>
      <c r="C336" s="9" t="s">
        <v>2522</v>
      </c>
      <c r="D336" s="9" t="s">
        <v>2671</v>
      </c>
      <c r="E336" s="9" t="s">
        <v>2970</v>
      </c>
    </row>
    <row r="337" customFormat="false" ht="15" hidden="false" customHeight="false" outlineLevel="0" collapsed="false">
      <c r="A337" s="9" t="s">
        <v>2944</v>
      </c>
      <c r="B337" s="10" t="s">
        <v>2525</v>
      </c>
      <c r="C337" s="9" t="s">
        <v>2524</v>
      </c>
      <c r="D337" s="9" t="s">
        <v>2671</v>
      </c>
      <c r="E337" s="9" t="s">
        <v>2671</v>
      </c>
    </row>
    <row r="338" customFormat="false" ht="15" hidden="false" customHeight="false" outlineLevel="0" collapsed="false">
      <c r="A338" s="9" t="s">
        <v>2944</v>
      </c>
      <c r="B338" s="10" t="s">
        <v>2527</v>
      </c>
      <c r="C338" s="9" t="s">
        <v>2526</v>
      </c>
      <c r="D338" s="9" t="s">
        <v>2671</v>
      </c>
      <c r="E338" s="9" t="s">
        <v>2671</v>
      </c>
    </row>
    <row r="339" customFormat="false" ht="15" hidden="false" customHeight="false" outlineLevel="0" collapsed="false">
      <c r="A339" s="9" t="s">
        <v>2944</v>
      </c>
      <c r="B339" s="10" t="s">
        <v>2529</v>
      </c>
      <c r="C339" s="9" t="s">
        <v>2528</v>
      </c>
      <c r="D339" s="9" t="s">
        <v>2671</v>
      </c>
      <c r="E339" s="9" t="s">
        <v>2671</v>
      </c>
    </row>
    <row r="340" customFormat="false" ht="15" hidden="false" customHeight="false" outlineLevel="0" collapsed="false">
      <c r="A340" s="9" t="s">
        <v>2944</v>
      </c>
      <c r="B340" s="10" t="s">
        <v>2531</v>
      </c>
      <c r="C340" s="9" t="s">
        <v>2530</v>
      </c>
      <c r="D340" s="9" t="s">
        <v>2671</v>
      </c>
      <c r="E340" s="9" t="s">
        <v>2671</v>
      </c>
    </row>
    <row r="341" customFormat="false" ht="15" hidden="false" customHeight="false" outlineLevel="0" collapsed="false">
      <c r="A341" s="9" t="s">
        <v>2944</v>
      </c>
      <c r="B341" s="10" t="s">
        <v>2533</v>
      </c>
      <c r="C341" s="9" t="s">
        <v>2532</v>
      </c>
      <c r="D341" s="9" t="s">
        <v>2671</v>
      </c>
      <c r="E341" s="9" t="s">
        <v>2671</v>
      </c>
    </row>
    <row r="342" customFormat="false" ht="15" hidden="false" customHeight="false" outlineLevel="0" collapsed="false">
      <c r="A342" s="9" t="s">
        <v>2944</v>
      </c>
      <c r="B342" s="10" t="s">
        <v>2535</v>
      </c>
      <c r="C342" s="9" t="s">
        <v>2534</v>
      </c>
      <c r="D342" s="9" t="s">
        <v>2671</v>
      </c>
      <c r="E342" s="9" t="s">
        <v>2671</v>
      </c>
    </row>
    <row r="343" customFormat="false" ht="15" hidden="false" customHeight="false" outlineLevel="0" collapsed="false">
      <c r="A343" s="9" t="s">
        <v>2944</v>
      </c>
      <c r="B343" s="10" t="s">
        <v>2537</v>
      </c>
      <c r="C343" s="9" t="s">
        <v>2536</v>
      </c>
      <c r="D343" s="9" t="s">
        <v>2671</v>
      </c>
      <c r="E343" s="9" t="s">
        <v>2671</v>
      </c>
    </row>
    <row r="344" customFormat="false" ht="15" hidden="false" customHeight="false" outlineLevel="0" collapsed="false">
      <c r="A344" s="9" t="s">
        <v>2944</v>
      </c>
      <c r="B344" s="10" t="s">
        <v>2539</v>
      </c>
      <c r="C344" s="9" t="s">
        <v>2538</v>
      </c>
      <c r="D344" s="9" t="s">
        <v>2671</v>
      </c>
      <c r="E344" s="9" t="s">
        <v>2671</v>
      </c>
    </row>
    <row r="345" customFormat="false" ht="15" hidden="false" customHeight="false" outlineLevel="0" collapsed="false">
      <c r="A345" s="9" t="s">
        <v>2944</v>
      </c>
      <c r="B345" s="10" t="s">
        <v>2541</v>
      </c>
      <c r="C345" s="9" t="s">
        <v>2540</v>
      </c>
      <c r="D345" s="9" t="s">
        <v>2671</v>
      </c>
      <c r="E345" s="9" t="s">
        <v>2671</v>
      </c>
    </row>
    <row r="346" customFormat="false" ht="15" hidden="false" customHeight="false" outlineLevel="0" collapsed="false">
      <c r="A346" s="9" t="s">
        <v>2944</v>
      </c>
      <c r="B346" s="10" t="s">
        <v>2543</v>
      </c>
      <c r="C346" s="9" t="s">
        <v>2542</v>
      </c>
      <c r="D346" s="9" t="s">
        <v>2671</v>
      </c>
      <c r="E346" s="9" t="s">
        <v>2671</v>
      </c>
    </row>
    <row r="347" customFormat="false" ht="15" hidden="false" customHeight="false" outlineLevel="0" collapsed="false">
      <c r="A347" s="9" t="s">
        <v>2944</v>
      </c>
      <c r="B347" s="10" t="s">
        <v>2971</v>
      </c>
      <c r="C347" s="9" t="s">
        <v>2269</v>
      </c>
      <c r="D347" s="9" t="s">
        <v>2671</v>
      </c>
      <c r="E347" s="9" t="s">
        <v>2671</v>
      </c>
    </row>
    <row r="348" customFormat="false" ht="15" hidden="false" customHeight="false" outlineLevel="0" collapsed="false">
      <c r="A348" s="9" t="s">
        <v>2944</v>
      </c>
      <c r="B348" s="10" t="s">
        <v>2972</v>
      </c>
      <c r="C348" s="9" t="s">
        <v>2973</v>
      </c>
      <c r="D348" s="9" t="s">
        <v>2671</v>
      </c>
      <c r="E348" s="9" t="s">
        <v>2671</v>
      </c>
    </row>
    <row r="349" customFormat="false" ht="15" hidden="false" customHeight="false" outlineLevel="0" collapsed="false">
      <c r="A349" s="9" t="s">
        <v>2944</v>
      </c>
      <c r="B349" s="10" t="s">
        <v>2974</v>
      </c>
      <c r="C349" s="9" t="s">
        <v>2307</v>
      </c>
      <c r="D349" s="9" t="s">
        <v>2671</v>
      </c>
      <c r="E349" s="9" t="s">
        <v>2671</v>
      </c>
    </row>
    <row r="350" customFormat="false" ht="15" hidden="false" customHeight="false" outlineLevel="0" collapsed="false">
      <c r="A350" s="9" t="s">
        <v>2944</v>
      </c>
      <c r="B350" s="10" t="s">
        <v>2975</v>
      </c>
      <c r="C350" s="9" t="s">
        <v>2334</v>
      </c>
      <c r="D350" s="9" t="s">
        <v>2671</v>
      </c>
      <c r="E350" s="9" t="s">
        <v>2671</v>
      </c>
    </row>
    <row r="351" customFormat="false" ht="15" hidden="false" customHeight="false" outlineLevel="0" collapsed="false">
      <c r="A351" s="9" t="s">
        <v>2944</v>
      </c>
      <c r="B351" s="10" t="s">
        <v>2976</v>
      </c>
      <c r="C351" s="9" t="s">
        <v>2977</v>
      </c>
      <c r="D351" s="9" t="s">
        <v>2671</v>
      </c>
      <c r="E351" s="9" t="s">
        <v>2671</v>
      </c>
    </row>
    <row r="352" customFormat="false" ht="15" hidden="false" customHeight="false" outlineLevel="0" collapsed="false">
      <c r="A352" s="9" t="s">
        <v>2944</v>
      </c>
      <c r="B352" s="10" t="s">
        <v>2978</v>
      </c>
      <c r="C352" s="9" t="s">
        <v>2979</v>
      </c>
      <c r="D352" s="9" t="s">
        <v>2671</v>
      </c>
      <c r="E352" s="9" t="s">
        <v>2671</v>
      </c>
    </row>
    <row r="353" customFormat="false" ht="15" hidden="false" customHeight="false" outlineLevel="0" collapsed="false">
      <c r="A353" s="9" t="s">
        <v>2944</v>
      </c>
      <c r="B353" s="10" t="s">
        <v>2980</v>
      </c>
      <c r="C353" s="9" t="s">
        <v>2981</v>
      </c>
      <c r="D353" s="9" t="s">
        <v>2671</v>
      </c>
      <c r="E353" s="9" t="s">
        <v>2671</v>
      </c>
    </row>
    <row r="354" customFormat="false" ht="15" hidden="false" customHeight="false" outlineLevel="0" collapsed="false">
      <c r="A354" s="9" t="s">
        <v>2944</v>
      </c>
      <c r="B354" s="10" t="s">
        <v>2982</v>
      </c>
      <c r="C354" s="9" t="s">
        <v>2983</v>
      </c>
      <c r="D354" s="9" t="s">
        <v>2671</v>
      </c>
      <c r="E354" s="9" t="s">
        <v>2671</v>
      </c>
    </row>
    <row r="355" customFormat="false" ht="15" hidden="false" customHeight="false" outlineLevel="0" collapsed="false">
      <c r="A355" s="9" t="s">
        <v>2944</v>
      </c>
      <c r="B355" s="10" t="s">
        <v>2984</v>
      </c>
      <c r="C355" s="9" t="s">
        <v>2985</v>
      </c>
      <c r="D355" s="9" t="s">
        <v>2671</v>
      </c>
      <c r="E355" s="9" t="s">
        <v>2671</v>
      </c>
    </row>
    <row r="356" customFormat="false" ht="15" hidden="false" customHeight="false" outlineLevel="0" collapsed="false">
      <c r="A356" s="9" t="s">
        <v>2944</v>
      </c>
      <c r="B356" s="10" t="s">
        <v>2986</v>
      </c>
      <c r="C356" s="9" t="s">
        <v>2987</v>
      </c>
      <c r="D356" s="9" t="s">
        <v>2671</v>
      </c>
      <c r="E356" s="9" t="s">
        <v>2671</v>
      </c>
    </row>
    <row r="357" customFormat="false" ht="15" hidden="false" customHeight="false" outlineLevel="0" collapsed="false">
      <c r="A357" s="9" t="s">
        <v>2944</v>
      </c>
      <c r="B357" s="10" t="s">
        <v>2988</v>
      </c>
      <c r="C357" s="9" t="s">
        <v>2989</v>
      </c>
      <c r="D357" s="9" t="s">
        <v>2671</v>
      </c>
      <c r="E357" s="9" t="s">
        <v>2671</v>
      </c>
    </row>
    <row r="358" customFormat="false" ht="15" hidden="false" customHeight="false" outlineLevel="0" collapsed="false">
      <c r="A358" s="9" t="s">
        <v>2944</v>
      </c>
      <c r="B358" s="10" t="s">
        <v>2990</v>
      </c>
      <c r="C358" s="9" t="s">
        <v>2991</v>
      </c>
      <c r="D358" s="9" t="s">
        <v>2671</v>
      </c>
      <c r="E358" s="9" t="s">
        <v>2671</v>
      </c>
    </row>
    <row r="359" customFormat="false" ht="15" hidden="false" customHeight="false" outlineLevel="0" collapsed="false">
      <c r="A359" s="9" t="s">
        <v>2944</v>
      </c>
      <c r="B359" s="10" t="s">
        <v>2992</v>
      </c>
      <c r="C359" s="9" t="s">
        <v>2993</v>
      </c>
      <c r="D359" s="9" t="s">
        <v>2671</v>
      </c>
      <c r="E359" s="9" t="s">
        <v>2671</v>
      </c>
    </row>
    <row r="360" customFormat="false" ht="15" hidden="false" customHeight="false" outlineLevel="0" collapsed="false">
      <c r="A360" s="9" t="s">
        <v>2944</v>
      </c>
      <c r="B360" s="10" t="s">
        <v>2994</v>
      </c>
      <c r="C360" s="9" t="s">
        <v>2995</v>
      </c>
      <c r="D360" s="9" t="s">
        <v>2671</v>
      </c>
      <c r="E360" s="9" t="s">
        <v>2671</v>
      </c>
    </row>
    <row r="361" customFormat="false" ht="15" hidden="false" customHeight="false" outlineLevel="0" collapsed="false">
      <c r="A361" s="9" t="s">
        <v>2944</v>
      </c>
      <c r="B361" s="10" t="s">
        <v>2996</v>
      </c>
      <c r="C361" s="9" t="s">
        <v>2997</v>
      </c>
      <c r="D361" s="9" t="s">
        <v>2671</v>
      </c>
      <c r="E361" s="9" t="s">
        <v>2671</v>
      </c>
    </row>
    <row r="362" customFormat="false" ht="15" hidden="false" customHeight="false" outlineLevel="0" collapsed="false">
      <c r="A362" s="9" t="s">
        <v>2944</v>
      </c>
      <c r="B362" s="10" t="s">
        <v>2998</v>
      </c>
      <c r="C362" s="9" t="s">
        <v>2357</v>
      </c>
      <c r="D362" s="9" t="s">
        <v>2671</v>
      </c>
      <c r="E362" s="9" t="s">
        <v>2671</v>
      </c>
    </row>
    <row r="363" customFormat="false" ht="15" hidden="false" customHeight="false" outlineLevel="0" collapsed="false">
      <c r="A363" s="9" t="s">
        <v>2944</v>
      </c>
      <c r="B363" s="10" t="s">
        <v>2999</v>
      </c>
      <c r="C363" s="9" t="s">
        <v>3000</v>
      </c>
      <c r="D363" s="9" t="s">
        <v>2671</v>
      </c>
      <c r="E363" s="9" t="s">
        <v>2671</v>
      </c>
    </row>
    <row r="364" customFormat="false" ht="15" hidden="false" customHeight="false" outlineLevel="0" collapsed="false">
      <c r="A364" s="9" t="s">
        <v>2944</v>
      </c>
      <c r="B364" s="10" t="s">
        <v>3001</v>
      </c>
      <c r="C364" s="9" t="s">
        <v>2363</v>
      </c>
      <c r="D364" s="9" t="s">
        <v>2671</v>
      </c>
      <c r="E364" s="9" t="s">
        <v>2671</v>
      </c>
    </row>
    <row r="365" customFormat="false" ht="15" hidden="false" customHeight="false" outlineLevel="0" collapsed="false">
      <c r="A365" s="9" t="s">
        <v>2944</v>
      </c>
      <c r="B365" s="10" t="s">
        <v>3002</v>
      </c>
      <c r="C365" s="9" t="s">
        <v>3003</v>
      </c>
      <c r="D365" s="9" t="s">
        <v>2671</v>
      </c>
      <c r="E365" s="9" t="s">
        <v>2671</v>
      </c>
    </row>
    <row r="366" customFormat="false" ht="15" hidden="false" customHeight="false" outlineLevel="0" collapsed="false">
      <c r="A366" s="9" t="s">
        <v>2944</v>
      </c>
      <c r="B366" s="10" t="s">
        <v>2412</v>
      </c>
      <c r="C366" s="9" t="s">
        <v>2411</v>
      </c>
      <c r="D366" s="9" t="s">
        <v>2671</v>
      </c>
      <c r="E366" s="9" t="s">
        <v>2671</v>
      </c>
    </row>
    <row r="367" customFormat="false" ht="15" hidden="false" customHeight="false" outlineLevel="0" collapsed="false">
      <c r="A367" s="9" t="s">
        <v>2944</v>
      </c>
      <c r="B367" s="10" t="s">
        <v>2414</v>
      </c>
      <c r="C367" s="9" t="s">
        <v>3004</v>
      </c>
      <c r="D367" s="9" t="s">
        <v>2671</v>
      </c>
      <c r="E367" s="9" t="s">
        <v>2671</v>
      </c>
    </row>
    <row r="368" customFormat="false" ht="15" hidden="false" customHeight="false" outlineLevel="0" collapsed="false">
      <c r="A368" s="9" t="s">
        <v>2944</v>
      </c>
      <c r="B368" s="10" t="s">
        <v>2416</v>
      </c>
      <c r="C368" s="9" t="s">
        <v>2415</v>
      </c>
      <c r="D368" s="9" t="s">
        <v>2671</v>
      </c>
      <c r="E368" s="9" t="s">
        <v>2671</v>
      </c>
    </row>
    <row r="369" customFormat="false" ht="15" hidden="false" customHeight="false" outlineLevel="0" collapsed="false">
      <c r="A369" s="9" t="s">
        <v>2944</v>
      </c>
      <c r="B369" s="10" t="s">
        <v>2418</v>
      </c>
      <c r="C369" s="9" t="s">
        <v>2417</v>
      </c>
      <c r="D369" s="9" t="s">
        <v>2671</v>
      </c>
      <c r="E369" s="9" t="s">
        <v>2671</v>
      </c>
    </row>
    <row r="370" customFormat="false" ht="15" hidden="false" customHeight="false" outlineLevel="0" collapsed="false">
      <c r="A370" s="9" t="s">
        <v>2944</v>
      </c>
      <c r="B370" s="10" t="s">
        <v>2420</v>
      </c>
      <c r="C370" s="9" t="s">
        <v>2419</v>
      </c>
      <c r="D370" s="9" t="s">
        <v>2671</v>
      </c>
      <c r="E370" s="9" t="s">
        <v>2671</v>
      </c>
    </row>
    <row r="371" customFormat="false" ht="15" hidden="false" customHeight="false" outlineLevel="0" collapsed="false">
      <c r="A371" s="9" t="s">
        <v>2944</v>
      </c>
      <c r="B371" s="10" t="s">
        <v>3005</v>
      </c>
      <c r="C371" s="9" t="s">
        <v>3006</v>
      </c>
      <c r="D371" s="9" t="s">
        <v>2671</v>
      </c>
      <c r="E371" s="9" t="s">
        <v>2671</v>
      </c>
    </row>
    <row r="372" customFormat="false" ht="15" hidden="false" customHeight="false" outlineLevel="0" collapsed="false">
      <c r="A372" s="9" t="s">
        <v>2944</v>
      </c>
      <c r="B372" s="10" t="s">
        <v>3007</v>
      </c>
      <c r="C372" s="9" t="s">
        <v>3008</v>
      </c>
      <c r="D372" s="9" t="s">
        <v>2671</v>
      </c>
      <c r="E372" s="9" t="s">
        <v>2671</v>
      </c>
    </row>
    <row r="373" customFormat="false" ht="15" hidden="false" customHeight="false" outlineLevel="0" collapsed="false">
      <c r="A373" s="9" t="s">
        <v>2944</v>
      </c>
      <c r="B373" s="10" t="s">
        <v>3009</v>
      </c>
      <c r="C373" s="9" t="s">
        <v>3010</v>
      </c>
      <c r="D373" s="9" t="s">
        <v>2671</v>
      </c>
      <c r="E373" s="9" t="s">
        <v>2671</v>
      </c>
    </row>
    <row r="374" customFormat="false" ht="15" hidden="false" customHeight="false" outlineLevel="0" collapsed="false">
      <c r="A374" s="9" t="s">
        <v>2944</v>
      </c>
      <c r="B374" s="10" t="s">
        <v>3011</v>
      </c>
      <c r="C374" s="9" t="s">
        <v>3012</v>
      </c>
      <c r="D374" s="9" t="s">
        <v>2671</v>
      </c>
      <c r="E374" s="9" t="s">
        <v>2671</v>
      </c>
    </row>
    <row r="375" customFormat="false" ht="15" hidden="false" customHeight="false" outlineLevel="0" collapsed="false">
      <c r="A375" s="9" t="s">
        <v>2944</v>
      </c>
      <c r="B375" s="10" t="s">
        <v>3013</v>
      </c>
      <c r="C375" s="9" t="s">
        <v>3014</v>
      </c>
      <c r="D375" s="9" t="s">
        <v>2671</v>
      </c>
      <c r="E375" s="9" t="s">
        <v>2671</v>
      </c>
    </row>
    <row r="376" customFormat="false" ht="15" hidden="false" customHeight="false" outlineLevel="0" collapsed="false">
      <c r="A376" s="9" t="s">
        <v>2944</v>
      </c>
      <c r="B376" s="10" t="s">
        <v>3015</v>
      </c>
      <c r="C376" s="9" t="s">
        <v>3016</v>
      </c>
      <c r="D376" s="9" t="s">
        <v>2671</v>
      </c>
      <c r="E376" s="9" t="s">
        <v>2671</v>
      </c>
    </row>
    <row r="377" customFormat="false" ht="26.85" hidden="false" customHeight="false" outlineLevel="0" collapsed="false">
      <c r="A377" s="9" t="s">
        <v>2944</v>
      </c>
      <c r="B377" s="10" t="s">
        <v>2810</v>
      </c>
      <c r="C377" s="9" t="s">
        <v>3017</v>
      </c>
      <c r="D377" s="9" t="s">
        <v>3018</v>
      </c>
      <c r="E377" s="9" t="s">
        <v>3018</v>
      </c>
    </row>
    <row r="378" customFormat="false" ht="15" hidden="false" customHeight="false" outlineLevel="0" collapsed="false">
      <c r="A378" s="9" t="s">
        <v>2944</v>
      </c>
      <c r="B378" s="10" t="s">
        <v>2842</v>
      </c>
      <c r="C378" s="9" t="s">
        <v>3019</v>
      </c>
      <c r="D378" s="9" t="s">
        <v>3018</v>
      </c>
      <c r="E378" s="9" t="s">
        <v>3018</v>
      </c>
    </row>
    <row r="379" customFormat="false" ht="15" hidden="false" customHeight="false" outlineLevel="0" collapsed="false">
      <c r="A379" s="9" t="s">
        <v>2944</v>
      </c>
      <c r="B379" s="10" t="s">
        <v>3020</v>
      </c>
      <c r="C379" s="9" t="s">
        <v>3021</v>
      </c>
      <c r="D379" s="9" t="s">
        <v>3018</v>
      </c>
      <c r="E379" s="9" t="s">
        <v>3018</v>
      </c>
    </row>
    <row r="380" customFormat="false" ht="15" hidden="false" customHeight="false" outlineLevel="0" collapsed="false">
      <c r="A380" s="9" t="s">
        <v>2944</v>
      </c>
      <c r="B380" s="10" t="s">
        <v>3022</v>
      </c>
      <c r="C380" s="9" t="s">
        <v>3023</v>
      </c>
      <c r="D380" s="9" t="s">
        <v>3018</v>
      </c>
      <c r="E380" s="9" t="s">
        <v>3018</v>
      </c>
    </row>
    <row r="381" customFormat="false" ht="15" hidden="false" customHeight="false" outlineLevel="0" collapsed="false">
      <c r="A381" s="9" t="s">
        <v>2944</v>
      </c>
      <c r="B381" s="10" t="s">
        <v>3024</v>
      </c>
      <c r="C381" s="9" t="s">
        <v>3025</v>
      </c>
      <c r="D381" s="9" t="s">
        <v>3018</v>
      </c>
      <c r="E381" s="9" t="s">
        <v>3018</v>
      </c>
    </row>
    <row r="382" customFormat="false" ht="15" hidden="false" customHeight="false" outlineLevel="0" collapsed="false">
      <c r="A382" s="9" t="s">
        <v>2944</v>
      </c>
      <c r="B382" s="10" t="s">
        <v>2826</v>
      </c>
      <c r="C382" s="9" t="s">
        <v>3026</v>
      </c>
      <c r="D382" s="9" t="s">
        <v>3018</v>
      </c>
      <c r="E382" s="9" t="s">
        <v>3018</v>
      </c>
    </row>
    <row r="383" customFormat="false" ht="26.85" hidden="false" customHeight="false" outlineLevel="0" collapsed="false">
      <c r="A383" s="9" t="s">
        <v>2944</v>
      </c>
      <c r="B383" s="10" t="s">
        <v>2800</v>
      </c>
      <c r="C383" s="9" t="s">
        <v>3027</v>
      </c>
      <c r="D383" s="9" t="s">
        <v>3018</v>
      </c>
      <c r="E383" s="9" t="s">
        <v>3018</v>
      </c>
    </row>
    <row r="384" customFormat="false" ht="26.85" hidden="false" customHeight="false" outlineLevel="0" collapsed="false">
      <c r="A384" s="9" t="s">
        <v>2944</v>
      </c>
      <c r="B384" s="10" t="s">
        <v>2806</v>
      </c>
      <c r="C384" s="9" t="s">
        <v>3028</v>
      </c>
      <c r="D384" s="9" t="s">
        <v>3018</v>
      </c>
      <c r="E384" s="9" t="s">
        <v>3018</v>
      </c>
    </row>
    <row r="385" customFormat="false" ht="15" hidden="false" customHeight="false" outlineLevel="0" collapsed="false">
      <c r="A385" s="9" t="s">
        <v>2431</v>
      </c>
      <c r="B385" s="10" t="s">
        <v>2433</v>
      </c>
      <c r="C385" s="9" t="s">
        <v>2432</v>
      </c>
      <c r="D385" s="9" t="s">
        <v>2671</v>
      </c>
      <c r="E385" s="9" t="s">
        <v>2671</v>
      </c>
    </row>
    <row r="386" customFormat="false" ht="15" hidden="false" customHeight="false" outlineLevel="0" collapsed="false">
      <c r="A386" s="9" t="s">
        <v>2431</v>
      </c>
      <c r="B386" s="10" t="s">
        <v>2435</v>
      </c>
      <c r="C386" s="9" t="s">
        <v>2434</v>
      </c>
      <c r="D386" s="9" t="s">
        <v>2671</v>
      </c>
      <c r="E386" s="9" t="s">
        <v>2671</v>
      </c>
    </row>
    <row r="387" customFormat="false" ht="15" hidden="false" customHeight="false" outlineLevel="0" collapsed="false">
      <c r="A387" s="9" t="s">
        <v>2431</v>
      </c>
      <c r="B387" s="10" t="s">
        <v>2437</v>
      </c>
      <c r="C387" s="9" t="s">
        <v>2436</v>
      </c>
      <c r="D387" s="9" t="s">
        <v>2671</v>
      </c>
      <c r="E387" s="9" t="s">
        <v>2671</v>
      </c>
    </row>
    <row r="388" customFormat="false" ht="15" hidden="false" customHeight="false" outlineLevel="0" collapsed="false">
      <c r="A388" s="9" t="s">
        <v>2431</v>
      </c>
      <c r="B388" s="10" t="s">
        <v>2439</v>
      </c>
      <c r="C388" s="9" t="s">
        <v>2438</v>
      </c>
      <c r="D388" s="9" t="s">
        <v>2671</v>
      </c>
      <c r="E388" s="9" t="s">
        <v>2671</v>
      </c>
    </row>
    <row r="389" customFormat="false" ht="15" hidden="false" customHeight="false" outlineLevel="0" collapsed="false">
      <c r="A389" s="9" t="s">
        <v>2431</v>
      </c>
      <c r="B389" s="10" t="s">
        <v>2441</v>
      </c>
      <c r="C389" s="9" t="s">
        <v>2440</v>
      </c>
      <c r="D389" s="9" t="s">
        <v>2671</v>
      </c>
      <c r="E389" s="9" t="s">
        <v>2671</v>
      </c>
    </row>
    <row r="390" customFormat="false" ht="15" hidden="false" customHeight="false" outlineLevel="0" collapsed="false">
      <c r="A390" s="9" t="s">
        <v>2319</v>
      </c>
      <c r="B390" s="10" t="s">
        <v>2321</v>
      </c>
      <c r="C390" s="9" t="s">
        <v>2320</v>
      </c>
      <c r="D390" s="9" t="s">
        <v>2671</v>
      </c>
      <c r="E390" s="9" t="s">
        <v>2671</v>
      </c>
    </row>
    <row r="391" customFormat="false" ht="15" hidden="false" customHeight="false" outlineLevel="0" collapsed="false">
      <c r="A391" s="9" t="s">
        <v>2623</v>
      </c>
      <c r="B391" s="10" t="s">
        <v>2625</v>
      </c>
      <c r="C391" s="9" t="s">
        <v>2624</v>
      </c>
      <c r="D391" s="9" t="s">
        <v>2671</v>
      </c>
      <c r="E391" s="9" t="s">
        <v>2671</v>
      </c>
    </row>
    <row r="392" customFormat="false" ht="15" hidden="false" customHeight="false" outlineLevel="0" collapsed="false">
      <c r="A392" s="9" t="s">
        <v>2623</v>
      </c>
      <c r="B392" s="10" t="s">
        <v>2627</v>
      </c>
      <c r="C392" s="9" t="s">
        <v>2626</v>
      </c>
      <c r="D392" s="9" t="s">
        <v>2671</v>
      </c>
      <c r="E392" s="9" t="s">
        <v>2671</v>
      </c>
    </row>
    <row r="393" customFormat="false" ht="15" hidden="false" customHeight="false" outlineLevel="0" collapsed="false">
      <c r="A393" s="9" t="s">
        <v>2623</v>
      </c>
      <c r="B393" s="10" t="s">
        <v>2629</v>
      </c>
      <c r="C393" s="9" t="s">
        <v>3029</v>
      </c>
      <c r="D393" s="9" t="s">
        <v>2671</v>
      </c>
      <c r="E393" s="9" t="s">
        <v>2671</v>
      </c>
    </row>
    <row r="394" customFormat="false" ht="15" hidden="false" customHeight="false" outlineLevel="0" collapsed="false">
      <c r="A394" s="9" t="s">
        <v>2623</v>
      </c>
      <c r="B394" s="10" t="s">
        <v>2631</v>
      </c>
      <c r="C394" s="9" t="s">
        <v>2630</v>
      </c>
      <c r="D394" s="9" t="s">
        <v>2671</v>
      </c>
      <c r="E394" s="9" t="s">
        <v>2671</v>
      </c>
    </row>
    <row r="395" customFormat="false" ht="15" hidden="false" customHeight="false" outlineLevel="0" collapsed="false">
      <c r="A395" s="9" t="s">
        <v>2655</v>
      </c>
      <c r="B395" s="10" t="s">
        <v>2657</v>
      </c>
      <c r="C395" s="9" t="s">
        <v>3030</v>
      </c>
      <c r="D395" s="9" t="s">
        <v>2671</v>
      </c>
      <c r="E395" s="9" t="s">
        <v>2671</v>
      </c>
    </row>
    <row r="396" customFormat="false" ht="15" hidden="false" customHeight="false" outlineLevel="0" collapsed="false">
      <c r="A396" s="9" t="s">
        <v>2658</v>
      </c>
      <c r="B396" s="10" t="s">
        <v>2660</v>
      </c>
      <c r="C396" s="9" t="s">
        <v>3031</v>
      </c>
      <c r="D396" s="9" t="s">
        <v>2671</v>
      </c>
      <c r="E396" s="9" t="s">
        <v>2671</v>
      </c>
    </row>
    <row r="397" customFormat="false" ht="15" hidden="false" customHeight="false" outlineLevel="0" collapsed="false">
      <c r="A397" s="9" t="s">
        <v>2658</v>
      </c>
      <c r="B397" s="10" t="s">
        <v>2662</v>
      </c>
      <c r="C397" s="9" t="s">
        <v>2661</v>
      </c>
      <c r="D397" s="9" t="s">
        <v>2671</v>
      </c>
      <c r="E397" s="9" t="s">
        <v>2671</v>
      </c>
    </row>
    <row r="398" customFormat="false" ht="15" hidden="false" customHeight="false" outlineLevel="0" collapsed="false">
      <c r="A398" s="9" t="s">
        <v>2658</v>
      </c>
      <c r="B398" s="10" t="s">
        <v>2664</v>
      </c>
      <c r="C398" s="9" t="s">
        <v>2663</v>
      </c>
      <c r="D398" s="9" t="s">
        <v>2671</v>
      </c>
      <c r="E398" s="9" t="s">
        <v>2671</v>
      </c>
    </row>
    <row r="399" customFormat="false" ht="15" hidden="false" customHeight="false" outlineLevel="0" collapsed="false">
      <c r="A399" s="9" t="s">
        <v>3032</v>
      </c>
      <c r="B399" s="10" t="s">
        <v>2548</v>
      </c>
      <c r="C399" s="9" t="s">
        <v>2547</v>
      </c>
      <c r="D399" s="9" t="s">
        <v>2671</v>
      </c>
      <c r="E399" s="9" t="s">
        <v>2671</v>
      </c>
    </row>
    <row r="400" customFormat="false" ht="15" hidden="false" customHeight="false" outlineLevel="0" collapsed="false">
      <c r="A400" s="9" t="s">
        <v>3032</v>
      </c>
      <c r="B400" s="10" t="s">
        <v>2550</v>
      </c>
      <c r="C400" s="9" t="s">
        <v>2549</v>
      </c>
      <c r="D400" s="9" t="s">
        <v>2671</v>
      </c>
      <c r="E400" s="9" t="s">
        <v>2671</v>
      </c>
    </row>
    <row r="401" customFormat="false" ht="15" hidden="false" customHeight="false" outlineLevel="0" collapsed="false">
      <c r="A401" s="9" t="s">
        <v>3032</v>
      </c>
      <c r="B401" s="10" t="s">
        <v>2552</v>
      </c>
      <c r="C401" s="9" t="s">
        <v>2551</v>
      </c>
      <c r="D401" s="9" t="s">
        <v>2671</v>
      </c>
      <c r="E401" s="9" t="s">
        <v>2671</v>
      </c>
    </row>
    <row r="402" customFormat="false" ht="15" hidden="false" customHeight="false" outlineLevel="0" collapsed="false">
      <c r="A402" s="9" t="s">
        <v>3032</v>
      </c>
      <c r="B402" s="10" t="s">
        <v>2554</v>
      </c>
      <c r="C402" s="9" t="s">
        <v>3033</v>
      </c>
      <c r="D402" s="9" t="s">
        <v>2671</v>
      </c>
      <c r="E402" s="9" t="s">
        <v>2671</v>
      </c>
    </row>
    <row r="403" customFormat="false" ht="15" hidden="false" customHeight="false" outlineLevel="0" collapsed="false">
      <c r="A403" s="9" t="s">
        <v>3032</v>
      </c>
      <c r="B403" s="10" t="s">
        <v>2556</v>
      </c>
      <c r="C403" s="9" t="s">
        <v>3034</v>
      </c>
      <c r="D403" s="9" t="s">
        <v>2671</v>
      </c>
      <c r="E403" s="9" t="s">
        <v>2671</v>
      </c>
    </row>
    <row r="404" customFormat="false" ht="15" hidden="false" customHeight="false" outlineLevel="0" collapsed="false">
      <c r="A404" s="9" t="s">
        <v>3032</v>
      </c>
      <c r="B404" s="10" t="s">
        <v>2558</v>
      </c>
      <c r="C404" s="9" t="s">
        <v>3035</v>
      </c>
      <c r="D404" s="9" t="s">
        <v>2671</v>
      </c>
      <c r="E404" s="9" t="s">
        <v>2671</v>
      </c>
    </row>
    <row r="405" customFormat="false" ht="15" hidden="false" customHeight="false" outlineLevel="0" collapsed="false">
      <c r="A405" s="9" t="s">
        <v>3032</v>
      </c>
      <c r="B405" s="10" t="s">
        <v>2560</v>
      </c>
      <c r="C405" s="9" t="s">
        <v>3036</v>
      </c>
      <c r="D405" s="9" t="s">
        <v>2671</v>
      </c>
      <c r="E405" s="9" t="s">
        <v>2671</v>
      </c>
    </row>
    <row r="406" customFormat="false" ht="15" hidden="false" customHeight="false" outlineLevel="0" collapsed="false">
      <c r="A406" s="9" t="s">
        <v>3032</v>
      </c>
      <c r="B406" s="10" t="s">
        <v>2562</v>
      </c>
      <c r="C406" s="9" t="s">
        <v>3037</v>
      </c>
      <c r="D406" s="9" t="s">
        <v>2671</v>
      </c>
      <c r="E406" s="9" t="s">
        <v>2671</v>
      </c>
    </row>
    <row r="407" customFormat="false" ht="15" hidden="false" customHeight="false" outlineLevel="0" collapsed="false">
      <c r="A407" s="9" t="s">
        <v>3032</v>
      </c>
      <c r="B407" s="10" t="s">
        <v>2564</v>
      </c>
      <c r="C407" s="9" t="s">
        <v>2563</v>
      </c>
      <c r="D407" s="9" t="s">
        <v>2671</v>
      </c>
      <c r="E407" s="9" t="s">
        <v>2671</v>
      </c>
    </row>
    <row r="408" customFormat="false" ht="15" hidden="false" customHeight="false" outlineLevel="0" collapsed="false">
      <c r="A408" s="9" t="s">
        <v>3032</v>
      </c>
      <c r="B408" s="10" t="s">
        <v>2568</v>
      </c>
      <c r="C408" s="9" t="s">
        <v>2567</v>
      </c>
      <c r="D408" s="9" t="s">
        <v>2671</v>
      </c>
      <c r="E408" s="9" t="s">
        <v>2671</v>
      </c>
    </row>
    <row r="409" customFormat="false" ht="15" hidden="false" customHeight="false" outlineLevel="0" collapsed="false">
      <c r="A409" s="9" t="s">
        <v>3032</v>
      </c>
      <c r="B409" s="10" t="s">
        <v>2570</v>
      </c>
      <c r="C409" s="9" t="s">
        <v>2569</v>
      </c>
      <c r="D409" s="9" t="s">
        <v>2671</v>
      </c>
      <c r="E409" s="9" t="s">
        <v>2671</v>
      </c>
    </row>
    <row r="410" customFormat="false" ht="15" hidden="false" customHeight="false" outlineLevel="0" collapsed="false">
      <c r="A410" s="9" t="s">
        <v>3032</v>
      </c>
      <c r="B410" s="10" t="s">
        <v>2572</v>
      </c>
      <c r="C410" s="9" t="s">
        <v>2571</v>
      </c>
      <c r="D410" s="9" t="s">
        <v>2671</v>
      </c>
      <c r="E410" s="9" t="s">
        <v>2671</v>
      </c>
    </row>
    <row r="411" customFormat="false" ht="15" hidden="false" customHeight="false" outlineLevel="0" collapsed="false">
      <c r="A411" s="9" t="s">
        <v>3032</v>
      </c>
      <c r="B411" s="10" t="s">
        <v>2574</v>
      </c>
      <c r="C411" s="9" t="s">
        <v>2573</v>
      </c>
      <c r="D411" s="9" t="s">
        <v>2671</v>
      </c>
      <c r="E411" s="9" t="s">
        <v>2671</v>
      </c>
    </row>
    <row r="412" customFormat="false" ht="15" hidden="false" customHeight="false" outlineLevel="0" collapsed="false">
      <c r="A412" s="9" t="s">
        <v>3032</v>
      </c>
      <c r="B412" s="10" t="s">
        <v>2576</v>
      </c>
      <c r="C412" s="9" t="s">
        <v>2575</v>
      </c>
      <c r="D412" s="9" t="s">
        <v>2671</v>
      </c>
      <c r="E412" s="9" t="s">
        <v>2671</v>
      </c>
    </row>
    <row r="413" customFormat="false" ht="15" hidden="false" customHeight="false" outlineLevel="0" collapsed="false">
      <c r="A413" s="9" t="s">
        <v>3032</v>
      </c>
      <c r="B413" s="10" t="s">
        <v>2578</v>
      </c>
      <c r="C413" s="9" t="s">
        <v>2577</v>
      </c>
      <c r="D413" s="9" t="s">
        <v>2671</v>
      </c>
      <c r="E413" s="9" t="s">
        <v>2671</v>
      </c>
    </row>
    <row r="414" customFormat="false" ht="15" hidden="false" customHeight="false" outlineLevel="0" collapsed="false">
      <c r="A414" s="9" t="s">
        <v>3032</v>
      </c>
      <c r="B414" s="10" t="s">
        <v>2580</v>
      </c>
      <c r="C414" s="9" t="s">
        <v>2579</v>
      </c>
      <c r="D414" s="9" t="s">
        <v>2671</v>
      </c>
      <c r="E414" s="9" t="s">
        <v>2671</v>
      </c>
    </row>
    <row r="415" customFormat="false" ht="15" hidden="false" customHeight="false" outlineLevel="0" collapsed="false">
      <c r="A415" s="9" t="s">
        <v>3032</v>
      </c>
      <c r="B415" s="10" t="s">
        <v>2582</v>
      </c>
      <c r="C415" s="9" t="s">
        <v>2581</v>
      </c>
      <c r="D415" s="9" t="s">
        <v>2671</v>
      </c>
      <c r="E415" s="9" t="s">
        <v>2671</v>
      </c>
    </row>
    <row r="416" customFormat="false" ht="15" hidden="false" customHeight="false" outlineLevel="0" collapsed="false">
      <c r="A416" s="9" t="s">
        <v>3032</v>
      </c>
      <c r="B416" s="10" t="s">
        <v>2584</v>
      </c>
      <c r="C416" s="9" t="s">
        <v>2583</v>
      </c>
      <c r="D416" s="9" t="s">
        <v>2671</v>
      </c>
      <c r="E416" s="9" t="s">
        <v>2671</v>
      </c>
    </row>
    <row r="417" customFormat="false" ht="15" hidden="false" customHeight="false" outlineLevel="0" collapsed="false">
      <c r="A417" s="9" t="s">
        <v>3032</v>
      </c>
      <c r="B417" s="10" t="s">
        <v>2586</v>
      </c>
      <c r="C417" s="9" t="s">
        <v>2585</v>
      </c>
      <c r="D417" s="9" t="s">
        <v>2671</v>
      </c>
      <c r="E417" s="9" t="s">
        <v>2671</v>
      </c>
    </row>
    <row r="418" customFormat="false" ht="15" hidden="false" customHeight="false" outlineLevel="0" collapsed="false">
      <c r="A418" s="9" t="s">
        <v>3032</v>
      </c>
      <c r="B418" s="10" t="s">
        <v>2588</v>
      </c>
      <c r="C418" s="9" t="s">
        <v>2587</v>
      </c>
      <c r="D418" s="9" t="s">
        <v>2671</v>
      </c>
      <c r="E418" s="9" t="s">
        <v>2671</v>
      </c>
    </row>
    <row r="419" customFormat="false" ht="15" hidden="false" customHeight="false" outlineLevel="0" collapsed="false">
      <c r="A419" s="9" t="s">
        <v>3032</v>
      </c>
      <c r="B419" s="10" t="s">
        <v>2590</v>
      </c>
      <c r="C419" s="9" t="s">
        <v>2589</v>
      </c>
      <c r="D419" s="9" t="s">
        <v>2671</v>
      </c>
      <c r="E419" s="9" t="s">
        <v>2671</v>
      </c>
    </row>
    <row r="420" customFormat="false" ht="15" hidden="false" customHeight="false" outlineLevel="0" collapsed="false">
      <c r="A420" s="9" t="s">
        <v>3032</v>
      </c>
      <c r="B420" s="10" t="s">
        <v>2594</v>
      </c>
      <c r="C420" s="9" t="s">
        <v>3038</v>
      </c>
      <c r="D420" s="9" t="s">
        <v>2671</v>
      </c>
      <c r="E420" s="9" t="s">
        <v>2671</v>
      </c>
    </row>
    <row r="421" customFormat="false" ht="15" hidden="false" customHeight="false" outlineLevel="0" collapsed="false">
      <c r="A421" s="9" t="s">
        <v>3032</v>
      </c>
      <c r="B421" s="10" t="s">
        <v>2596</v>
      </c>
      <c r="C421" s="9" t="s">
        <v>2595</v>
      </c>
      <c r="D421" s="9" t="s">
        <v>2671</v>
      </c>
      <c r="E421" s="9" t="s">
        <v>2671</v>
      </c>
    </row>
    <row r="422" customFormat="false" ht="15" hidden="false" customHeight="false" outlineLevel="0" collapsed="false">
      <c r="A422" s="9" t="s">
        <v>3032</v>
      </c>
      <c r="B422" s="10" t="s">
        <v>2598</v>
      </c>
      <c r="C422" s="9" t="s">
        <v>2597</v>
      </c>
      <c r="D422" s="9" t="s">
        <v>2671</v>
      </c>
      <c r="E422" s="9" t="s">
        <v>2671</v>
      </c>
    </row>
    <row r="423" customFormat="false" ht="15" hidden="false" customHeight="false" outlineLevel="0" collapsed="false">
      <c r="A423" s="9" t="s">
        <v>3032</v>
      </c>
      <c r="B423" s="10" t="s">
        <v>2602</v>
      </c>
      <c r="C423" s="9" t="s">
        <v>2601</v>
      </c>
      <c r="D423" s="9" t="s">
        <v>2671</v>
      </c>
      <c r="E423" s="9" t="s">
        <v>2671</v>
      </c>
    </row>
    <row r="424" customFormat="false" ht="15" hidden="false" customHeight="false" outlineLevel="0" collapsed="false">
      <c r="A424" s="9" t="s">
        <v>3032</v>
      </c>
      <c r="B424" s="10" t="s">
        <v>2604</v>
      </c>
      <c r="C424" s="9" t="s">
        <v>2603</v>
      </c>
      <c r="D424" s="9" t="s">
        <v>2671</v>
      </c>
      <c r="E424" s="9" t="s">
        <v>2671</v>
      </c>
    </row>
    <row r="425" customFormat="false" ht="15" hidden="false" customHeight="false" outlineLevel="0" collapsed="false">
      <c r="A425" s="9" t="s">
        <v>3032</v>
      </c>
      <c r="B425" s="10" t="s">
        <v>2606</v>
      </c>
      <c r="C425" s="9" t="s">
        <v>3039</v>
      </c>
      <c r="D425" s="9" t="s">
        <v>2671</v>
      </c>
      <c r="E425" s="9" t="s">
        <v>2671</v>
      </c>
    </row>
    <row r="426" customFormat="false" ht="15" hidden="false" customHeight="false" outlineLevel="0" collapsed="false">
      <c r="A426" s="9" t="s">
        <v>3032</v>
      </c>
      <c r="B426" s="10" t="s">
        <v>2610</v>
      </c>
      <c r="C426" s="9" t="s">
        <v>2609</v>
      </c>
      <c r="D426" s="9" t="s">
        <v>2671</v>
      </c>
      <c r="E426" s="9" t="s">
        <v>2671</v>
      </c>
    </row>
    <row r="427" customFormat="false" ht="15" hidden="false" customHeight="false" outlineLevel="0" collapsed="false">
      <c r="A427" s="9" t="s">
        <v>3032</v>
      </c>
      <c r="B427" s="10" t="s">
        <v>2612</v>
      </c>
      <c r="C427" s="9" t="s">
        <v>2611</v>
      </c>
      <c r="D427" s="9" t="s">
        <v>2671</v>
      </c>
      <c r="E427" s="9" t="s">
        <v>2671</v>
      </c>
    </row>
    <row r="428" customFormat="false" ht="15" hidden="false" customHeight="false" outlineLevel="0" collapsed="false">
      <c r="A428" s="9" t="s">
        <v>3032</v>
      </c>
      <c r="B428" s="10" t="s">
        <v>2614</v>
      </c>
      <c r="C428" s="9" t="s">
        <v>3040</v>
      </c>
      <c r="D428" s="9" t="s">
        <v>2671</v>
      </c>
      <c r="E428" s="9" t="s">
        <v>2671</v>
      </c>
    </row>
    <row r="429" customFormat="false" ht="15" hidden="false" customHeight="false" outlineLevel="0" collapsed="false">
      <c r="A429" s="9" t="s">
        <v>3032</v>
      </c>
      <c r="B429" s="10" t="s">
        <v>2616</v>
      </c>
      <c r="C429" s="9" t="s">
        <v>2615</v>
      </c>
      <c r="D429" s="9" t="s">
        <v>2671</v>
      </c>
      <c r="E429" s="9" t="s">
        <v>2671</v>
      </c>
    </row>
    <row r="430" customFormat="false" ht="15" hidden="false" customHeight="false" outlineLevel="0" collapsed="false">
      <c r="A430" s="9" t="s">
        <v>3032</v>
      </c>
      <c r="B430" s="10" t="s">
        <v>2620</v>
      </c>
      <c r="C430" s="9" t="s">
        <v>2619</v>
      </c>
      <c r="D430" s="9" t="s">
        <v>2671</v>
      </c>
      <c r="E430" s="9" t="s">
        <v>2671</v>
      </c>
    </row>
    <row r="431" customFormat="false" ht="15" hidden="false" customHeight="false" outlineLevel="0" collapsed="false">
      <c r="A431" s="9" t="s">
        <v>3032</v>
      </c>
      <c r="B431" s="10" t="s">
        <v>2622</v>
      </c>
      <c r="C431" s="9" t="s">
        <v>2621</v>
      </c>
      <c r="D431" s="9" t="s">
        <v>2671</v>
      </c>
      <c r="E431" s="9" t="s">
        <v>2671</v>
      </c>
    </row>
    <row r="432" customFormat="false" ht="15" hidden="false" customHeight="false" outlineLevel="0" collapsed="false">
      <c r="A432" s="9" t="s">
        <v>3032</v>
      </c>
      <c r="B432" s="10" t="s">
        <v>3041</v>
      </c>
      <c r="C432" s="9" t="s">
        <v>3042</v>
      </c>
      <c r="D432" s="9" t="s">
        <v>2671</v>
      </c>
      <c r="E432" s="9" t="s">
        <v>2671</v>
      </c>
    </row>
    <row r="433" customFormat="false" ht="15" hidden="false" customHeight="false" outlineLevel="0" collapsed="false">
      <c r="A433" s="9" t="s">
        <v>3032</v>
      </c>
      <c r="B433" s="10" t="s">
        <v>3043</v>
      </c>
      <c r="C433" s="9" t="s">
        <v>3044</v>
      </c>
      <c r="D433" s="9" t="s">
        <v>2671</v>
      </c>
      <c r="E433" s="9" t="s">
        <v>2671</v>
      </c>
    </row>
    <row r="434" customFormat="false" ht="15" hidden="false" customHeight="false" outlineLevel="0" collapsed="false">
      <c r="A434" s="9" t="s">
        <v>3032</v>
      </c>
      <c r="B434" s="10" t="s">
        <v>3045</v>
      </c>
      <c r="C434" s="9" t="s">
        <v>3046</v>
      </c>
      <c r="D434" s="9" t="s">
        <v>2671</v>
      </c>
      <c r="E434" s="9" t="s">
        <v>2671</v>
      </c>
    </row>
    <row r="435" customFormat="false" ht="15" hidden="false" customHeight="false" outlineLevel="0" collapsed="false">
      <c r="A435" s="9" t="s">
        <v>3032</v>
      </c>
      <c r="B435" s="10" t="s">
        <v>3047</v>
      </c>
      <c r="C435" s="9" t="s">
        <v>3039</v>
      </c>
      <c r="D435" s="9" t="s">
        <v>2671</v>
      </c>
      <c r="E435" s="9" t="s">
        <v>2671</v>
      </c>
    </row>
    <row r="436" customFormat="false" ht="15" hidden="false" customHeight="false" outlineLevel="0" collapsed="false">
      <c r="A436" s="9" t="s">
        <v>3032</v>
      </c>
      <c r="B436" s="10" t="s">
        <v>3048</v>
      </c>
      <c r="C436" s="9" t="s">
        <v>3049</v>
      </c>
      <c r="D436" s="9" t="s">
        <v>2671</v>
      </c>
      <c r="E436" s="9" t="s">
        <v>2671</v>
      </c>
    </row>
    <row r="437" customFormat="false" ht="26.85" hidden="false" customHeight="false" outlineLevel="0" collapsed="false">
      <c r="A437" s="9" t="s">
        <v>3032</v>
      </c>
      <c r="B437" s="10" t="s">
        <v>2828</v>
      </c>
      <c r="C437" s="9" t="s">
        <v>3050</v>
      </c>
      <c r="D437" s="9" t="s">
        <v>3018</v>
      </c>
      <c r="E437" s="9" t="s">
        <v>3018</v>
      </c>
    </row>
    <row r="438" customFormat="false" ht="15" hidden="false" customHeight="false" outlineLevel="0" collapsed="false">
      <c r="A438" s="9" t="s">
        <v>3032</v>
      </c>
      <c r="B438" s="10" t="s">
        <v>2836</v>
      </c>
      <c r="C438" s="9" t="s">
        <v>3051</v>
      </c>
      <c r="D438" s="9" t="s">
        <v>3018</v>
      </c>
      <c r="E438" s="9" t="s">
        <v>3018</v>
      </c>
    </row>
    <row r="439" customFormat="false" ht="15" hidden="false" customHeight="false" outlineLevel="0" collapsed="false">
      <c r="A439" s="9" t="s">
        <v>3032</v>
      </c>
      <c r="B439" s="10" t="s">
        <v>3052</v>
      </c>
      <c r="C439" s="9" t="s">
        <v>3053</v>
      </c>
      <c r="D439" s="9" t="s">
        <v>3018</v>
      </c>
      <c r="E439" s="9" t="s">
        <v>3018</v>
      </c>
    </row>
    <row r="440" customFormat="false" ht="15" hidden="false" customHeight="false" outlineLevel="0" collapsed="false">
      <c r="A440" s="9" t="s">
        <v>3032</v>
      </c>
      <c r="B440" s="10" t="s">
        <v>3054</v>
      </c>
      <c r="C440" s="9" t="s">
        <v>3053</v>
      </c>
      <c r="D440" s="9" t="s">
        <v>3018</v>
      </c>
      <c r="E440" s="9" t="s">
        <v>3018</v>
      </c>
    </row>
    <row r="441" customFormat="false" ht="15" hidden="false" customHeight="false" outlineLevel="0" collapsed="false">
      <c r="A441" s="9" t="s">
        <v>3055</v>
      </c>
      <c r="B441" s="10" t="s">
        <v>3056</v>
      </c>
      <c r="C441" s="9" t="s">
        <v>3057</v>
      </c>
      <c r="D441" s="9" t="s">
        <v>2671</v>
      </c>
      <c r="E441" s="9" t="s">
        <v>2671</v>
      </c>
    </row>
    <row r="442" customFormat="false" ht="15" hidden="false" customHeight="false" outlineLevel="0" collapsed="false">
      <c r="A442" s="9" t="s">
        <v>3055</v>
      </c>
      <c r="B442" s="10" t="s">
        <v>3058</v>
      </c>
      <c r="C442" s="9" t="s">
        <v>3059</v>
      </c>
      <c r="D442" s="9" t="s">
        <v>2671</v>
      </c>
      <c r="E442" s="9" t="s">
        <v>2671</v>
      </c>
    </row>
    <row r="443" customFormat="false" ht="15" hidden="false" customHeight="false" outlineLevel="0" collapsed="false">
      <c r="A443" s="9" t="s">
        <v>3055</v>
      </c>
      <c r="B443" s="10" t="s">
        <v>3060</v>
      </c>
      <c r="C443" s="9" t="s">
        <v>3061</v>
      </c>
      <c r="D443" s="9" t="s">
        <v>2671</v>
      </c>
      <c r="E443" s="9" t="s">
        <v>2671</v>
      </c>
    </row>
    <row r="444" customFormat="false" ht="15" hidden="false" customHeight="false" outlineLevel="0" collapsed="false">
      <c r="A444" s="9" t="s">
        <v>3055</v>
      </c>
      <c r="B444" s="10" t="s">
        <v>3062</v>
      </c>
      <c r="C444" s="9" t="s">
        <v>3063</v>
      </c>
      <c r="D444" s="9" t="s">
        <v>2671</v>
      </c>
      <c r="E444" s="9" t="s">
        <v>2671</v>
      </c>
    </row>
    <row r="445" customFormat="false" ht="15" hidden="false" customHeight="false" outlineLevel="0" collapsed="false">
      <c r="A445" s="9" t="s">
        <v>3055</v>
      </c>
      <c r="B445" s="10" t="s">
        <v>3064</v>
      </c>
      <c r="C445" s="9" t="s">
        <v>3065</v>
      </c>
      <c r="D445" s="9" t="s">
        <v>2671</v>
      </c>
      <c r="E445" s="9" t="s">
        <v>2671</v>
      </c>
    </row>
    <row r="446" customFormat="false" ht="15" hidden="false" customHeight="false" outlineLevel="0" collapsed="false">
      <c r="A446" s="9" t="s">
        <v>3055</v>
      </c>
      <c r="B446" s="10" t="s">
        <v>3066</v>
      </c>
      <c r="C446" s="9" t="s">
        <v>3067</v>
      </c>
      <c r="D446" s="9" t="s">
        <v>2671</v>
      </c>
      <c r="E446" s="9" t="s">
        <v>2671</v>
      </c>
    </row>
    <row r="447" customFormat="false" ht="15" hidden="false" customHeight="false" outlineLevel="0" collapsed="false">
      <c r="A447" s="9" t="s">
        <v>3055</v>
      </c>
      <c r="B447" s="10" t="s">
        <v>3068</v>
      </c>
      <c r="C447" s="9" t="s">
        <v>3069</v>
      </c>
      <c r="D447" s="9" t="s">
        <v>2671</v>
      </c>
      <c r="E447" s="9" t="s">
        <v>2671</v>
      </c>
    </row>
    <row r="448" customFormat="false" ht="15" hidden="false" customHeight="false" outlineLevel="0" collapsed="false">
      <c r="A448" s="9" t="s">
        <v>3055</v>
      </c>
      <c r="B448" s="10" t="s">
        <v>3070</v>
      </c>
      <c r="C448" s="9" t="s">
        <v>3067</v>
      </c>
      <c r="D448" s="9" t="s">
        <v>2671</v>
      </c>
      <c r="E448" s="9" t="s">
        <v>2671</v>
      </c>
    </row>
    <row r="449" customFormat="false" ht="15" hidden="false" customHeight="false" outlineLevel="0" collapsed="false">
      <c r="A449" s="9" t="s">
        <v>3055</v>
      </c>
      <c r="B449" s="10" t="s">
        <v>3071</v>
      </c>
      <c r="C449" s="9" t="s">
        <v>3067</v>
      </c>
      <c r="D449" s="9" t="s">
        <v>2671</v>
      </c>
      <c r="E449" s="9" t="s">
        <v>2671</v>
      </c>
    </row>
    <row r="450" customFormat="false" ht="15" hidden="false" customHeight="false" outlineLevel="0" collapsed="false">
      <c r="A450" s="9" t="s">
        <v>3055</v>
      </c>
      <c r="B450" s="10" t="s">
        <v>3072</v>
      </c>
      <c r="C450" s="9" t="s">
        <v>3073</v>
      </c>
      <c r="D450" s="9" t="s">
        <v>2671</v>
      </c>
      <c r="E450" s="9" t="s">
        <v>2671</v>
      </c>
    </row>
    <row r="451" customFormat="false" ht="15" hidden="false" customHeight="false" outlineLevel="0" collapsed="false">
      <c r="A451" s="9" t="s">
        <v>3055</v>
      </c>
      <c r="B451" s="10" t="s">
        <v>3074</v>
      </c>
      <c r="C451" s="9" t="s">
        <v>3067</v>
      </c>
      <c r="D451" s="9" t="s">
        <v>2671</v>
      </c>
      <c r="E451" s="9" t="s">
        <v>2671</v>
      </c>
    </row>
    <row r="452" customFormat="false" ht="15" hidden="false" customHeight="false" outlineLevel="0" collapsed="false">
      <c r="A452" s="9" t="s">
        <v>3055</v>
      </c>
      <c r="B452" s="10" t="s">
        <v>3075</v>
      </c>
      <c r="C452" s="9" t="s">
        <v>3067</v>
      </c>
      <c r="D452" s="9" t="s">
        <v>2671</v>
      </c>
      <c r="E452" s="9" t="s">
        <v>2671</v>
      </c>
    </row>
    <row r="453" customFormat="false" ht="15" hidden="false" customHeight="false" outlineLevel="0" collapsed="false">
      <c r="A453" s="9" t="s">
        <v>3055</v>
      </c>
      <c r="B453" s="10" t="s">
        <v>3076</v>
      </c>
      <c r="C453" s="9" t="s">
        <v>3067</v>
      </c>
      <c r="D453" s="9" t="s">
        <v>2671</v>
      </c>
      <c r="E453" s="9" t="s">
        <v>2671</v>
      </c>
    </row>
    <row r="454" customFormat="false" ht="15" hidden="false" customHeight="false" outlineLevel="0" collapsed="false">
      <c r="A454" s="9" t="s">
        <v>3055</v>
      </c>
      <c r="B454" s="10" t="s">
        <v>3077</v>
      </c>
      <c r="C454" s="9" t="s">
        <v>3067</v>
      </c>
      <c r="D454" s="9" t="s">
        <v>2671</v>
      </c>
      <c r="E454" s="9" t="s">
        <v>2671</v>
      </c>
    </row>
    <row r="455" customFormat="false" ht="15" hidden="false" customHeight="false" outlineLevel="0" collapsed="false">
      <c r="A455" s="9" t="s">
        <v>3055</v>
      </c>
      <c r="B455" s="10" t="s">
        <v>3078</v>
      </c>
      <c r="C455" s="9" t="s">
        <v>3079</v>
      </c>
      <c r="D455" s="9" t="s">
        <v>2671</v>
      </c>
      <c r="E455" s="9" t="s">
        <v>2671</v>
      </c>
    </row>
    <row r="456" customFormat="false" ht="15" hidden="false" customHeight="false" outlineLevel="0" collapsed="false">
      <c r="A456" s="9" t="s">
        <v>3055</v>
      </c>
      <c r="B456" s="10" t="s">
        <v>3080</v>
      </c>
      <c r="C456" s="9" t="s">
        <v>2637</v>
      </c>
      <c r="D456" s="9" t="s">
        <v>2671</v>
      </c>
      <c r="E456" s="9" t="s">
        <v>2671</v>
      </c>
    </row>
    <row r="457" customFormat="false" ht="15" hidden="false" customHeight="false" outlineLevel="0" collapsed="false">
      <c r="A457" s="9" t="s">
        <v>3055</v>
      </c>
      <c r="B457" s="10" t="s">
        <v>3081</v>
      </c>
      <c r="C457" s="9" t="s">
        <v>2639</v>
      </c>
      <c r="D457" s="9" t="s">
        <v>2671</v>
      </c>
      <c r="E457" s="9" t="s">
        <v>2671</v>
      </c>
    </row>
    <row r="458" customFormat="false" ht="15" hidden="false" customHeight="false" outlineLevel="0" collapsed="false">
      <c r="A458" s="9" t="s">
        <v>3055</v>
      </c>
      <c r="B458" s="10" t="s">
        <v>3082</v>
      </c>
      <c r="C458" s="9" t="s">
        <v>2639</v>
      </c>
      <c r="D458" s="9" t="s">
        <v>2671</v>
      </c>
      <c r="E458" s="9" t="s">
        <v>2671</v>
      </c>
    </row>
    <row r="459" customFormat="false" ht="15" hidden="false" customHeight="false" outlineLevel="0" collapsed="false">
      <c r="A459" s="9" t="s">
        <v>3055</v>
      </c>
      <c r="B459" s="10" t="s">
        <v>3083</v>
      </c>
      <c r="C459" s="9" t="s">
        <v>2639</v>
      </c>
      <c r="D459" s="9" t="s">
        <v>2671</v>
      </c>
      <c r="E459" s="9" t="s">
        <v>2671</v>
      </c>
    </row>
    <row r="460" customFormat="false" ht="15" hidden="false" customHeight="false" outlineLevel="0" collapsed="false">
      <c r="A460" s="9" t="s">
        <v>3055</v>
      </c>
      <c r="B460" s="10" t="s">
        <v>3084</v>
      </c>
      <c r="C460" s="9" t="s">
        <v>2639</v>
      </c>
      <c r="D460" s="9" t="s">
        <v>2671</v>
      </c>
      <c r="E460" s="9" t="s">
        <v>2671</v>
      </c>
    </row>
    <row r="461" customFormat="false" ht="15" hidden="false" customHeight="false" outlineLevel="0" collapsed="false">
      <c r="A461" s="9" t="s">
        <v>3055</v>
      </c>
      <c r="B461" s="10" t="s">
        <v>3085</v>
      </c>
      <c r="C461" s="9" t="s">
        <v>2639</v>
      </c>
      <c r="D461" s="9" t="s">
        <v>2671</v>
      </c>
      <c r="E461" s="9" t="s">
        <v>2671</v>
      </c>
    </row>
    <row r="462" customFormat="false" ht="15" hidden="false" customHeight="false" outlineLevel="0" collapsed="false">
      <c r="A462" s="9" t="s">
        <v>3055</v>
      </c>
      <c r="B462" s="10" t="s">
        <v>3086</v>
      </c>
      <c r="C462" s="9" t="s">
        <v>2641</v>
      </c>
      <c r="D462" s="9" t="s">
        <v>2671</v>
      </c>
      <c r="E462" s="9" t="s">
        <v>2671</v>
      </c>
    </row>
    <row r="463" customFormat="false" ht="15" hidden="false" customHeight="false" outlineLevel="0" collapsed="false">
      <c r="A463" s="9" t="s">
        <v>3055</v>
      </c>
      <c r="B463" s="10" t="s">
        <v>3087</v>
      </c>
      <c r="C463" s="9" t="s">
        <v>2641</v>
      </c>
      <c r="D463" s="9" t="s">
        <v>2671</v>
      </c>
      <c r="E463" s="9" t="s">
        <v>2671</v>
      </c>
    </row>
    <row r="464" customFormat="false" ht="15" hidden="false" customHeight="false" outlineLevel="0" collapsed="false">
      <c r="A464" s="9" t="s">
        <v>3055</v>
      </c>
      <c r="B464" s="10" t="s">
        <v>3088</v>
      </c>
      <c r="C464" s="9" t="s">
        <v>2641</v>
      </c>
      <c r="D464" s="9" t="s">
        <v>2671</v>
      </c>
      <c r="E464" s="9" t="s">
        <v>2671</v>
      </c>
    </row>
    <row r="465" customFormat="false" ht="15" hidden="false" customHeight="false" outlineLevel="0" collapsed="false">
      <c r="A465" s="9" t="s">
        <v>3055</v>
      </c>
      <c r="B465" s="10" t="s">
        <v>3089</v>
      </c>
      <c r="C465" s="9" t="s">
        <v>2641</v>
      </c>
      <c r="D465" s="9" t="s">
        <v>2671</v>
      </c>
      <c r="E465" s="9" t="s">
        <v>2671</v>
      </c>
    </row>
    <row r="466" customFormat="false" ht="15" hidden="false" customHeight="false" outlineLevel="0" collapsed="false">
      <c r="A466" s="9" t="s">
        <v>3055</v>
      </c>
      <c r="B466" s="10" t="s">
        <v>3090</v>
      </c>
      <c r="C466" s="9" t="s">
        <v>2641</v>
      </c>
      <c r="D466" s="9" t="s">
        <v>2671</v>
      </c>
      <c r="E466" s="9" t="s">
        <v>2671</v>
      </c>
    </row>
    <row r="467" customFormat="false" ht="15" hidden="false" customHeight="false" outlineLevel="0" collapsed="false">
      <c r="A467" s="9" t="s">
        <v>3055</v>
      </c>
      <c r="B467" s="10" t="s">
        <v>3091</v>
      </c>
      <c r="C467" s="9" t="s">
        <v>2641</v>
      </c>
      <c r="D467" s="9" t="s">
        <v>2671</v>
      </c>
      <c r="E467" s="9" t="s">
        <v>2671</v>
      </c>
    </row>
    <row r="468" customFormat="false" ht="15" hidden="false" customHeight="false" outlineLevel="0" collapsed="false">
      <c r="A468" s="9" t="s">
        <v>3055</v>
      </c>
      <c r="B468" s="10" t="s">
        <v>3092</v>
      </c>
      <c r="C468" s="9" t="s">
        <v>3093</v>
      </c>
      <c r="D468" s="9" t="s">
        <v>2671</v>
      </c>
      <c r="E468" s="9" t="s">
        <v>2671</v>
      </c>
    </row>
    <row r="469" customFormat="false" ht="15" hidden="false" customHeight="false" outlineLevel="0" collapsed="false">
      <c r="A469" s="9" t="s">
        <v>3055</v>
      </c>
      <c r="B469" s="10" t="s">
        <v>3094</v>
      </c>
      <c r="C469" s="9" t="s">
        <v>3093</v>
      </c>
      <c r="D469" s="9" t="s">
        <v>2671</v>
      </c>
      <c r="E469" s="9" t="s">
        <v>2671</v>
      </c>
    </row>
    <row r="470" customFormat="false" ht="15" hidden="false" customHeight="false" outlineLevel="0" collapsed="false">
      <c r="A470" s="9" t="s">
        <v>3055</v>
      </c>
      <c r="B470" s="10" t="s">
        <v>3095</v>
      </c>
      <c r="C470" s="9" t="s">
        <v>3093</v>
      </c>
      <c r="D470" s="9" t="s">
        <v>2671</v>
      </c>
      <c r="E470" s="9" t="s">
        <v>2671</v>
      </c>
    </row>
    <row r="471" customFormat="false" ht="15" hidden="false" customHeight="false" outlineLevel="0" collapsed="false">
      <c r="A471" s="9" t="s">
        <v>3055</v>
      </c>
      <c r="B471" s="10" t="s">
        <v>3096</v>
      </c>
      <c r="C471" s="9" t="s">
        <v>3097</v>
      </c>
      <c r="D471" s="9" t="s">
        <v>2671</v>
      </c>
      <c r="E471" s="9" t="s">
        <v>2671</v>
      </c>
    </row>
    <row r="472" customFormat="false" ht="15" hidden="false" customHeight="false" outlineLevel="0" collapsed="false">
      <c r="A472" s="9" t="s">
        <v>3055</v>
      </c>
      <c r="B472" s="10" t="s">
        <v>3098</v>
      </c>
      <c r="C472" s="9" t="s">
        <v>3099</v>
      </c>
      <c r="D472" s="9" t="s">
        <v>2671</v>
      </c>
      <c r="E472" s="9" t="s">
        <v>2671</v>
      </c>
    </row>
    <row r="473" customFormat="false" ht="15" hidden="false" customHeight="false" outlineLevel="0" collapsed="false">
      <c r="A473" s="9" t="s">
        <v>3055</v>
      </c>
      <c r="B473" s="10" t="s">
        <v>3100</v>
      </c>
      <c r="C473" s="9" t="s">
        <v>3101</v>
      </c>
      <c r="D473" s="9" t="s">
        <v>2671</v>
      </c>
      <c r="E473" s="9" t="s">
        <v>2671</v>
      </c>
    </row>
    <row r="474" customFormat="false" ht="15" hidden="false" customHeight="false" outlineLevel="0" collapsed="false">
      <c r="A474" s="9" t="s">
        <v>3055</v>
      </c>
      <c r="B474" s="10" t="s">
        <v>3102</v>
      </c>
      <c r="C474" s="9" t="s">
        <v>3103</v>
      </c>
      <c r="D474" s="9" t="s">
        <v>2671</v>
      </c>
      <c r="E474" s="9" t="s">
        <v>2671</v>
      </c>
    </row>
    <row r="475" customFormat="false" ht="15" hidden="false" customHeight="false" outlineLevel="0" collapsed="false">
      <c r="A475" s="9" t="s">
        <v>3055</v>
      </c>
      <c r="B475" s="10" t="s">
        <v>3104</v>
      </c>
      <c r="C475" s="9" t="s">
        <v>3105</v>
      </c>
      <c r="D475" s="9" t="s">
        <v>2671</v>
      </c>
      <c r="E475" s="9" t="s">
        <v>2671</v>
      </c>
    </row>
    <row r="476" customFormat="false" ht="15" hidden="false" customHeight="false" outlineLevel="0" collapsed="false">
      <c r="A476" s="9" t="s">
        <v>3055</v>
      </c>
      <c r="B476" s="10" t="s">
        <v>3106</v>
      </c>
      <c r="C476" s="9" t="s">
        <v>3107</v>
      </c>
      <c r="D476" s="9" t="s">
        <v>2671</v>
      </c>
      <c r="E476" s="9" t="s">
        <v>2671</v>
      </c>
    </row>
    <row r="477" customFormat="false" ht="15" hidden="false" customHeight="false" outlineLevel="0" collapsed="false">
      <c r="A477" s="9" t="s">
        <v>3055</v>
      </c>
      <c r="B477" s="10" t="s">
        <v>3108</v>
      </c>
      <c r="C477" s="9" t="s">
        <v>3109</v>
      </c>
      <c r="D477" s="9" t="s">
        <v>2671</v>
      </c>
      <c r="E477" s="9" t="s">
        <v>2671</v>
      </c>
    </row>
    <row r="478" customFormat="false" ht="15" hidden="false" customHeight="false" outlineLevel="0" collapsed="false">
      <c r="A478" s="9" t="s">
        <v>3055</v>
      </c>
      <c r="B478" s="10" t="s">
        <v>3110</v>
      </c>
      <c r="C478" s="9" t="s">
        <v>3111</v>
      </c>
      <c r="D478" s="9" t="s">
        <v>2671</v>
      </c>
      <c r="E478" s="9" t="s">
        <v>2671</v>
      </c>
    </row>
    <row r="479" customFormat="false" ht="15" hidden="false" customHeight="false" outlineLevel="0" collapsed="false">
      <c r="A479" s="9" t="s">
        <v>3055</v>
      </c>
      <c r="B479" s="10" t="s">
        <v>3112</v>
      </c>
      <c r="C479" s="9" t="s">
        <v>3111</v>
      </c>
      <c r="D479" s="9" t="s">
        <v>2671</v>
      </c>
      <c r="E479" s="9" t="s">
        <v>2671</v>
      </c>
    </row>
    <row r="480" customFormat="false" ht="15" hidden="false" customHeight="false" outlineLevel="0" collapsed="false">
      <c r="A480" s="9" t="s">
        <v>3055</v>
      </c>
      <c r="B480" s="10" t="s">
        <v>3113</v>
      </c>
      <c r="C480" s="9" t="s">
        <v>3111</v>
      </c>
      <c r="D480" s="9" t="s">
        <v>2671</v>
      </c>
      <c r="E480" s="9" t="s">
        <v>2671</v>
      </c>
    </row>
    <row r="481" customFormat="false" ht="15" hidden="false" customHeight="false" outlineLevel="0" collapsed="false">
      <c r="A481" s="9" t="s">
        <v>3055</v>
      </c>
      <c r="B481" s="10" t="s">
        <v>3114</v>
      </c>
      <c r="C481" s="9" t="s">
        <v>3111</v>
      </c>
      <c r="D481" s="9" t="s">
        <v>2671</v>
      </c>
      <c r="E481" s="9" t="s">
        <v>2671</v>
      </c>
    </row>
    <row r="482" customFormat="false" ht="15" hidden="false" customHeight="false" outlineLevel="0" collapsed="false">
      <c r="A482" s="9" t="s">
        <v>3055</v>
      </c>
      <c r="B482" s="10" t="s">
        <v>3115</v>
      </c>
      <c r="C482" s="9" t="s">
        <v>3111</v>
      </c>
      <c r="D482" s="9" t="s">
        <v>2671</v>
      </c>
      <c r="E482" s="9" t="s">
        <v>2671</v>
      </c>
    </row>
    <row r="483" customFormat="false" ht="15" hidden="false" customHeight="false" outlineLevel="0" collapsed="false">
      <c r="A483" s="9" t="s">
        <v>3055</v>
      </c>
      <c r="B483" s="10" t="s">
        <v>3116</v>
      </c>
      <c r="C483" s="9" t="s">
        <v>3111</v>
      </c>
      <c r="D483" s="9" t="s">
        <v>2671</v>
      </c>
      <c r="E483" s="9" t="s">
        <v>2671</v>
      </c>
    </row>
    <row r="484" customFormat="false" ht="15" hidden="false" customHeight="false" outlineLevel="0" collapsed="false">
      <c r="A484" s="9" t="s">
        <v>3055</v>
      </c>
      <c r="B484" s="10" t="s">
        <v>3117</v>
      </c>
      <c r="C484" s="9" t="s">
        <v>3111</v>
      </c>
      <c r="D484" s="9" t="s">
        <v>2671</v>
      </c>
      <c r="E484" s="9" t="s">
        <v>2671</v>
      </c>
    </row>
    <row r="485" customFormat="false" ht="15" hidden="false" customHeight="false" outlineLevel="0" collapsed="false">
      <c r="A485" s="9" t="s">
        <v>3055</v>
      </c>
      <c r="B485" s="10" t="s">
        <v>3118</v>
      </c>
      <c r="C485" s="9" t="s">
        <v>3111</v>
      </c>
      <c r="D485" s="9" t="s">
        <v>2671</v>
      </c>
      <c r="E485" s="9" t="s">
        <v>2671</v>
      </c>
    </row>
    <row r="486" customFormat="false" ht="15" hidden="false" customHeight="false" outlineLevel="0" collapsed="false">
      <c r="A486" s="9" t="s">
        <v>3055</v>
      </c>
      <c r="B486" s="10" t="s">
        <v>3119</v>
      </c>
      <c r="C486" s="9" t="s">
        <v>3120</v>
      </c>
      <c r="D486" s="9" t="s">
        <v>2671</v>
      </c>
      <c r="E486" s="9" t="s">
        <v>2671</v>
      </c>
    </row>
    <row r="487" customFormat="false" ht="15" hidden="false" customHeight="false" outlineLevel="0" collapsed="false">
      <c r="A487" s="9" t="s">
        <v>3055</v>
      </c>
      <c r="B487" s="10" t="s">
        <v>3121</v>
      </c>
      <c r="C487" s="9" t="s">
        <v>3120</v>
      </c>
      <c r="D487" s="9" t="s">
        <v>2671</v>
      </c>
      <c r="E487" s="9" t="s">
        <v>2671</v>
      </c>
    </row>
    <row r="488" customFormat="false" ht="15" hidden="false" customHeight="false" outlineLevel="0" collapsed="false">
      <c r="A488" s="9" t="s">
        <v>3055</v>
      </c>
      <c r="B488" s="10" t="s">
        <v>3122</v>
      </c>
      <c r="C488" s="9" t="s">
        <v>3120</v>
      </c>
      <c r="D488" s="9" t="s">
        <v>2671</v>
      </c>
      <c r="E488" s="9" t="s">
        <v>2671</v>
      </c>
    </row>
    <row r="489" customFormat="false" ht="15" hidden="false" customHeight="false" outlineLevel="0" collapsed="false">
      <c r="A489" s="9" t="s">
        <v>3055</v>
      </c>
      <c r="B489" s="10" t="s">
        <v>3123</v>
      </c>
      <c r="C489" s="9" t="s">
        <v>3120</v>
      </c>
      <c r="D489" s="9" t="s">
        <v>2671</v>
      </c>
      <c r="E489" s="9" t="s">
        <v>2671</v>
      </c>
    </row>
    <row r="490" customFormat="false" ht="15" hidden="false" customHeight="false" outlineLevel="0" collapsed="false">
      <c r="A490" s="9" t="s">
        <v>3055</v>
      </c>
      <c r="B490" s="10" t="s">
        <v>3124</v>
      </c>
      <c r="C490" s="9" t="s">
        <v>3120</v>
      </c>
      <c r="D490" s="9" t="s">
        <v>2671</v>
      </c>
      <c r="E490" s="9" t="s">
        <v>2671</v>
      </c>
    </row>
    <row r="491" customFormat="false" ht="15" hidden="false" customHeight="false" outlineLevel="0" collapsed="false">
      <c r="A491" s="9" t="s">
        <v>3055</v>
      </c>
      <c r="B491" s="10" t="s">
        <v>3125</v>
      </c>
      <c r="C491" s="9" t="s">
        <v>3120</v>
      </c>
      <c r="D491" s="9" t="s">
        <v>2671</v>
      </c>
      <c r="E491" s="9" t="s">
        <v>2671</v>
      </c>
    </row>
    <row r="492" customFormat="false" ht="15" hidden="false" customHeight="false" outlineLevel="0" collapsed="false">
      <c r="A492" s="9" t="s">
        <v>3055</v>
      </c>
      <c r="B492" s="10" t="s">
        <v>3126</v>
      </c>
      <c r="C492" s="9" t="s">
        <v>3120</v>
      </c>
      <c r="D492" s="9" t="s">
        <v>2671</v>
      </c>
      <c r="E492" s="9" t="s">
        <v>2671</v>
      </c>
    </row>
    <row r="493" customFormat="false" ht="15" hidden="false" customHeight="false" outlineLevel="0" collapsed="false">
      <c r="A493" s="9" t="s">
        <v>3055</v>
      </c>
      <c r="B493" s="10" t="s">
        <v>3127</v>
      </c>
      <c r="C493" s="9" t="s">
        <v>3120</v>
      </c>
      <c r="D493" s="9" t="s">
        <v>2671</v>
      </c>
      <c r="E493" s="9" t="s">
        <v>2671</v>
      </c>
    </row>
    <row r="494" customFormat="false" ht="15" hidden="false" customHeight="false" outlineLevel="0" collapsed="false">
      <c r="A494" s="9" t="s">
        <v>3055</v>
      </c>
      <c r="B494" s="10" t="s">
        <v>3128</v>
      </c>
      <c r="C494" s="9" t="s">
        <v>3120</v>
      </c>
      <c r="D494" s="9" t="s">
        <v>2671</v>
      </c>
      <c r="E494" s="9" t="s">
        <v>2671</v>
      </c>
    </row>
    <row r="495" customFormat="false" ht="15" hidden="false" customHeight="false" outlineLevel="0" collapsed="false">
      <c r="A495" s="9" t="s">
        <v>3055</v>
      </c>
      <c r="B495" s="10" t="s">
        <v>3129</v>
      </c>
      <c r="C495" s="9" t="s">
        <v>3120</v>
      </c>
      <c r="D495" s="9" t="s">
        <v>2671</v>
      </c>
      <c r="E495" s="9" t="s">
        <v>2671</v>
      </c>
    </row>
    <row r="496" customFormat="false" ht="15" hidden="false" customHeight="false" outlineLevel="0" collapsed="false">
      <c r="A496" s="9" t="s">
        <v>3055</v>
      </c>
      <c r="B496" s="10" t="s">
        <v>3130</v>
      </c>
      <c r="C496" s="9" t="s">
        <v>3120</v>
      </c>
      <c r="D496" s="9" t="s">
        <v>2671</v>
      </c>
      <c r="E496" s="9" t="s">
        <v>2671</v>
      </c>
    </row>
    <row r="497" customFormat="false" ht="15" hidden="false" customHeight="false" outlineLevel="0" collapsed="false">
      <c r="A497" s="9" t="s">
        <v>3055</v>
      </c>
      <c r="B497" s="10" t="s">
        <v>3131</v>
      </c>
      <c r="C497" s="9" t="s">
        <v>3120</v>
      </c>
      <c r="D497" s="9" t="s">
        <v>2671</v>
      </c>
      <c r="E497" s="9" t="s">
        <v>2671</v>
      </c>
    </row>
    <row r="498" customFormat="false" ht="15" hidden="false" customHeight="false" outlineLevel="0" collapsed="false">
      <c r="A498" s="9" t="s">
        <v>3055</v>
      </c>
      <c r="B498" s="10" t="s">
        <v>3132</v>
      </c>
      <c r="C498" s="9" t="s">
        <v>3120</v>
      </c>
      <c r="D498" s="9" t="s">
        <v>2671</v>
      </c>
      <c r="E498" s="9" t="s">
        <v>2671</v>
      </c>
    </row>
    <row r="499" customFormat="false" ht="15" hidden="false" customHeight="false" outlineLevel="0" collapsed="false">
      <c r="A499" s="9" t="s">
        <v>3055</v>
      </c>
      <c r="B499" s="10" t="s">
        <v>3133</v>
      </c>
      <c r="C499" s="9" t="s">
        <v>3120</v>
      </c>
      <c r="D499" s="9" t="s">
        <v>2671</v>
      </c>
      <c r="E499" s="9" t="s">
        <v>2671</v>
      </c>
    </row>
    <row r="500" customFormat="false" ht="15" hidden="false" customHeight="false" outlineLevel="0" collapsed="false">
      <c r="A500" s="9" t="s">
        <v>3055</v>
      </c>
      <c r="B500" s="10" t="s">
        <v>3134</v>
      </c>
      <c r="C500" s="9" t="s">
        <v>3120</v>
      </c>
      <c r="D500" s="9" t="s">
        <v>2671</v>
      </c>
      <c r="E500" s="9" t="s">
        <v>2671</v>
      </c>
    </row>
    <row r="501" customFormat="false" ht="15" hidden="false" customHeight="false" outlineLevel="0" collapsed="false">
      <c r="A501" s="9" t="s">
        <v>3055</v>
      </c>
      <c r="B501" s="10" t="s">
        <v>3135</v>
      </c>
      <c r="C501" s="9" t="s">
        <v>3120</v>
      </c>
      <c r="D501" s="9" t="s">
        <v>2671</v>
      </c>
      <c r="E501" s="9" t="s">
        <v>2671</v>
      </c>
    </row>
    <row r="502" customFormat="false" ht="15" hidden="false" customHeight="false" outlineLevel="0" collapsed="false">
      <c r="A502" s="9" t="s">
        <v>3055</v>
      </c>
      <c r="B502" s="10" t="s">
        <v>2654</v>
      </c>
      <c r="C502" s="9" t="s">
        <v>2653</v>
      </c>
      <c r="D502" s="9" t="s">
        <v>2671</v>
      </c>
      <c r="E502" s="9" t="s">
        <v>2671</v>
      </c>
    </row>
    <row r="503" customFormat="false" ht="15" hidden="false" customHeight="false" outlineLevel="0" collapsed="false">
      <c r="A503" s="9" t="s">
        <v>3055</v>
      </c>
      <c r="B503" s="10" t="s">
        <v>3136</v>
      </c>
      <c r="C503" s="9"/>
      <c r="D503" s="9" t="s">
        <v>2671</v>
      </c>
      <c r="E503" s="9" t="s">
        <v>2671</v>
      </c>
    </row>
    <row r="504" customFormat="false" ht="15" hidden="false" customHeight="false" outlineLevel="0" collapsed="false">
      <c r="A504" s="9" t="s">
        <v>3055</v>
      </c>
      <c r="B504" s="10" t="s">
        <v>2832</v>
      </c>
      <c r="C504" s="9" t="s">
        <v>3137</v>
      </c>
      <c r="D504" s="9" t="s">
        <v>3018</v>
      </c>
      <c r="E504" s="9" t="s">
        <v>3018</v>
      </c>
    </row>
    <row r="505" customFormat="false" ht="26.85" hidden="false" customHeight="false" outlineLevel="0" collapsed="false">
      <c r="A505" s="9" t="s">
        <v>3055</v>
      </c>
      <c r="B505" s="10" t="s">
        <v>2808</v>
      </c>
      <c r="C505" s="9" t="s">
        <v>3138</v>
      </c>
      <c r="D505" s="9" t="s">
        <v>3018</v>
      </c>
      <c r="E505" s="9" t="s">
        <v>3018</v>
      </c>
    </row>
    <row r="506" customFormat="false" ht="15" hidden="false" customHeight="false" outlineLevel="0" collapsed="false">
      <c r="A506" s="9" t="s">
        <v>3055</v>
      </c>
      <c r="B506" s="10" t="s">
        <v>2846</v>
      </c>
      <c r="C506" s="9" t="s">
        <v>3139</v>
      </c>
      <c r="D506" s="9" t="s">
        <v>3018</v>
      </c>
      <c r="E506" s="9" t="s">
        <v>3018</v>
      </c>
    </row>
    <row r="507" customFormat="false" ht="15" hidden="false" customHeight="false" outlineLevel="0" collapsed="false">
      <c r="A507" s="9" t="s">
        <v>3055</v>
      </c>
      <c r="B507" s="10" t="s">
        <v>2850</v>
      </c>
      <c r="C507" s="9" t="s">
        <v>3140</v>
      </c>
      <c r="D507" s="9" t="s">
        <v>3018</v>
      </c>
      <c r="E507" s="9" t="s">
        <v>3018</v>
      </c>
    </row>
    <row r="508" customFormat="false" ht="15" hidden="false" customHeight="false" outlineLevel="0" collapsed="false">
      <c r="A508" s="10" t="s">
        <v>3141</v>
      </c>
      <c r="B508" s="10" t="s">
        <v>3020</v>
      </c>
      <c r="C508" s="9" t="s">
        <v>3142</v>
      </c>
      <c r="D508" s="9" t="s">
        <v>3018</v>
      </c>
      <c r="E508" s="9" t="s">
        <v>3018</v>
      </c>
    </row>
    <row r="509" customFormat="false" ht="15" hidden="false" customHeight="false" outlineLevel="0" collapsed="false">
      <c r="A509" s="10" t="s">
        <v>3141</v>
      </c>
      <c r="B509" s="10" t="s">
        <v>3022</v>
      </c>
      <c r="C509" s="9" t="s">
        <v>3143</v>
      </c>
      <c r="D509" s="9" t="s">
        <v>3018</v>
      </c>
      <c r="E509" s="9" t="s">
        <v>3018</v>
      </c>
    </row>
    <row r="510" customFormat="false" ht="15" hidden="false" customHeight="false" outlineLevel="0" collapsed="false">
      <c r="A510" s="10" t="s">
        <v>3141</v>
      </c>
      <c r="B510" s="10" t="s">
        <v>3024</v>
      </c>
      <c r="C510" s="9" t="s">
        <v>3144</v>
      </c>
      <c r="D510" s="9" t="s">
        <v>3018</v>
      </c>
      <c r="E510" s="9" t="s">
        <v>3018</v>
      </c>
    </row>
    <row r="511" customFormat="false" ht="15" hidden="false" customHeight="false" outlineLevel="0" collapsed="false">
      <c r="A511" s="10" t="s">
        <v>3141</v>
      </c>
      <c r="B511" s="10" t="s">
        <v>3052</v>
      </c>
      <c r="C511" s="9" t="s">
        <v>3145</v>
      </c>
      <c r="D511" s="9" t="s">
        <v>3018</v>
      </c>
      <c r="E511" s="9" t="s">
        <v>3018</v>
      </c>
    </row>
    <row r="512" customFormat="false" ht="15" hidden="false" customHeight="false" outlineLevel="0" collapsed="false">
      <c r="A512" s="10" t="s">
        <v>3141</v>
      </c>
      <c r="B512" s="10" t="s">
        <v>3054</v>
      </c>
      <c r="C512" s="9" t="s">
        <v>3145</v>
      </c>
      <c r="D512" s="9" t="s">
        <v>3018</v>
      </c>
      <c r="E512" s="9" t="s">
        <v>3018</v>
      </c>
    </row>
  </sheetData>
  <autoFilter ref="A2:E51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26"/>
  </cols>
  <sheetData>
    <row r="1" customFormat="false" ht="28.35" hidden="false" customHeight="false" outlineLevel="0" collapsed="false">
      <c r="A1" s="8" t="s">
        <v>3146</v>
      </c>
      <c r="B1" s="8" t="s">
        <v>3147</v>
      </c>
      <c r="C1" s="8" t="s">
        <v>3148</v>
      </c>
      <c r="D1" s="11" t="s">
        <v>3149</v>
      </c>
      <c r="E1" s="8" t="s">
        <v>38</v>
      </c>
    </row>
    <row r="2" customFormat="false" ht="15" hidden="false" customHeight="false" outlineLevel="0" collapsed="false">
      <c r="A2" s="10" t="s">
        <v>30</v>
      </c>
      <c r="B2" s="10" t="s">
        <v>3150</v>
      </c>
      <c r="C2" s="9" t="s">
        <v>3151</v>
      </c>
      <c r="D2" s="9" t="s">
        <v>3152</v>
      </c>
      <c r="E2" s="9" t="s">
        <v>3153</v>
      </c>
    </row>
    <row r="3" customFormat="false" ht="15" hidden="false" customHeight="false" outlineLevel="0" collapsed="false">
      <c r="A3" s="10" t="s">
        <v>30</v>
      </c>
      <c r="B3" s="10" t="s">
        <v>3150</v>
      </c>
      <c r="C3" s="9" t="s">
        <v>3154</v>
      </c>
      <c r="D3" s="9" t="s">
        <v>3155</v>
      </c>
      <c r="E3" s="9" t="s">
        <v>3153</v>
      </c>
    </row>
    <row r="4" customFormat="false" ht="15" hidden="false" customHeight="false" outlineLevel="0" collapsed="false">
      <c r="A4" s="10" t="s">
        <v>30</v>
      </c>
      <c r="B4" s="10" t="s">
        <v>3156</v>
      </c>
      <c r="C4" s="9" t="s">
        <v>3151</v>
      </c>
      <c r="D4" s="9" t="s">
        <v>3157</v>
      </c>
      <c r="E4" s="9" t="s">
        <v>3153</v>
      </c>
    </row>
    <row r="5" customFormat="false" ht="15" hidden="false" customHeight="false" outlineLevel="0" collapsed="false">
      <c r="A5" s="10" t="s">
        <v>30</v>
      </c>
      <c r="B5" s="10" t="s">
        <v>3156</v>
      </c>
      <c r="C5" s="9" t="s">
        <v>3158</v>
      </c>
      <c r="D5" s="9" t="s">
        <v>3159</v>
      </c>
      <c r="E5" s="9" t="s">
        <v>3153</v>
      </c>
    </row>
    <row r="6" customFormat="false" ht="15" hidden="false" customHeight="false" outlineLevel="0" collapsed="false">
      <c r="A6" s="10" t="s">
        <v>30</v>
      </c>
      <c r="B6" s="10" t="s">
        <v>3156</v>
      </c>
      <c r="C6" s="9" t="s">
        <v>3154</v>
      </c>
      <c r="D6" s="9" t="s">
        <v>3160</v>
      </c>
      <c r="E6" s="9" t="s">
        <v>3153</v>
      </c>
    </row>
    <row r="7" customFormat="false" ht="25.35" hidden="false" customHeight="false" outlineLevel="0" collapsed="false">
      <c r="A7" s="10" t="s">
        <v>30</v>
      </c>
      <c r="B7" s="10" t="s">
        <v>3161</v>
      </c>
      <c r="C7" s="9" t="s">
        <v>3151</v>
      </c>
      <c r="D7" s="9" t="s">
        <v>3162</v>
      </c>
      <c r="E7" s="9" t="s">
        <v>3153</v>
      </c>
    </row>
    <row r="8" customFormat="false" ht="25.35" hidden="false" customHeight="false" outlineLevel="0" collapsed="false">
      <c r="A8" s="10" t="s">
        <v>30</v>
      </c>
      <c r="B8" s="10" t="s">
        <v>3161</v>
      </c>
      <c r="C8" s="9" t="s">
        <v>3158</v>
      </c>
      <c r="D8" s="9" t="s">
        <v>3163</v>
      </c>
      <c r="E8" s="9" t="s">
        <v>3153</v>
      </c>
    </row>
    <row r="9" customFormat="false" ht="25.35" hidden="false" customHeight="false" outlineLevel="0" collapsed="false">
      <c r="A9" s="10" t="s">
        <v>30</v>
      </c>
      <c r="B9" s="10" t="s">
        <v>3161</v>
      </c>
      <c r="C9" s="9" t="s">
        <v>3154</v>
      </c>
      <c r="D9" s="9" t="s">
        <v>3164</v>
      </c>
      <c r="E9" s="9" t="s">
        <v>3153</v>
      </c>
    </row>
    <row r="10" customFormat="false" ht="15" hidden="false" customHeight="false" outlineLevel="0" collapsed="false">
      <c r="A10" s="10" t="s">
        <v>30</v>
      </c>
      <c r="B10" s="10" t="s">
        <v>3165</v>
      </c>
      <c r="C10" s="9" t="s">
        <v>3166</v>
      </c>
      <c r="D10" s="9" t="s">
        <v>3167</v>
      </c>
      <c r="E10" s="9" t="s">
        <v>3153</v>
      </c>
    </row>
    <row r="11" customFormat="false" ht="15" hidden="false" customHeight="false" outlineLevel="0" collapsed="false">
      <c r="A11" s="10" t="s">
        <v>30</v>
      </c>
      <c r="B11" s="10" t="s">
        <v>3165</v>
      </c>
      <c r="C11" s="9" t="s">
        <v>3168</v>
      </c>
      <c r="D11" s="9" t="s">
        <v>3169</v>
      </c>
      <c r="E11" s="9" t="s">
        <v>3153</v>
      </c>
    </row>
    <row r="12" customFormat="false" ht="15" hidden="false" customHeight="false" outlineLevel="0" collapsed="false">
      <c r="A12" s="10" t="s">
        <v>30</v>
      </c>
      <c r="B12" s="10" t="s">
        <v>3165</v>
      </c>
      <c r="C12" s="9" t="s">
        <v>3170</v>
      </c>
      <c r="D12" s="9" t="s">
        <v>3171</v>
      </c>
      <c r="E12" s="9" t="s">
        <v>3153</v>
      </c>
    </row>
    <row r="13" customFormat="false" ht="15" hidden="false" customHeight="false" outlineLevel="0" collapsed="false">
      <c r="A13" s="10" t="s">
        <v>30</v>
      </c>
      <c r="B13" s="9" t="s">
        <v>3172</v>
      </c>
      <c r="C13" s="9" t="s">
        <v>3168</v>
      </c>
      <c r="D13" s="9" t="s">
        <v>3173</v>
      </c>
      <c r="E13" s="9" t="s">
        <v>3153</v>
      </c>
    </row>
    <row r="14" customFormat="false" ht="15" hidden="false" customHeight="false" outlineLevel="0" collapsed="false">
      <c r="A14" s="10" t="s">
        <v>30</v>
      </c>
      <c r="B14" s="9" t="s">
        <v>3174</v>
      </c>
      <c r="C14" s="9" t="s">
        <v>3168</v>
      </c>
      <c r="D14" s="9" t="s">
        <v>3175</v>
      </c>
      <c r="E14" s="9" t="s">
        <v>3153</v>
      </c>
    </row>
    <row r="15" customFormat="false" ht="15" hidden="false" customHeight="false" outlineLevel="0" collapsed="false">
      <c r="A15" s="10" t="s">
        <v>30</v>
      </c>
      <c r="B15" s="9" t="s">
        <v>3174</v>
      </c>
      <c r="C15" s="9" t="s">
        <v>3151</v>
      </c>
      <c r="D15" s="9" t="s">
        <v>3176</v>
      </c>
      <c r="E15" s="9" t="s">
        <v>3153</v>
      </c>
    </row>
    <row r="16" customFormat="false" ht="15" hidden="false" customHeight="false" outlineLevel="0" collapsed="false">
      <c r="A16" s="10" t="s">
        <v>30</v>
      </c>
      <c r="B16" s="9" t="s">
        <v>3174</v>
      </c>
      <c r="C16" s="9" t="s">
        <v>3154</v>
      </c>
      <c r="D16" s="9" t="s">
        <v>3177</v>
      </c>
      <c r="E16" s="9" t="s">
        <v>3153</v>
      </c>
    </row>
    <row r="17" customFormat="false" ht="15" hidden="false" customHeight="false" outlineLevel="0" collapsed="false">
      <c r="A17" s="10" t="s">
        <v>30</v>
      </c>
      <c r="B17" s="9" t="s">
        <v>3178</v>
      </c>
      <c r="C17" s="9" t="s">
        <v>3168</v>
      </c>
      <c r="D17" s="9" t="s">
        <v>3179</v>
      </c>
      <c r="E17" s="9" t="s">
        <v>3153</v>
      </c>
    </row>
    <row r="18" customFormat="false" ht="15" hidden="false" customHeight="false" outlineLevel="0" collapsed="false">
      <c r="A18" s="10" t="s">
        <v>30</v>
      </c>
      <c r="B18" s="9" t="s">
        <v>3178</v>
      </c>
      <c r="C18" s="9" t="s">
        <v>3151</v>
      </c>
      <c r="D18" s="9" t="s">
        <v>3180</v>
      </c>
      <c r="E18" s="9" t="s">
        <v>3153</v>
      </c>
    </row>
    <row r="19" customFormat="false" ht="15" hidden="false" customHeight="false" outlineLevel="0" collapsed="false">
      <c r="A19" s="10" t="s">
        <v>30</v>
      </c>
      <c r="B19" s="9" t="s">
        <v>3178</v>
      </c>
      <c r="C19" s="9" t="s">
        <v>3154</v>
      </c>
      <c r="D19" s="9" t="s">
        <v>3181</v>
      </c>
      <c r="E19" s="9" t="s">
        <v>3153</v>
      </c>
    </row>
    <row r="20" customFormat="false" ht="15" hidden="false" customHeight="false" outlineLevel="0" collapsed="false">
      <c r="A20" s="10" t="s">
        <v>30</v>
      </c>
      <c r="B20" s="9" t="s">
        <v>3182</v>
      </c>
      <c r="C20" s="9" t="s">
        <v>3183</v>
      </c>
      <c r="D20" s="9" t="s">
        <v>3184</v>
      </c>
      <c r="E20" s="9" t="s">
        <v>3185</v>
      </c>
    </row>
    <row r="21" customFormat="false" ht="15" hidden="false" customHeight="false" outlineLevel="0" collapsed="false">
      <c r="A21" s="10" t="s">
        <v>30</v>
      </c>
      <c r="B21" s="9" t="s">
        <v>3182</v>
      </c>
      <c r="C21" s="9" t="s">
        <v>3186</v>
      </c>
      <c r="D21" s="9" t="s">
        <v>3187</v>
      </c>
      <c r="E21" s="9" t="s">
        <v>3185</v>
      </c>
    </row>
    <row r="22" customFormat="false" ht="15" hidden="false" customHeight="false" outlineLevel="0" collapsed="false">
      <c r="A22" s="10" t="s">
        <v>30</v>
      </c>
      <c r="B22" s="9" t="s">
        <v>3182</v>
      </c>
      <c r="C22" s="9" t="s">
        <v>3158</v>
      </c>
      <c r="D22" s="9" t="s">
        <v>3188</v>
      </c>
      <c r="E22" s="9" t="s">
        <v>3185</v>
      </c>
    </row>
    <row r="23" customFormat="false" ht="15" hidden="false" customHeight="false" outlineLevel="0" collapsed="false">
      <c r="A23" s="10" t="s">
        <v>30</v>
      </c>
      <c r="B23" s="9" t="s">
        <v>3182</v>
      </c>
      <c r="C23" s="9" t="s">
        <v>3189</v>
      </c>
      <c r="D23" s="9" t="s">
        <v>3190</v>
      </c>
      <c r="E23" s="9" t="s">
        <v>3185</v>
      </c>
    </row>
    <row r="24" customFormat="false" ht="15" hidden="false" customHeight="false" outlineLevel="0" collapsed="false">
      <c r="A24" s="10" t="s">
        <v>30</v>
      </c>
      <c r="B24" s="9" t="s">
        <v>3191</v>
      </c>
      <c r="C24" s="9" t="s">
        <v>3186</v>
      </c>
      <c r="D24" s="9" t="s">
        <v>3192</v>
      </c>
      <c r="E24" s="9" t="s">
        <v>3185</v>
      </c>
    </row>
    <row r="25" customFormat="false" ht="15" hidden="false" customHeight="false" outlineLevel="0" collapsed="false">
      <c r="A25" s="10" t="s">
        <v>30</v>
      </c>
      <c r="B25" s="9" t="s">
        <v>3191</v>
      </c>
      <c r="C25" s="9" t="s">
        <v>3189</v>
      </c>
      <c r="D25" s="9" t="s">
        <v>3193</v>
      </c>
      <c r="E25" s="9" t="s">
        <v>3185</v>
      </c>
    </row>
    <row r="26" customFormat="false" ht="15" hidden="false" customHeight="false" outlineLevel="0" collapsed="false">
      <c r="A26" s="10" t="s">
        <v>11</v>
      </c>
      <c r="B26" s="9" t="s">
        <v>3194</v>
      </c>
      <c r="C26" s="9" t="s">
        <v>3195</v>
      </c>
      <c r="D26" s="9" t="s">
        <v>3196</v>
      </c>
      <c r="E26" s="9" t="s">
        <v>3185</v>
      </c>
    </row>
    <row r="27" customFormat="false" ht="15" hidden="false" customHeight="false" outlineLevel="0" collapsed="false">
      <c r="A27" s="10" t="s">
        <v>11</v>
      </c>
      <c r="B27" s="9" t="s">
        <v>3182</v>
      </c>
      <c r="C27" s="9" t="s">
        <v>3197</v>
      </c>
      <c r="D27" s="9" t="s">
        <v>3198</v>
      </c>
      <c r="E27" s="9" t="s">
        <v>3185</v>
      </c>
    </row>
    <row r="28" customFormat="false" ht="15" hidden="false" customHeight="false" outlineLevel="0" collapsed="false">
      <c r="A28" s="10" t="s">
        <v>11</v>
      </c>
      <c r="B28" s="9" t="s">
        <v>3182</v>
      </c>
      <c r="C28" s="9" t="s">
        <v>3199</v>
      </c>
      <c r="D28" s="9" t="s">
        <v>3200</v>
      </c>
      <c r="E28" s="9" t="s">
        <v>3185</v>
      </c>
    </row>
    <row r="29" customFormat="false" ht="15" hidden="false" customHeight="false" outlineLevel="0" collapsed="false">
      <c r="A29" s="10" t="s">
        <v>11</v>
      </c>
      <c r="B29" s="9" t="s">
        <v>3182</v>
      </c>
      <c r="C29" s="9" t="s">
        <v>3195</v>
      </c>
      <c r="D29" s="9" t="s">
        <v>3201</v>
      </c>
      <c r="E29" s="9" t="s">
        <v>3185</v>
      </c>
    </row>
    <row r="30" customFormat="false" ht="15" hidden="false" customHeight="false" outlineLevel="0" collapsed="false">
      <c r="A30" s="10" t="s">
        <v>11</v>
      </c>
      <c r="B30" s="9" t="s">
        <v>3182</v>
      </c>
      <c r="C30" s="9" t="s">
        <v>3202</v>
      </c>
      <c r="D30" s="9" t="s">
        <v>3203</v>
      </c>
      <c r="E30" s="9" t="s">
        <v>3185</v>
      </c>
    </row>
    <row r="31" customFormat="false" ht="15" hidden="false" customHeight="false" outlineLevel="0" collapsed="false">
      <c r="A31" s="10" t="s">
        <v>11</v>
      </c>
      <c r="B31" s="9" t="s">
        <v>3191</v>
      </c>
      <c r="C31" s="9" t="s">
        <v>3195</v>
      </c>
      <c r="D31" s="9" t="s">
        <v>3204</v>
      </c>
      <c r="E31" s="9" t="s">
        <v>3185</v>
      </c>
    </row>
    <row r="32" customFormat="false" ht="15" hidden="false" customHeight="false" outlineLevel="0" collapsed="false">
      <c r="A32" s="10" t="s">
        <v>11</v>
      </c>
      <c r="B32" s="9" t="s">
        <v>3191</v>
      </c>
      <c r="C32" s="9" t="s">
        <v>3202</v>
      </c>
      <c r="D32" s="9" t="s">
        <v>3205</v>
      </c>
      <c r="E32" s="9" t="s">
        <v>3185</v>
      </c>
    </row>
    <row r="33" customFormat="false" ht="15" hidden="false" customHeight="false" outlineLevel="0" collapsed="false">
      <c r="A33" s="10" t="s">
        <v>3206</v>
      </c>
      <c r="B33" s="10" t="s">
        <v>3150</v>
      </c>
      <c r="C33" s="10" t="s">
        <v>3207</v>
      </c>
      <c r="D33" s="9" t="s">
        <v>3208</v>
      </c>
      <c r="E33" s="9" t="s">
        <v>3153</v>
      </c>
    </row>
    <row r="34" customFormat="false" ht="15" hidden="false" customHeight="false" outlineLevel="0" collapsed="false">
      <c r="A34" s="10" t="s">
        <v>3206</v>
      </c>
      <c r="B34" s="9" t="s">
        <v>3172</v>
      </c>
      <c r="C34" s="9" t="s">
        <v>3209</v>
      </c>
      <c r="D34" s="9" t="s">
        <v>3210</v>
      </c>
      <c r="E34" s="9" t="s">
        <v>3153</v>
      </c>
    </row>
    <row r="35" customFormat="false" ht="15" hidden="false" customHeight="false" outlineLevel="0" collapsed="false">
      <c r="A35" s="10" t="s">
        <v>3206</v>
      </c>
      <c r="B35" s="9" t="s">
        <v>3191</v>
      </c>
      <c r="C35" s="10" t="s">
        <v>3207</v>
      </c>
      <c r="D35" s="9" t="s">
        <v>3211</v>
      </c>
      <c r="E35" s="9" t="s">
        <v>3185</v>
      </c>
    </row>
    <row r="36" customFormat="false" ht="15" hidden="false" customHeight="false" outlineLevel="0" collapsed="false">
      <c r="A36" s="10" t="s">
        <v>3212</v>
      </c>
      <c r="B36" s="10" t="s">
        <v>3156</v>
      </c>
      <c r="C36" s="10" t="s">
        <v>3213</v>
      </c>
      <c r="D36" s="9" t="s">
        <v>3214</v>
      </c>
      <c r="E36" s="9" t="s">
        <v>3153</v>
      </c>
    </row>
    <row r="37" customFormat="false" ht="25.35" hidden="false" customHeight="false" outlineLevel="0" collapsed="false">
      <c r="A37" s="10" t="s">
        <v>3212</v>
      </c>
      <c r="B37" s="10" t="s">
        <v>3161</v>
      </c>
      <c r="C37" s="10" t="s">
        <v>3213</v>
      </c>
      <c r="D37" s="9" t="s">
        <v>3215</v>
      </c>
      <c r="E37" s="9" t="s">
        <v>3153</v>
      </c>
    </row>
    <row r="38" customFormat="false" ht="15" hidden="false" customHeight="false" outlineLevel="0" collapsed="false">
      <c r="A38" s="10" t="s">
        <v>3212</v>
      </c>
      <c r="B38" s="10" t="s">
        <v>3216</v>
      </c>
      <c r="C38" s="9" t="s">
        <v>3217</v>
      </c>
      <c r="D38" s="9" t="s">
        <v>3218</v>
      </c>
      <c r="E38" s="9" t="s">
        <v>3153</v>
      </c>
    </row>
    <row r="39" customFormat="false" ht="15" hidden="false" customHeight="false" outlineLevel="0" collapsed="false">
      <c r="A39" s="10" t="s">
        <v>3212</v>
      </c>
      <c r="B39" s="10" t="s">
        <v>3165</v>
      </c>
      <c r="C39" s="9" t="s">
        <v>3217</v>
      </c>
      <c r="D39" s="9" t="s">
        <v>3219</v>
      </c>
      <c r="E39" s="9" t="s">
        <v>3153</v>
      </c>
    </row>
    <row r="40" customFormat="false" ht="15" hidden="false" customHeight="false" outlineLevel="0" collapsed="false">
      <c r="A40" s="10" t="s">
        <v>3212</v>
      </c>
      <c r="B40" s="9" t="s">
        <v>3174</v>
      </c>
      <c r="C40" s="9" t="s">
        <v>3217</v>
      </c>
      <c r="D40" s="9" t="s">
        <v>3220</v>
      </c>
      <c r="E40" s="9" t="s">
        <v>3153</v>
      </c>
    </row>
    <row r="41" customFormat="false" ht="15" hidden="false" customHeight="false" outlineLevel="0" collapsed="false">
      <c r="A41" s="10" t="s">
        <v>3212</v>
      </c>
      <c r="B41" s="9" t="s">
        <v>3178</v>
      </c>
      <c r="C41" s="9" t="s">
        <v>3217</v>
      </c>
      <c r="D41" s="9" t="s">
        <v>3221</v>
      </c>
      <c r="E41" s="9" t="s">
        <v>3153</v>
      </c>
    </row>
    <row r="42" customFormat="false" ht="15" hidden="false" customHeight="false" outlineLevel="0" collapsed="false">
      <c r="A42" s="10" t="s">
        <v>3212</v>
      </c>
      <c r="B42" s="9" t="s">
        <v>3182</v>
      </c>
      <c r="C42" s="10" t="s">
        <v>3213</v>
      </c>
      <c r="D42" s="9" t="s">
        <v>3222</v>
      </c>
      <c r="E42" s="9" t="s">
        <v>3185</v>
      </c>
    </row>
    <row r="43" customFormat="false" ht="15" hidden="false" customHeight="false" outlineLevel="0" collapsed="false">
      <c r="A43" s="10" t="s">
        <v>3212</v>
      </c>
      <c r="B43" s="9" t="s">
        <v>3182</v>
      </c>
      <c r="C43" s="9" t="s">
        <v>3223</v>
      </c>
      <c r="D43" s="9" t="s">
        <v>3224</v>
      </c>
      <c r="E43" s="9" t="s">
        <v>3185</v>
      </c>
    </row>
  </sheetData>
  <autoFilter ref="A1:E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2026-10-20T22:59:54Z</dcterms:created>
  <dc:creator>openpyxl</dc:creator>
  <dc:description/>
  <dc:language>en-US</dc:language>
  <cp:lastModifiedBy/>
  <dcterms:modified xsi:type="dcterms:W3CDTF">2026-10-20T22:59:54Z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