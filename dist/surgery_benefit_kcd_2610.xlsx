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안내" sheetId="1" state="visible" r:id="rId3"/>
    <sheet name="1-5종II" sheetId="2" state="visible" r:id="rId4"/>
    <sheet name="1-5종 각주" sheetId="3" state="visible" r:id="rId5"/>
    <sheet name="1-7종" sheetId="4" state="visible" r:id="rId6"/>
    <sheet name="131대 대상질병" sheetId="5" state="visible" r:id="rId7"/>
    <sheet name="130·131대 KCD" sheetId="6" state="visible" r:id="rId8"/>
    <sheet name="상품별 탑재" sheetId="7" state="visible" r:id="rId9"/>
    <sheet name="1-7종 대표질병" sheetId="8" state="visible" r:id="rId10"/>
    <sheet name="1-5종 대표질병" sheetId="9" state="visible" r:id="rId11"/>
  </sheets>
  <definedNames>
    <definedName function="false" hidden="true" localSheetId="2" name="_xlnm._FilterDatabase" vbProcedure="false">'1-5종 각주'!$A$1:$B$12</definedName>
    <definedName function="false" hidden="true" localSheetId="8" name="_xlnm._FilterDatabase" vbProcedure="false">'1-5종 대표질병'!$A$2:$K$336</definedName>
    <definedName function="false" hidden="true" localSheetId="1" name="_xlnm._FilterDatabase" vbProcedure="false">'1-5종II'!$A$2:$E$101</definedName>
    <definedName function="false" hidden="true" localSheetId="3" name="_xlnm._FilterDatabase" vbProcedure="false">'1-7종'!$A$2:$G$632</definedName>
    <definedName function="false" hidden="true" localSheetId="7" name="_xlnm._FilterDatabase" vbProcedure="false">'1-7종 대표질병'!$A$2:$K$872</definedName>
    <definedName function="false" hidden="true" localSheetId="5" name="_xlnm._FilterDatabase" vbProcedure="false">'130·131대 KCD'!$A$2:$E$512</definedName>
    <definedName function="false" hidden="true" localSheetId="4" name="_xlnm._FilterDatabase" vbProcedure="false">'131대 대상질병'!$A$2:$D$358</definedName>
    <definedName function="false" hidden="true" localSheetId="6" name="_xlnm._FilterDatabase" vbProcedure="false">'상품별 탑재'!$A$1:$E$43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<sst xmlns="http://schemas.openxmlformats.org/spreadsheetml/2006/main" count="19347" uniqueCount="5844">
  <si>
    <r>
      <rPr>
        <b val="true"/>
        <sz val="13"/>
        <color rgb="FF0B7C6F"/>
        <rFont val="WenQuanYi Zen Hei"/>
        <family val="2"/>
      </rPr>
      <t xml:space="preserve">수술비 </t>
    </r>
    <r>
      <rPr>
        <b val="true"/>
        <sz val="13"/>
        <color rgb="FF0B7C6F"/>
        <rFont val="Arial"/>
        <family val="0"/>
        <charset val="1"/>
      </rPr>
      <t xml:space="preserve">3</t>
    </r>
    <r>
      <rPr>
        <b val="true"/>
        <sz val="13"/>
        <color rgb="FF0B7C6F"/>
        <rFont val="WenQuanYi Zen Hei"/>
        <family val="2"/>
      </rPr>
      <t xml:space="preserve">종 — 보장 수술 </t>
    </r>
    <r>
      <rPr>
        <b val="true"/>
        <sz val="13"/>
        <color rgb="FF0B7C6F"/>
        <rFont val="Arial"/>
        <family val="0"/>
        <charset val="1"/>
      </rPr>
      <t xml:space="preserve">· </t>
    </r>
    <r>
      <rPr>
        <b val="true"/>
        <sz val="13"/>
        <color rgb="FF0B7C6F"/>
        <rFont val="WenQuanYi Zen Hei"/>
        <family val="2"/>
      </rPr>
      <t xml:space="preserve">질병 </t>
    </r>
    <r>
      <rPr>
        <b val="true"/>
        <sz val="13"/>
        <color rgb="FF0B7C6F"/>
        <rFont val="Arial"/>
        <family val="0"/>
        <charset val="1"/>
      </rPr>
      <t xml:space="preserve">· KCD </t>
    </r>
    <r>
      <rPr>
        <b val="true"/>
        <sz val="13"/>
        <color rgb="FF0B7C6F"/>
        <rFont val="WenQuanYi Zen Hei"/>
        <family val="2"/>
      </rPr>
      <t xml:space="preserve">정리</t>
    </r>
  </si>
  <si>
    <t xml:space="preserve">기준일</t>
  </si>
  <si>
    <t xml:space="preserve">2026-10-20</t>
  </si>
  <si>
    <r>
      <rPr>
        <sz val="10"/>
        <rFont val="WenQuanYi Zen Hei"/>
        <family val="2"/>
      </rPr>
      <t xml:space="preserve">약관 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케어프리 </t>
    </r>
    <r>
      <rPr>
        <sz val="10"/>
        <rFont val="Arial"/>
        <family val="0"/>
        <charset val="1"/>
      </rPr>
      <t xml:space="preserve">M-Basket 4.0 · </t>
    </r>
    <r>
      <rPr>
        <sz val="10"/>
        <rFont val="WenQuanYi Zen Hei"/>
        <family val="2"/>
      </rPr>
      <t xml:space="preserve">운전자 </t>
    </r>
    <r>
      <rPr>
        <sz val="10"/>
        <rFont val="Arial"/>
        <family val="0"/>
        <charset val="1"/>
      </rPr>
      <t xml:space="preserve">2608 3.0 · </t>
    </r>
    <r>
      <rPr>
        <sz val="10"/>
        <rFont val="WenQuanYi Zen Hei"/>
        <family val="2"/>
      </rPr>
      <t xml:space="preserve">통합간편 </t>
    </r>
    <r>
      <rPr>
        <sz val="10"/>
        <rFont val="Arial"/>
        <family val="0"/>
        <charset val="1"/>
      </rPr>
      <t xml:space="preserve">2607 (</t>
    </r>
    <r>
      <rPr>
        <sz val="10"/>
        <rFont val="WenQuanYi Zen Hei"/>
        <family val="2"/>
      </rPr>
      <t xml:space="preserve">영업지원도구 탑재 약관</t>
    </r>
    <r>
      <rPr>
        <sz val="10"/>
        <rFont val="Arial"/>
        <family val="0"/>
        <charset val="1"/>
      </rPr>
      <t xml:space="preserve">)</t>
    </r>
  </si>
  <si>
    <t xml:space="preserve">시트</t>
  </si>
  <si>
    <t xml:space="preserve">건수</t>
  </si>
  <si>
    <t xml:space="preserve">내용</t>
  </si>
  <si>
    <r>
      <rPr>
        <sz val="10"/>
        <rFont val="Arial"/>
        <family val="0"/>
        <charset val="1"/>
      </rPr>
      <t xml:space="preserve">1-5</t>
    </r>
    <r>
      <rPr>
        <sz val="10"/>
        <rFont val="WenQuanYi Zen Hei"/>
        <family val="2"/>
      </rPr>
      <t xml:space="preserve">종</t>
    </r>
    <r>
      <rPr>
        <sz val="10"/>
        <rFont val="Arial"/>
        <family val="0"/>
        <charset val="1"/>
      </rPr>
      <t xml:space="preserve">II</t>
    </r>
  </si>
  <si>
    <r>
      <rPr>
        <sz val="10"/>
        <rFont val="WenQuanYi Zen Hei"/>
        <family val="2"/>
      </rPr>
      <t xml:space="preserve">수술 술식 기준 </t>
    </r>
    <r>
      <rPr>
        <sz val="10"/>
        <rFont val="Arial"/>
        <family val="0"/>
        <charset val="1"/>
      </rPr>
      <t xml:space="preserve">88</t>
    </r>
    <r>
      <rPr>
        <sz val="10"/>
        <rFont val="WenQuanYi Zen Hei"/>
        <family val="2"/>
      </rPr>
      <t xml:space="preserve">개 항목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악성신생물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방사선 조사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종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약관 조건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</si>
  <si>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1-5</t>
    </r>
    <r>
      <rPr>
        <sz val="10"/>
        <rFont val="WenQuanYi Zen Hei"/>
        <family val="2"/>
      </rPr>
      <t xml:space="preserve">종 각주</t>
    </r>
  </si>
  <si>
    <r>
      <rPr>
        <sz val="10"/>
        <rFont val="WenQuanYi Zen Hei"/>
        <family val="2"/>
      </rPr>
      <t xml:space="preserve">약관 각주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지급 제외 수술</t>
    </r>
  </si>
  <si>
    <r>
      <rPr>
        <sz val="10"/>
        <rFont val="Arial"/>
        <family val="0"/>
        <charset val="1"/>
      </rPr>
      <t xml:space="preserve">1-7</t>
    </r>
    <r>
      <rPr>
        <sz val="10"/>
        <rFont val="WenQuanYi Zen Hei"/>
        <family val="2"/>
      </rPr>
      <t xml:space="preserve">종</t>
    </r>
  </si>
  <si>
    <r>
      <rPr>
        <sz val="10"/>
        <rFont val="WenQuanYi Zen Hei"/>
        <family val="2"/>
      </rPr>
      <t xml:space="preserve">급여 수술 </t>
    </r>
    <r>
      <rPr>
        <sz val="10"/>
        <rFont val="Arial"/>
        <family val="0"/>
        <charset val="1"/>
      </rPr>
      <t xml:space="preserve">ADRG </t>
    </r>
    <r>
      <rPr>
        <sz val="10"/>
        <rFont val="WenQuanYi Zen Hei"/>
        <family val="2"/>
      </rPr>
      <t xml:space="preserve">수술코드 — </t>
    </r>
    <r>
      <rPr>
        <sz val="10"/>
        <rFont val="Arial"/>
        <family val="0"/>
        <charset val="1"/>
      </rPr>
      <t xml:space="preserve">266</t>
    </r>
    <r>
      <rPr>
        <sz val="10"/>
        <rFont val="WenQuanYi Zen Hei"/>
        <family val="2"/>
      </rPr>
      <t xml:space="preserve">개 수술구분</t>
    </r>
  </si>
  <si>
    <r>
      <rPr>
        <sz val="10"/>
        <rFont val="Arial"/>
        <family val="0"/>
        <charset val="1"/>
      </rPr>
      <t xml:space="preserve">131</t>
    </r>
    <r>
      <rPr>
        <sz val="10"/>
        <rFont val="WenQuanYi Zen Hei"/>
        <family val="2"/>
      </rPr>
      <t xml:space="preserve">대 대상질병</t>
    </r>
  </si>
  <si>
    <r>
      <rPr>
        <sz val="10"/>
        <rFont val="WenQuanYi Zen Hei"/>
        <family val="2"/>
      </rPr>
      <t xml:space="preserve">약관 분류표의 대상질병 줄</t>
    </r>
    <r>
      <rPr>
        <sz val="10"/>
        <rFont val="Arial"/>
        <family val="0"/>
        <charset val="1"/>
      </rPr>
      <t xml:space="preserve">(11</t>
    </r>
    <r>
      <rPr>
        <sz val="10"/>
        <rFont val="WenQuanYi Zen Hei"/>
        <family val="2"/>
      </rPr>
      <t xml:space="preserve">개 보장군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</si>
  <si>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130·131</t>
    </r>
    <r>
      <rPr>
        <sz val="10"/>
        <rFont val="WenQuanYi Zen Hei"/>
        <family val="2"/>
      </rPr>
      <t xml:space="preserve">대 </t>
    </r>
    <r>
      <rPr>
        <sz val="10"/>
        <rFont val="Arial"/>
        <family val="0"/>
        <charset val="1"/>
      </rPr>
      <t xml:space="preserve">KCD</t>
    </r>
  </si>
  <si>
    <r>
      <rPr>
        <sz val="10"/>
        <rFont val="WenQuanYi Zen Hei"/>
        <family val="2"/>
      </rPr>
      <t xml:space="preserve">세부보장별 </t>
    </r>
    <r>
      <rPr>
        <sz val="10"/>
        <rFont val="Arial"/>
        <family val="0"/>
        <charset val="1"/>
      </rPr>
      <t xml:space="preserve">KCD </t>
    </r>
    <r>
      <rPr>
        <sz val="10"/>
        <rFont val="WenQuanYi Zen Hei"/>
        <family val="2"/>
      </rPr>
      <t xml:space="preserve">전개 </t>
    </r>
    <r>
      <rPr>
        <sz val="10"/>
        <rFont val="Arial"/>
        <family val="0"/>
        <charset val="1"/>
      </rPr>
      <t xml:space="preserve">· 130</t>
    </r>
    <r>
      <rPr>
        <sz val="10"/>
        <rFont val="WenQuanYi Zen Hei"/>
        <family val="2"/>
      </rPr>
      <t xml:space="preserve">대</t>
    </r>
    <r>
      <rPr>
        <sz val="10"/>
        <rFont val="Arial"/>
        <family val="0"/>
        <charset val="1"/>
      </rPr>
      <t xml:space="preserve">/131</t>
    </r>
    <r>
      <rPr>
        <sz val="10"/>
        <rFont val="WenQuanYi Zen Hei"/>
        <family val="2"/>
      </rPr>
      <t xml:space="preserve">대 보장 여부</t>
    </r>
  </si>
  <si>
    <t xml:space="preserve">상품별 탑재</t>
  </si>
  <si>
    <t xml:space="preserve">어느 상품에 어떤 수술비 특약이 있는지</t>
  </si>
  <si>
    <r>
      <rPr>
        <sz val="10"/>
        <rFont val="Arial"/>
        <family val="0"/>
        <charset val="1"/>
      </rPr>
      <t xml:space="preserve">1-7</t>
    </r>
    <r>
      <rPr>
        <sz val="10"/>
        <rFont val="WenQuanYi Zen Hei"/>
        <family val="2"/>
      </rPr>
      <t xml:space="preserve">종 대표질병</t>
    </r>
  </si>
  <si>
    <r>
      <rPr>
        <sz val="10"/>
        <rFont val="WenQuanYi Zen Hei"/>
        <family val="2"/>
      </rPr>
      <t xml:space="preserve">수술구분별 대표 질병 </t>
    </r>
    <r>
      <rPr>
        <sz val="10"/>
        <rFont val="Arial"/>
        <family val="0"/>
        <charset val="1"/>
      </rPr>
      <t xml:space="preserve">· KCD · 131</t>
    </r>
    <r>
      <rPr>
        <sz val="10"/>
        <rFont val="WenQuanYi Zen Hei"/>
        <family val="2"/>
      </rPr>
      <t xml:space="preserve">대</t>
    </r>
    <r>
      <rPr>
        <sz val="10"/>
        <rFont val="Arial"/>
        <family val="0"/>
        <charset val="1"/>
      </rPr>
      <t xml:space="preserve">/130</t>
    </r>
    <r>
      <rPr>
        <sz val="10"/>
        <rFont val="WenQuanYi Zen Hei"/>
        <family val="2"/>
      </rPr>
      <t xml:space="preserve">대 해당 보장군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참고용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</si>
  <si>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1-5</t>
    </r>
    <r>
      <rPr>
        <sz val="10"/>
        <rFont val="WenQuanYi Zen Hei"/>
        <family val="2"/>
      </rPr>
      <t xml:space="preserve">종 대표질병</t>
    </r>
  </si>
  <si>
    <r>
      <rPr>
        <sz val="10"/>
        <rFont val="WenQuanYi Zen Hei"/>
        <family val="2"/>
      </rPr>
      <t xml:space="preserve">수술 항목별 대표 질병 </t>
    </r>
    <r>
      <rPr>
        <sz val="10"/>
        <rFont val="Arial"/>
        <family val="0"/>
        <charset val="1"/>
      </rPr>
      <t xml:space="preserve">· KCD · 131</t>
    </r>
    <r>
      <rPr>
        <sz val="10"/>
        <rFont val="WenQuanYi Zen Hei"/>
        <family val="2"/>
      </rPr>
      <t xml:space="preserve">대</t>
    </r>
    <r>
      <rPr>
        <sz val="10"/>
        <rFont val="Arial"/>
        <family val="0"/>
        <charset val="1"/>
      </rPr>
      <t xml:space="preserve">/130</t>
    </r>
    <r>
      <rPr>
        <sz val="10"/>
        <rFont val="WenQuanYi Zen Hei"/>
        <family val="2"/>
      </rPr>
      <t xml:space="preserve">대 해당 보장군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참고용</t>
    </r>
    <r>
      <rPr>
        <sz val="10"/>
        <rFont val="Arial"/>
        <family val="0"/>
        <charset val="1"/>
      </rPr>
      <t xml:space="preserve">)</t>
    </r>
  </si>
  <si>
    <r>
      <rPr>
        <b val="true"/>
        <sz val="11"/>
        <color rgb="FF0B7C6F"/>
        <rFont val="Arial"/>
        <family val="0"/>
        <charset val="1"/>
      </rPr>
      <t xml:space="preserve">1-7</t>
    </r>
    <r>
      <rPr>
        <b val="true"/>
        <sz val="11"/>
        <color rgb="FF0B7C6F"/>
        <rFont val="WenQuanYi Zen Hei"/>
        <family val="2"/>
      </rPr>
      <t xml:space="preserve">종 종별 수술코드 수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</si>
  <si>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종</t>
    </r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</si>
  <si>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종</t>
    </r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</si>
  <si>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종</t>
    </r>
  </si>
  <si>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종</t>
    </r>
  </si>
  <si>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종</t>
    </r>
  </si>
  <si>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종</t>
    </r>
  </si>
  <si>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종</t>
    </r>
  </si>
  <si>
    <r>
      <rPr>
        <b val="true"/>
        <sz val="11"/>
        <color rgb="FF0B7C6F"/>
        <rFont val="WenQuanYi Zen Hei"/>
        <family val="2"/>
      </rPr>
      <t xml:space="preserve">확인 결과</t>
    </r>
    <r>
      <rPr>
        <b val="true"/>
        <sz val="11"/>
        <color rgb="FF0B7C6F"/>
        <rFont val="Arial"/>
        <family val="0"/>
        <charset val="1"/>
      </rPr>
      <t xml:space="preserve">(2026-10-20)</t>
    </r>
  </si>
  <si>
    <t xml:space="preserve">일치</t>
  </si>
  <si>
    <r>
      <rPr>
        <sz val="10"/>
        <rFont val="WenQuanYi Zen Hei"/>
        <family val="2"/>
      </rPr>
      <t xml:space="preserve">수술코드 </t>
    </r>
    <r>
      <rPr>
        <sz val="10"/>
        <rFont val="Arial"/>
        <family val="0"/>
        <charset val="1"/>
      </rPr>
      <t xml:space="preserve">630</t>
    </r>
    <r>
      <rPr>
        <sz val="10"/>
        <rFont val="WenQuanYi Zen Hei"/>
        <family val="2"/>
      </rPr>
      <t xml:space="preserve">개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종 — 약관 </t>
    </r>
    <r>
      <rPr>
        <sz val="10"/>
        <rFont val="Arial"/>
        <family val="0"/>
        <charset val="1"/>
      </rPr>
      <t xml:space="preserve">PDF 4</t>
    </r>
    <r>
      <rPr>
        <sz val="10"/>
        <rFont val="WenQuanYi Zen Hei"/>
        <family val="2"/>
      </rPr>
      <t xml:space="preserve">권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케어프리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운전자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통합간편 일반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통합간편심사형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에서 직접 읽은 값과 모두 같음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화면 이름 중 조건이 빠진 </t>
    </r>
    <r>
      <rPr>
        <sz val="10"/>
        <rFont val="Arial"/>
        <family val="0"/>
        <charset val="1"/>
      </rPr>
      <t xml:space="preserve">67</t>
    </r>
    <r>
      <rPr>
        <sz val="10"/>
        <rFont val="WenQuanYi Zen Hei"/>
        <family val="2"/>
      </rPr>
      <t xml:space="preserve">줄을 약관 이름으로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「치료적」 자궁소파술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「재원기간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일 이상」 등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</si>
  <si>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1-5</t>
    </r>
    <r>
      <rPr>
        <sz val="10"/>
        <rFont val="WenQuanYi Zen Hei"/>
        <family val="2"/>
      </rPr>
      <t xml:space="preserve">종Ⅱ</t>
    </r>
  </si>
  <si>
    <r>
      <rPr>
        <sz val="10"/>
        <rFont val="Arial"/>
        <family val="0"/>
        <charset val="1"/>
      </rPr>
      <t xml:space="preserve">99</t>
    </r>
    <r>
      <rPr>
        <sz val="10"/>
        <rFont val="WenQuanYi Zen Hei"/>
        <family val="2"/>
      </rPr>
      <t xml:space="preserve">줄 종 모두 약관과 같음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상품별 분류표 글도 같음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줄바꿈 차이뿐</t>
    </r>
    <r>
      <rPr>
        <sz val="10"/>
        <rFont val="Arial"/>
        <family val="0"/>
        <charset val="1"/>
      </rPr>
      <t xml:space="preserve">). </t>
    </r>
    <r>
      <rPr>
        <sz val="10"/>
        <rFont val="WenQuanYi Zen Hei"/>
        <family val="2"/>
      </rPr>
      <t xml:space="preserve">빠져 있던 약관 각주를 덧붙임</t>
    </r>
  </si>
  <si>
    <r>
      <rPr>
        <sz val="10"/>
        <rFont val="Arial"/>
        <family val="0"/>
        <charset val="1"/>
      </rPr>
      <t xml:space="preserve">131</t>
    </r>
    <r>
      <rPr>
        <sz val="10"/>
        <rFont val="WenQuanYi Zen Hei"/>
        <family val="2"/>
      </rPr>
      <t xml:space="preserve">대 </t>
    </r>
    <r>
      <rPr>
        <sz val="10"/>
        <rFont val="Arial"/>
        <family val="0"/>
        <charset val="1"/>
      </rPr>
      <t xml:space="preserve">· 130</t>
    </r>
    <r>
      <rPr>
        <sz val="10"/>
        <rFont val="WenQuanYi Zen Hei"/>
        <family val="2"/>
      </rPr>
      <t xml:space="preserve">대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</si>
  <si>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건 바로잡음</t>
    </r>
  </si>
  <si>
    <r>
      <rPr>
        <sz val="10"/>
        <rFont val="WenQuanYi Zen Hei"/>
        <family val="2"/>
      </rPr>
      <t xml:space="preserve">황반변성</t>
    </r>
    <r>
      <rPr>
        <sz val="10"/>
        <rFont val="Arial"/>
        <family val="0"/>
        <charset val="1"/>
      </rPr>
      <t xml:space="preserve">(H35.3) : </t>
    </r>
    <r>
      <rPr>
        <sz val="10"/>
        <rFont val="WenQuanYi Zen Hei"/>
        <family val="2"/>
      </rPr>
      <t xml:space="preserve">약관 다빈도</t>
    </r>
    <r>
      <rPr>
        <sz val="10"/>
        <rFont val="Arial"/>
        <family val="0"/>
        <charset val="1"/>
      </rPr>
      <t xml:space="preserve">61</t>
    </r>
    <r>
      <rPr>
        <sz val="10"/>
        <rFont val="WenQuanYi Zen Hei"/>
        <family val="2"/>
      </rPr>
      <t xml:space="preserve">대</t>
    </r>
    <r>
      <rPr>
        <sz val="10"/>
        <rFont val="Arial"/>
        <family val="0"/>
        <charset val="1"/>
      </rPr>
      <t xml:space="preserve">·62</t>
    </r>
    <r>
      <rPr>
        <sz val="10"/>
        <rFont val="WenQuanYi Zen Hei"/>
        <family val="2"/>
      </rPr>
      <t xml:space="preserve">대 분류표에 「시각질환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황반변성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황반 및 후극부의 변성 </t>
    </r>
    <r>
      <rPr>
        <sz val="10"/>
        <rFont val="Arial"/>
        <family val="0"/>
        <charset val="1"/>
      </rPr>
      <t xml:space="preserve">H35.3</t>
    </r>
    <r>
      <rPr>
        <sz val="10"/>
        <rFont val="WenQuanYi Zen Hei"/>
        <family val="2"/>
      </rPr>
      <t xml:space="preserve">」 독립 줄이 있어 보장</t>
    </r>
    <r>
      <rPr>
        <sz val="10"/>
        <rFont val="Arial"/>
        <family val="0"/>
        <charset val="1"/>
      </rPr>
      <t xml:space="preserve">. 10-20 </t>
    </r>
    <r>
      <rPr>
        <sz val="10"/>
        <rFont val="WenQuanYi Zen Hei"/>
        <family val="2"/>
      </rPr>
      <t xml:space="preserve">오전</t>
    </r>
    <r>
      <rPr>
        <sz val="10"/>
        <rFont val="Arial"/>
        <family val="0"/>
        <charset val="1"/>
      </rPr>
      <t xml:space="preserve">(v8.78)</t>
    </r>
    <r>
      <rPr>
        <sz val="10"/>
        <rFont val="WenQuanYi Zen Hei"/>
        <family val="2"/>
      </rPr>
      <t xml:space="preserve">에 「</t>
    </r>
    <r>
      <rPr>
        <sz val="10"/>
        <rFont val="Arial"/>
        <family val="0"/>
        <charset val="1"/>
      </rPr>
      <t xml:space="preserve">H30-H36 </t>
    </r>
    <r>
      <rPr>
        <sz val="10"/>
        <rFont val="WenQuanYi Zen Hei"/>
        <family val="2"/>
      </rPr>
      <t xml:space="preserve">단</t>
    </r>
    <r>
      <rPr>
        <sz val="10"/>
        <rFont val="Arial"/>
        <family val="0"/>
        <charset val="1"/>
      </rPr>
      <t xml:space="preserve">, H35.3 </t>
    </r>
    <r>
      <rPr>
        <sz val="10"/>
        <rFont val="WenQuanYi Zen Hei"/>
        <family val="2"/>
      </rPr>
      <t xml:space="preserve">제외」 문구만 보고 제외로 바꾼 것을 되돌림 — </t>
    </r>
    <r>
      <rPr>
        <sz val="10"/>
        <rFont val="Arial"/>
        <family val="0"/>
        <charset val="1"/>
      </rPr>
      <t xml:space="preserve">130</t>
    </r>
    <r>
      <rPr>
        <sz val="10"/>
        <rFont val="WenQuanYi Zen Hei"/>
        <family val="2"/>
      </rPr>
      <t xml:space="preserve">대 </t>
    </r>
    <r>
      <rPr>
        <sz val="10"/>
        <rFont val="Arial"/>
        <family val="0"/>
        <charset val="1"/>
      </rPr>
      <t xml:space="preserve">· 131</t>
    </r>
    <r>
      <rPr>
        <sz val="10"/>
        <rFont val="WenQuanYi Zen Hei"/>
        <family val="2"/>
      </rPr>
      <t xml:space="preserve">대 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개 상품</t>
    </r>
  </si>
  <si>
    <r>
      <rPr>
        <sz val="10"/>
        <rFont val="WenQuanYi Zen Hei"/>
        <family val="2"/>
      </rPr>
      <t xml:space="preserve">세부보장 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개 코드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화면 표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약관</t>
    </r>
    <r>
      <rPr>
        <sz val="10"/>
        <rFont val="Arial"/>
        <family val="0"/>
        <charset val="1"/>
      </rPr>
      <t xml:space="preserve">. 130</t>
    </r>
    <r>
      <rPr>
        <sz val="10"/>
        <rFont val="WenQuanYi Zen Hei"/>
        <family val="2"/>
      </rPr>
      <t xml:space="preserve">대와 </t>
    </r>
    <r>
      <rPr>
        <sz val="10"/>
        <rFont val="Arial"/>
        <family val="0"/>
        <charset val="1"/>
      </rPr>
      <t xml:space="preserve">131</t>
    </r>
    <r>
      <rPr>
        <sz val="10"/>
        <rFont val="WenQuanYi Zen Hei"/>
        <family val="2"/>
      </rPr>
      <t xml:space="preserve">대 차이는 추간판장애</t>
    </r>
    <r>
      <rPr>
        <sz val="10"/>
        <rFont val="Arial"/>
        <family val="0"/>
        <charset val="1"/>
      </rPr>
      <t xml:space="preserve">(M50 · M51)</t>
    </r>
    <r>
      <rPr>
        <sz val="10"/>
        <rFont val="WenQuanYi Zen Hei"/>
        <family val="2"/>
      </rPr>
      <t xml:space="preserve">뿐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제외 코드 </t>
    </r>
    <r>
      <rPr>
        <sz val="10"/>
        <rFont val="Arial"/>
        <family val="0"/>
        <charset val="1"/>
      </rPr>
      <t xml:space="preserve">K23.0 · M74 · M78 · N39.3 · N39.4 </t>
    </r>
    <r>
      <rPr>
        <sz val="10"/>
        <rFont val="WenQuanYi Zen Hei"/>
        <family val="2"/>
      </rPr>
      <t xml:space="preserve">는 어느 세부보장에도 없음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약관대로 미보장</t>
    </r>
    <r>
      <rPr>
        <sz val="10"/>
        <rFont val="Arial"/>
        <family val="0"/>
        <charset val="1"/>
      </rPr>
      <t xml:space="preserve">)</t>
    </r>
  </si>
  <si>
    <t xml:space="preserve">주의</t>
  </si>
  <si>
    <r>
      <rPr>
        <sz val="10"/>
        <rFont val="Arial"/>
        <family val="0"/>
        <charset val="1"/>
      </rPr>
      <t xml:space="preserve">H35.0(</t>
    </r>
    <r>
      <rPr>
        <sz val="10"/>
        <rFont val="WenQuanYi Zen Hei"/>
        <family val="2"/>
      </rPr>
      <t xml:space="preserve">배경망막병증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은 코드 하나에 고혈압성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특정</t>
    </r>
    <r>
      <rPr>
        <sz val="10"/>
        <rFont val="Arial"/>
        <family val="0"/>
        <charset val="1"/>
      </rPr>
      <t xml:space="preserve">31</t>
    </r>
    <r>
      <rPr>
        <sz val="10"/>
        <rFont val="WenQuanYi Zen Hei"/>
        <family val="2"/>
      </rPr>
      <t xml:space="preserve">대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과 그 밖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다빈도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이 섞여 있어 코드만으로 나눌 수 없다 — 지급 판단 시 상병명 확인</t>
    </r>
  </si>
  <si>
    <t xml:space="preserve">대표 질병 시트</t>
  </si>
  <si>
    <t xml:space="preserve">참고용</t>
  </si>
  <si>
    <r>
      <rPr>
        <sz val="10"/>
        <rFont val="WenQuanYi Zen Hei"/>
        <family val="2"/>
      </rPr>
      <t xml:space="preserve">대표 질병은 약관에 적힌 목록이 아니라 「이 수술을 흔히 받게 되는 질병」 예시다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의학 자료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건강보험심사평가원 </t>
    </r>
    <r>
      <rPr>
        <sz val="10"/>
        <rFont val="Arial"/>
        <family val="0"/>
        <charset val="1"/>
      </rPr>
      <t xml:space="preserve">KDRG </t>
    </r>
    <r>
      <rPr>
        <sz val="10"/>
        <rFont val="WenQuanYi Zen Hei"/>
        <family val="2"/>
      </rPr>
      <t xml:space="preserve">분류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의료기관 안내 확인</t>
    </r>
    <r>
      <rPr>
        <sz val="10"/>
        <rFont val="Arial"/>
        <family val="0"/>
        <charset val="1"/>
      </rPr>
      <t xml:space="preserve">). </t>
    </r>
    <r>
      <rPr>
        <sz val="10"/>
        <rFont val="WenQuanYi Zen Hei"/>
        <family val="2"/>
      </rPr>
      <t xml:space="preserve">질병코드는 모두 </t>
    </r>
    <r>
      <rPr>
        <sz val="10"/>
        <rFont val="Arial"/>
        <family val="0"/>
        <charset val="1"/>
      </rPr>
      <t xml:space="preserve">WHO ICD-10(2019) </t>
    </r>
    <r>
      <rPr>
        <sz val="10"/>
        <rFont val="WenQuanYi Zen Hei"/>
        <family val="2"/>
      </rPr>
      <t xml:space="preserve">목록에 실제로 있는 코드만 싣고 영문 공식명을 옆에 붙여 대조할 수 있게 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실제 지급은 수술코드</t>
    </r>
    <r>
      <rPr>
        <sz val="10"/>
        <rFont val="Arial"/>
        <family val="0"/>
        <charset val="1"/>
      </rPr>
      <t xml:space="preserve">(1-7</t>
    </r>
    <r>
      <rPr>
        <sz val="10"/>
        <rFont val="WenQuanYi Zen Hei"/>
        <family val="2"/>
      </rPr>
      <t xml:space="preserve">종</t>
    </r>
    <r>
      <rPr>
        <sz val="10"/>
        <rFont val="Arial"/>
        <family val="0"/>
        <charset val="1"/>
      </rPr>
      <t xml:space="preserve">) · </t>
    </r>
    <r>
      <rPr>
        <sz val="10"/>
        <rFont val="WenQuanYi Zen Hei"/>
        <family val="2"/>
      </rPr>
      <t xml:space="preserve">수술 술식</t>
    </r>
    <r>
      <rPr>
        <sz val="10"/>
        <rFont val="Arial"/>
        <family val="0"/>
        <charset val="1"/>
      </rPr>
      <t xml:space="preserve">(1-5</t>
    </r>
    <r>
      <rPr>
        <sz val="10"/>
        <rFont val="WenQuanYi Zen Hei"/>
        <family val="2"/>
      </rPr>
      <t xml:space="preserve">종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과 약관 조건으로 판단</t>
    </r>
  </si>
  <si>
    <t xml:space="preserve">출처</t>
  </si>
  <si>
    <r>
      <rPr>
        <sz val="10"/>
        <rFont val="WenQuanYi Zen Hei"/>
        <family val="2"/>
      </rPr>
      <t xml:space="preserve">영업지원도구</t>
    </r>
    <r>
      <rPr>
        <sz val="10"/>
        <rFont val="Arial"/>
        <family val="0"/>
        <charset val="1"/>
      </rPr>
      <t xml:space="preserve">(tool.html) </t>
    </r>
    <r>
      <rPr>
        <sz val="10"/>
        <rFont val="WenQuanYi Zen Hei"/>
        <family val="2"/>
      </rPr>
      <t xml:space="preserve">특약 마스터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수술비 비교 표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약관 별표 원문 </t>
    </r>
    <r>
      <rPr>
        <sz val="10"/>
        <rFont val="Arial"/>
        <family val="0"/>
        <charset val="1"/>
      </rPr>
      <t xml:space="preserve">· docs/surgery_rep_diseases.json. </t>
    </r>
    <r>
      <rPr>
        <sz val="10"/>
        <rFont val="WenQuanYi Zen Hei"/>
        <family val="2"/>
      </rPr>
      <t xml:space="preserve">생성 </t>
    </r>
    <r>
      <rPr>
        <sz val="10"/>
        <rFont val="Arial"/>
        <family val="0"/>
        <charset val="1"/>
      </rPr>
      <t xml:space="preserve">: scripts/build_surgery_xlsx.py</t>
    </r>
  </si>
  <si>
    <r>
      <rPr>
        <i val="true"/>
        <sz val="10"/>
        <color rgb="FF46536B"/>
        <rFont val="Arial"/>
        <family val="0"/>
        <charset val="1"/>
      </rPr>
      <t xml:space="preserve">1-5</t>
    </r>
    <r>
      <rPr>
        <i val="true"/>
        <sz val="10"/>
        <color rgb="FF46536B"/>
        <rFont val="WenQuanYi Zen Hei"/>
        <family val="2"/>
      </rPr>
      <t xml:space="preserve">종 수술분류표Ⅱ</t>
    </r>
    <r>
      <rPr>
        <i val="true"/>
        <sz val="10"/>
        <color rgb="FF46536B"/>
        <rFont val="Arial"/>
        <family val="0"/>
        <charset val="1"/>
      </rPr>
      <t xml:space="preserve">(</t>
    </r>
    <r>
      <rPr>
        <i val="true"/>
        <sz val="10"/>
        <color rgb="FF46536B"/>
        <rFont val="WenQuanYi Zen Hei"/>
        <family val="2"/>
      </rPr>
      <t xml:space="preserve">별표</t>
    </r>
    <r>
      <rPr>
        <i val="true"/>
        <sz val="10"/>
        <color rgb="FF46536B"/>
        <rFont val="Arial"/>
        <family val="0"/>
        <charset val="1"/>
      </rPr>
      <t xml:space="preserve">76) — </t>
    </r>
    <r>
      <rPr>
        <i val="true"/>
        <sz val="10"/>
        <color rgb="FF46536B"/>
        <rFont val="WenQuanYi Zen Hei"/>
        <family val="2"/>
      </rPr>
      <t xml:space="preserve">수술 술식 기준 </t>
    </r>
    <r>
      <rPr>
        <i val="true"/>
        <sz val="10"/>
        <color rgb="FF46536B"/>
        <rFont val="Arial"/>
        <family val="0"/>
        <charset val="1"/>
      </rPr>
      <t xml:space="preserve">· </t>
    </r>
    <r>
      <rPr>
        <i val="true"/>
        <sz val="10"/>
        <color rgb="FF46536B"/>
        <rFont val="WenQuanYi Zen Hei"/>
        <family val="2"/>
      </rPr>
      <t xml:space="preserve">급여</t>
    </r>
    <r>
      <rPr>
        <i val="true"/>
        <sz val="10"/>
        <color rgb="FF46536B"/>
        <rFont val="Arial"/>
        <family val="0"/>
        <charset val="1"/>
      </rPr>
      <t xml:space="preserve">/</t>
    </r>
    <r>
      <rPr>
        <i val="true"/>
        <sz val="10"/>
        <color rgb="FF46536B"/>
        <rFont val="WenQuanYi Zen Hei"/>
        <family val="2"/>
      </rPr>
      <t xml:space="preserve">비급여 무관 </t>
    </r>
    <r>
      <rPr>
        <i val="true"/>
        <sz val="10"/>
        <color rgb="FF46536B"/>
        <rFont val="Arial"/>
        <family val="0"/>
        <charset val="1"/>
      </rPr>
      <t xml:space="preserve">· </t>
    </r>
    <r>
      <rPr>
        <i val="true"/>
        <sz val="10"/>
        <color rgb="FF46536B"/>
        <rFont val="WenQuanYi Zen Hei"/>
        <family val="2"/>
      </rPr>
      <t xml:space="preserve">질병</t>
    </r>
    <r>
      <rPr>
        <i val="true"/>
        <sz val="10"/>
        <color rgb="FF46536B"/>
        <rFont val="Arial"/>
        <family val="0"/>
        <charset val="1"/>
      </rPr>
      <t xml:space="preserve">·</t>
    </r>
    <r>
      <rPr>
        <i val="true"/>
        <sz val="10"/>
        <color rgb="FF46536B"/>
        <rFont val="WenQuanYi Zen Hei"/>
        <family val="2"/>
      </rPr>
      <t xml:space="preserve">상해 공통</t>
    </r>
    <r>
      <rPr>
        <i val="true"/>
        <sz val="10"/>
        <color rgb="FF46536B"/>
        <rFont val="Arial"/>
        <family val="0"/>
        <charset val="1"/>
      </rPr>
      <t xml:space="preserve">. </t>
    </r>
    <r>
      <rPr>
        <i val="true"/>
        <sz val="10"/>
        <color rgb="FF46536B"/>
        <rFont val="WenQuanYi Zen Hei"/>
        <family val="2"/>
      </rPr>
      <t xml:space="preserve">종이 높을수록 지급액이 큼</t>
    </r>
    <r>
      <rPr>
        <i val="true"/>
        <sz val="10"/>
        <color rgb="FF46536B"/>
        <rFont val="Arial"/>
        <family val="0"/>
        <charset val="1"/>
      </rPr>
      <t xml:space="preserve">. </t>
    </r>
    <r>
      <rPr>
        <i val="true"/>
        <sz val="10"/>
        <color rgb="FF46536B"/>
        <rFont val="WenQuanYi Zen Hei"/>
        <family val="2"/>
      </rPr>
      <t xml:space="preserve">아래 각주는 「</t>
    </r>
    <r>
      <rPr>
        <i val="true"/>
        <sz val="10"/>
        <color rgb="FF46536B"/>
        <rFont val="Arial"/>
        <family val="0"/>
        <charset val="1"/>
      </rPr>
      <t xml:space="preserve">1-5</t>
    </r>
    <r>
      <rPr>
        <i val="true"/>
        <sz val="10"/>
        <color rgb="FF46536B"/>
        <rFont val="WenQuanYi Zen Hei"/>
        <family val="2"/>
      </rPr>
      <t xml:space="preserve">종 각주」 시트</t>
    </r>
  </si>
  <si>
    <t xml:space="preserve">계통</t>
  </si>
  <si>
    <t xml:space="preserve">번호</t>
  </si>
  <si>
    <t xml:space="preserve">수술명</t>
  </si>
  <si>
    <t xml:space="preserve">종</t>
  </si>
  <si>
    <r>
      <rPr>
        <b val="true"/>
        <sz val="11"/>
        <color rgb="FFFFFFFF"/>
        <rFont val="WenQuanYi Zen Hei"/>
        <family val="2"/>
      </rPr>
      <t xml:space="preserve">비고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약관 조건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</si>
  <si>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피부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유방</t>
    </r>
  </si>
  <si>
    <t xml:space="preserve">1</t>
  </si>
  <si>
    <r>
      <rPr>
        <sz val="10"/>
        <rFont val="WenQuanYi Zen Hei"/>
        <family val="2"/>
      </rPr>
      <t xml:space="preserve">피부이식수술</t>
    </r>
    <r>
      <rPr>
        <sz val="10"/>
        <rFont val="Arial"/>
        <family val="0"/>
        <charset val="1"/>
      </rPr>
      <t xml:space="preserve">(25</t>
    </r>
    <r>
      <rPr>
        <sz val="10"/>
        <rFont val="WenQuanYi Zen Hei"/>
        <family val="2"/>
      </rPr>
      <t xml:space="preserve">㎠ 이상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피판수술</t>
    </r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</si>
  <si>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피판분리</t>
    </r>
    <r>
      <rPr>
        <sz val="10"/>
        <rFont val="Arial"/>
        <family val="0"/>
        <charset val="1"/>
      </rPr>
      <t xml:space="preserve">·Z flap·W flap </t>
    </r>
    <r>
      <rPr>
        <sz val="10"/>
        <rFont val="WenQuanYi Zen Hei"/>
        <family val="2"/>
      </rPr>
      <t xml:space="preserve">제외</t>
    </r>
    <r>
      <rPr>
        <sz val="10"/>
        <rFont val="Arial"/>
        <family val="0"/>
        <charset val="1"/>
      </rPr>
      <t xml:space="preserve">]</t>
    </r>
  </si>
  <si>
    <t xml:space="preserve">2</t>
  </si>
  <si>
    <r>
      <rPr>
        <sz val="10"/>
        <rFont val="WenQuanYi Zen Hei"/>
        <family val="2"/>
      </rPr>
      <t xml:space="preserve">피부이식수술</t>
    </r>
    <r>
      <rPr>
        <sz val="10"/>
        <rFont val="Arial"/>
        <family val="0"/>
        <charset val="1"/>
      </rPr>
      <t xml:space="preserve">(25</t>
    </r>
    <r>
      <rPr>
        <sz val="10"/>
        <rFont val="WenQuanYi Zen Hei"/>
        <family val="2"/>
      </rPr>
      <t xml:space="preserve">㎠ 미만</t>
    </r>
    <r>
      <rPr>
        <sz val="10"/>
        <rFont val="Arial"/>
        <family val="0"/>
        <charset val="1"/>
      </rPr>
      <t xml:space="preserve">)</t>
    </r>
  </si>
  <si>
    <t xml:space="preserve">3</t>
  </si>
  <si>
    <r>
      <rPr>
        <sz val="10"/>
        <rFont val="WenQuanYi Zen Hei"/>
        <family val="2"/>
      </rPr>
      <t xml:space="preserve">유방절단수술</t>
    </r>
    <r>
      <rPr>
        <sz val="10"/>
        <rFont val="Arial"/>
        <family val="0"/>
        <charset val="1"/>
      </rPr>
      <t xml:space="preserve">(Mastectomy)</t>
    </r>
  </si>
  <si>
    <r>
      <rPr>
        <sz val="10"/>
        <rFont val="WenQuanYi Zen Hei"/>
        <family val="2"/>
      </rPr>
      <t xml:space="preserve">유방비대</t>
    </r>
    <r>
      <rPr>
        <sz val="10"/>
        <rFont val="Arial"/>
        <family val="0"/>
        <charset val="1"/>
      </rPr>
      <t xml:space="preserve">(N62)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종</t>
    </r>
  </si>
  <si>
    <t xml:space="preserve">4</t>
  </si>
  <si>
    <t xml:space="preserve">기타 유방수술</t>
  </si>
  <si>
    <r>
      <rPr>
        <sz val="10"/>
        <rFont val="WenQuanYi Zen Hei"/>
        <family val="2"/>
      </rPr>
      <t xml:space="preserve">맘모톰 등 </t>
    </r>
    <r>
      <rPr>
        <sz val="10"/>
        <rFont val="Arial"/>
        <family val="0"/>
        <charset val="1"/>
      </rPr>
      <t xml:space="preserve">60</t>
    </r>
    <r>
      <rPr>
        <sz val="10"/>
        <rFont val="WenQuanYi Zen Hei"/>
        <family val="2"/>
      </rPr>
      <t xml:space="preserve">일내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회이상은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회로 간주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농양 절개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배액 제외</t>
    </r>
  </si>
  <si>
    <t xml:space="preserve">근골</t>
  </si>
  <si>
    <t xml:space="preserve">5</t>
  </si>
  <si>
    <r>
      <rPr>
        <sz val="10"/>
        <rFont val="WenQuanYi Zen Hei"/>
        <family val="2"/>
      </rPr>
      <t xml:space="preserve">골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骨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이식수술</t>
    </r>
  </si>
  <si>
    <t xml:space="preserve">6</t>
  </si>
  <si>
    <t xml:space="preserve">두개골 관혈수술</t>
  </si>
  <si>
    <r>
      <rPr>
        <sz val="10"/>
        <rFont val="WenQuanYi Zen Hei"/>
        <family val="2"/>
      </rPr>
      <t xml:space="preserve">비골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비중격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상악골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하악골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악관절 제외</t>
    </r>
  </si>
  <si>
    <t xml:space="preserve">7</t>
  </si>
  <si>
    <t xml:space="preserve">비골 수술</t>
  </si>
  <si>
    <r>
      <rPr>
        <sz val="10"/>
        <rFont val="WenQuanYi Zen Hei"/>
        <family val="2"/>
      </rPr>
      <t xml:space="preserve">비중격만곡증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수면중무호흡 제외</t>
    </r>
  </si>
  <si>
    <t xml:space="preserve">8</t>
  </si>
  <si>
    <r>
      <rPr>
        <sz val="10"/>
        <rFont val="WenQuanYi Zen Hei"/>
        <family val="2"/>
      </rPr>
      <t xml:space="preserve">상악골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하악골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악관절 관혈수술</t>
    </r>
  </si>
  <si>
    <t xml:space="preserve">9</t>
  </si>
  <si>
    <r>
      <rPr>
        <sz val="10"/>
        <rFont val="WenQuanYi Zen Hei"/>
        <family val="2"/>
      </rPr>
      <t xml:space="preserve">척추골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골반골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추간판 관혈수술</t>
    </r>
  </si>
  <si>
    <t xml:space="preserve">10</t>
  </si>
  <si>
    <r>
      <rPr>
        <sz val="10"/>
        <rFont val="WenQuanYi Zen Hei"/>
        <family val="2"/>
      </rPr>
      <t xml:space="preserve">쇄골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견갑골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늑골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흉골 관혈수술</t>
    </r>
  </si>
  <si>
    <t xml:space="preserve">11-1</t>
  </si>
  <si>
    <r>
      <rPr>
        <sz val="10"/>
        <rFont val="WenQuanYi Zen Hei"/>
        <family val="2"/>
      </rPr>
      <t xml:space="preserve">손가락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발가락 절단수술</t>
    </r>
  </si>
  <si>
    <r>
      <rPr>
        <sz val="10"/>
        <rFont val="WenQuanYi Zen Hei"/>
        <family val="2"/>
      </rPr>
      <t xml:space="preserve">골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관절 이단 수반</t>
    </r>
  </si>
  <si>
    <t xml:space="preserve">11-2</t>
  </si>
  <si>
    <t xml:space="preserve">기타 사지 절단수술</t>
  </si>
  <si>
    <t xml:space="preserve">12</t>
  </si>
  <si>
    <t xml:space="preserve">절단된 사지 재접합수술</t>
  </si>
  <si>
    <t xml:space="preserve">13-1</t>
  </si>
  <si>
    <r>
      <rPr>
        <sz val="10"/>
        <rFont val="WenQuanYi Zen Hei"/>
        <family val="2"/>
      </rPr>
      <t xml:space="preserve">손가락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발가락의 골 및 관절 관혈수술</t>
    </r>
  </si>
  <si>
    <t xml:space="preserve">13-2</t>
  </si>
  <si>
    <r>
      <rPr>
        <sz val="10"/>
        <rFont val="WenQuanYi Zen Hei"/>
        <family val="2"/>
      </rPr>
      <t xml:space="preserve">기타 사지골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사지관절 관혈수술</t>
    </r>
  </si>
  <si>
    <t xml:space="preserve">14</t>
  </si>
  <si>
    <r>
      <rPr>
        <sz val="10"/>
        <rFont val="WenQuanYi Zen Hei"/>
        <family val="2"/>
      </rPr>
      <t xml:space="preserve">근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건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인대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연골 관혈수술</t>
    </r>
  </si>
  <si>
    <r>
      <rPr>
        <sz val="10"/>
        <rFont val="WenQuanYi Zen Hei"/>
        <family val="2"/>
      </rPr>
      <t xml:space="preserve">호흡기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흉부</t>
    </r>
  </si>
  <si>
    <t xml:space="preserve">15</t>
  </si>
  <si>
    <t xml:space="preserve">만성부비강염 근본수술</t>
  </si>
  <si>
    <t xml:space="preserve">16</t>
  </si>
  <si>
    <t xml:space="preserve">후두 관혈적 절제수술</t>
  </si>
  <si>
    <t xml:space="preserve">17</t>
  </si>
  <si>
    <r>
      <rPr>
        <sz val="10"/>
        <rFont val="WenQuanYi Zen Hei"/>
        <family val="2"/>
      </rPr>
      <t xml:space="preserve">편도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아데노이드 절제수술</t>
    </r>
  </si>
  <si>
    <t xml:space="preserve">18</t>
  </si>
  <si>
    <r>
      <rPr>
        <sz val="10"/>
        <rFont val="WenQuanYi Zen Hei"/>
        <family val="2"/>
      </rPr>
      <t xml:space="preserve">기관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기관지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폐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흉막 관혈수술</t>
    </r>
  </si>
  <si>
    <t xml:space="preserve">개흉술 수반</t>
  </si>
  <si>
    <t xml:space="preserve">19</t>
  </si>
  <si>
    <t xml:space="preserve">폐장 이식수술</t>
  </si>
  <si>
    <t xml:space="preserve">수용자에 한함</t>
  </si>
  <si>
    <t xml:space="preserve">20</t>
  </si>
  <si>
    <t xml:space="preserve">흉곽 형성수술</t>
  </si>
  <si>
    <t xml:space="preserve">21</t>
  </si>
  <si>
    <r>
      <rPr>
        <sz val="10"/>
        <rFont val="WenQuanYi Zen Hei"/>
        <family val="2"/>
      </rPr>
      <t xml:space="preserve">종격종양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흉선 절제수술</t>
    </r>
  </si>
  <si>
    <r>
      <rPr>
        <sz val="10"/>
        <rFont val="WenQuanYi Zen Hei"/>
        <family val="2"/>
      </rPr>
      <t xml:space="preserve">순환기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비장</t>
    </r>
  </si>
  <si>
    <t xml:space="preserve">22</t>
  </si>
  <si>
    <t xml:space="preserve">혈관 관혈수술</t>
  </si>
  <si>
    <r>
      <rPr>
        <sz val="10"/>
        <rFont val="WenQuanYi Zen Hei"/>
        <family val="2"/>
      </rPr>
      <t xml:space="preserve">하지정맥류 및 손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발가락 제외</t>
    </r>
  </si>
  <si>
    <t xml:space="preserve">23</t>
  </si>
  <si>
    <r>
      <rPr>
        <sz val="10"/>
        <rFont val="WenQuanYi Zen Hei"/>
        <family val="2"/>
      </rPr>
      <t xml:space="preserve">하지정맥류 근본수술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손발가락 혈관수술</t>
    </r>
  </si>
  <si>
    <t xml:space="preserve">24</t>
  </si>
  <si>
    <r>
      <rPr>
        <sz val="10"/>
        <rFont val="WenQuanYi Zen Hei"/>
        <family val="2"/>
      </rPr>
      <t xml:space="preserve">대동맥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대정맥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폐동맥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관동맥 관혈수술</t>
    </r>
  </si>
  <si>
    <r>
      <rPr>
        <sz val="10"/>
        <rFont val="WenQuanYi Zen Hei"/>
        <family val="2"/>
      </rPr>
      <t xml:space="preserve">개흉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개복 수반</t>
    </r>
  </si>
  <si>
    <t xml:space="preserve">25</t>
  </si>
  <si>
    <t xml:space="preserve">심막 관혈수술</t>
  </si>
  <si>
    <t xml:space="preserve">26</t>
  </si>
  <si>
    <t xml:space="preserve">심장내 관혈수술</t>
  </si>
  <si>
    <t xml:space="preserve">27</t>
  </si>
  <si>
    <t xml:space="preserve">심장 이식수술</t>
  </si>
  <si>
    <t xml:space="preserve">28</t>
  </si>
  <si>
    <t xml:space="preserve">체내용 인공심박조율기 매입술</t>
  </si>
  <si>
    <t xml:space="preserve">29</t>
  </si>
  <si>
    <t xml:space="preserve">비장 절제수술</t>
  </si>
  <si>
    <t xml:space="preserve">소화기</t>
  </si>
  <si>
    <t xml:space="preserve">30</t>
  </si>
  <si>
    <t xml:space="preserve">이하선 절제수술</t>
  </si>
  <si>
    <t xml:space="preserve">31-1</t>
  </si>
  <si>
    <r>
      <rPr>
        <sz val="10"/>
        <rFont val="WenQuanYi Zen Hei"/>
        <family val="2"/>
      </rPr>
      <t xml:space="preserve">악하선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설하선 절제수술</t>
    </r>
  </si>
  <si>
    <t xml:space="preserve">31-2</t>
  </si>
  <si>
    <t xml:space="preserve">기타 타액선 절제수술</t>
  </si>
  <si>
    <t xml:space="preserve">타석제거 제외</t>
  </si>
  <si>
    <t xml:space="preserve">32</t>
  </si>
  <si>
    <t xml:space="preserve">식도 이단술</t>
  </si>
  <si>
    <t xml:space="preserve">33</t>
  </si>
  <si>
    <t xml:space="preserve">위 절제수술</t>
  </si>
  <si>
    <t xml:space="preserve">개복술 수반</t>
  </si>
  <si>
    <t xml:space="preserve">34</t>
  </si>
  <si>
    <r>
      <rPr>
        <sz val="10"/>
        <rFont val="WenQuanYi Zen Hei"/>
        <family val="2"/>
      </rPr>
      <t xml:space="preserve">기타의 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식도 관혈수술</t>
    </r>
  </si>
  <si>
    <t xml:space="preserve">35</t>
  </si>
  <si>
    <r>
      <rPr>
        <sz val="10"/>
        <rFont val="WenQuanYi Zen Hei"/>
        <family val="2"/>
      </rPr>
      <t xml:space="preserve">간장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췌장 관혈수술</t>
    </r>
  </si>
  <si>
    <t xml:space="preserve">36</t>
  </si>
  <si>
    <r>
      <rPr>
        <sz val="10"/>
        <rFont val="WenQuanYi Zen Hei"/>
        <family val="2"/>
      </rPr>
      <t xml:space="preserve">담낭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담도 관혈수술</t>
    </r>
  </si>
  <si>
    <r>
      <rPr>
        <sz val="10"/>
        <rFont val="WenQuanYi Zen Hei"/>
        <family val="2"/>
      </rPr>
      <t xml:space="preserve">담석증</t>
    </r>
    <r>
      <rPr>
        <sz val="10"/>
        <rFont val="Arial"/>
        <family val="0"/>
        <charset val="1"/>
      </rPr>
      <t xml:space="preserve">(K80)</t>
    </r>
    <r>
      <rPr>
        <sz val="10"/>
        <rFont val="WenQuanYi Zen Hei"/>
        <family val="2"/>
      </rPr>
      <t xml:space="preserve">은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종</t>
    </r>
  </si>
  <si>
    <t xml:space="preserve">37</t>
  </si>
  <si>
    <t xml:space="preserve">간장 이식수술</t>
  </si>
  <si>
    <r>
      <rPr>
        <sz val="10"/>
        <rFont val="WenQuanYi Zen Hei"/>
        <family val="2"/>
      </rPr>
      <t xml:space="preserve">수용자에 한함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개복 수반</t>
    </r>
  </si>
  <si>
    <t xml:space="preserve">38</t>
  </si>
  <si>
    <t xml:space="preserve">췌장 이식수술</t>
  </si>
  <si>
    <r>
      <rPr>
        <sz val="10"/>
        <rFont val="WenQuanYi Zen Hei"/>
        <family val="2"/>
      </rPr>
      <t xml:space="preserve">개복 수반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수용자에 한함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랑게르한스 소도세포 이식 제외</t>
    </r>
  </si>
  <si>
    <t xml:space="preserve">39</t>
  </si>
  <si>
    <t xml:space="preserve">탈장 근본수술</t>
  </si>
  <si>
    <t xml:space="preserve">40</t>
  </si>
  <si>
    <t xml:space="preserve">전신성 복막염 수술</t>
  </si>
  <si>
    <t xml:space="preserve">41</t>
  </si>
  <si>
    <r>
      <rPr>
        <sz val="10"/>
        <rFont val="WenQuanYi Zen Hei"/>
        <family val="2"/>
      </rPr>
      <t xml:space="preserve">충수절제술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맹장봉축술</t>
    </r>
  </si>
  <si>
    <r>
      <rPr>
        <sz val="10"/>
        <rFont val="WenQuanYi Zen Hei"/>
        <family val="2"/>
      </rPr>
      <t xml:space="preserve">충수주위 농양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국한성 복막염 포함</t>
    </r>
  </si>
  <si>
    <t xml:space="preserve">42</t>
  </si>
  <si>
    <t xml:space="preserve">직장탈 근본수술</t>
  </si>
  <si>
    <t xml:space="preserve">43</t>
  </si>
  <si>
    <r>
      <rPr>
        <sz val="10"/>
        <rFont val="WenQuanYi Zen Hei"/>
        <family val="2"/>
      </rPr>
      <t xml:space="preserve">소장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결장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직장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장간막 관혈수술</t>
    </r>
  </si>
  <si>
    <r>
      <rPr>
        <sz val="10"/>
        <rFont val="WenQuanYi Zen Hei"/>
        <family val="2"/>
      </rPr>
      <t xml:space="preserve">개복 수반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직장탈근본수술 제외</t>
    </r>
  </si>
  <si>
    <t xml:space="preserve">44</t>
  </si>
  <si>
    <r>
      <rPr>
        <sz val="10"/>
        <rFont val="WenQuanYi Zen Hei"/>
        <family val="2"/>
      </rPr>
      <t xml:space="preserve">치루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탈항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치핵 근본수술</t>
    </r>
  </si>
  <si>
    <t xml:space="preserve">근치목적 아닌 수술 제외</t>
  </si>
  <si>
    <r>
      <rPr>
        <sz val="10"/>
        <rFont val="WenQuanYi Zen Hei"/>
        <family val="2"/>
      </rPr>
      <t xml:space="preserve">비뇨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생식기</t>
    </r>
  </si>
  <si>
    <t xml:space="preserve">45</t>
  </si>
  <si>
    <r>
      <rPr>
        <sz val="10"/>
        <rFont val="WenQuanYi Zen Hei"/>
        <family val="2"/>
      </rPr>
      <t xml:space="preserve">신장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방광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신우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요관 관혈수술</t>
    </r>
  </si>
  <si>
    <r>
      <rPr>
        <sz val="10"/>
        <rFont val="WenQuanYi Zen Hei"/>
        <family val="2"/>
      </rPr>
      <t xml:space="preserve">개복 수반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경요도적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방광류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요실금 제외</t>
    </r>
  </si>
  <si>
    <t xml:space="preserve">46</t>
  </si>
  <si>
    <t xml:space="preserve">요도 관혈수술</t>
  </si>
  <si>
    <t xml:space="preserve">경요도적 조작 제외</t>
  </si>
  <si>
    <t xml:space="preserve">47</t>
  </si>
  <si>
    <r>
      <rPr>
        <sz val="10"/>
        <rFont val="WenQuanYi Zen Hei"/>
        <family val="2"/>
      </rPr>
      <t xml:space="preserve">방광류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요실금 교정수술</t>
    </r>
  </si>
  <si>
    <t xml:space="preserve">48</t>
  </si>
  <si>
    <t xml:space="preserve">신장 이식수술</t>
  </si>
  <si>
    <t xml:space="preserve">49</t>
  </si>
  <si>
    <t xml:space="preserve">음경 절단수술</t>
  </si>
  <si>
    <r>
      <rPr>
        <sz val="10"/>
        <rFont val="WenQuanYi Zen Hei"/>
        <family val="2"/>
      </rPr>
      <t xml:space="preserve">포경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음경이물제거 제외</t>
    </r>
  </si>
  <si>
    <t xml:space="preserve">50</t>
  </si>
  <si>
    <r>
      <rPr>
        <sz val="10"/>
        <rFont val="WenQuanYi Zen Hei"/>
        <family val="2"/>
      </rPr>
      <t xml:space="preserve">고환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부고환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정관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정색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정낭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전립선 관혈수술</t>
    </r>
  </si>
  <si>
    <t xml:space="preserve">51</t>
  </si>
  <si>
    <t xml:space="preserve">음낭 관혈수술</t>
  </si>
  <si>
    <t xml:space="preserve">52</t>
  </si>
  <si>
    <r>
      <rPr>
        <sz val="10"/>
        <rFont val="WenQuanYi Zen Hei"/>
        <family val="2"/>
      </rPr>
      <t xml:space="preserve">자궁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난소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난관 관혈수술</t>
    </r>
  </si>
  <si>
    <r>
      <rPr>
        <sz val="10"/>
        <rFont val="WenQuanYi Zen Hei"/>
        <family val="2"/>
      </rPr>
      <t xml:space="preserve">제왕절개만출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경질적 제외</t>
    </r>
  </si>
  <si>
    <t xml:space="preserve">53</t>
  </si>
  <si>
    <r>
      <rPr>
        <sz val="10"/>
        <rFont val="WenQuanYi Zen Hei"/>
        <family val="2"/>
      </rPr>
      <t xml:space="preserve">경질적 자궁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난소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난관 수술</t>
    </r>
  </si>
  <si>
    <r>
      <rPr>
        <sz val="10"/>
        <rFont val="Arial"/>
        <family val="0"/>
        <charset val="1"/>
      </rPr>
      <t xml:space="preserve">60</t>
    </r>
    <r>
      <rPr>
        <sz val="10"/>
        <rFont val="WenQuanYi Zen Hei"/>
        <family val="2"/>
      </rPr>
      <t xml:space="preserve">일내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회이상은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회로 간주</t>
    </r>
  </si>
  <si>
    <t xml:space="preserve">54</t>
  </si>
  <si>
    <t xml:space="preserve">제왕절개만출술</t>
  </si>
  <si>
    <t xml:space="preserve">55</t>
  </si>
  <si>
    <t xml:space="preserve">질탈 근본수술</t>
  </si>
  <si>
    <t xml:space="preserve">내분비</t>
  </si>
  <si>
    <t xml:space="preserve">56</t>
  </si>
  <si>
    <t xml:space="preserve">뇌하수체종양 절제수술</t>
  </si>
  <si>
    <t xml:space="preserve">57</t>
  </si>
  <si>
    <r>
      <rPr>
        <sz val="10"/>
        <rFont val="WenQuanYi Zen Hei"/>
        <family val="2"/>
      </rPr>
      <t xml:space="preserve">갑상선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부갑상선 관혈수술</t>
    </r>
  </si>
  <si>
    <t xml:space="preserve">58</t>
  </si>
  <si>
    <t xml:space="preserve">부신 절제수술</t>
  </si>
  <si>
    <t xml:space="preserve">신경계</t>
  </si>
  <si>
    <t xml:space="preserve">59</t>
  </si>
  <si>
    <t xml:space="preserve">두개내 관혈수술</t>
  </si>
  <si>
    <t xml:space="preserve">개두술 수반</t>
  </si>
  <si>
    <t xml:space="preserve">60</t>
  </si>
  <si>
    <t xml:space="preserve">신경 관혈수술</t>
  </si>
  <si>
    <t xml:space="preserve">61</t>
  </si>
  <si>
    <t xml:space="preserve">관혈적 척수종양 절제수술</t>
  </si>
  <si>
    <t xml:space="preserve">62</t>
  </si>
  <si>
    <t xml:space="preserve">척수경막내외 관혈수술</t>
  </si>
  <si>
    <t xml:space="preserve">시각기</t>
  </si>
  <si>
    <t xml:space="preserve">63</t>
  </si>
  <si>
    <t xml:space="preserve">안검하수증 수술</t>
  </si>
  <si>
    <t xml:space="preserve">안검내반증 제외</t>
  </si>
  <si>
    <t xml:space="preserve">64</t>
  </si>
  <si>
    <t xml:space="preserve">누소관 형성수술</t>
  </si>
  <si>
    <t xml:space="preserve">누관튜브삽입술 포함</t>
  </si>
  <si>
    <t xml:space="preserve">65</t>
  </si>
  <si>
    <t xml:space="preserve">누낭비강 관혈수술</t>
  </si>
  <si>
    <t xml:space="preserve">66</t>
  </si>
  <si>
    <t xml:space="preserve">결막낭 형성수술</t>
  </si>
  <si>
    <t xml:space="preserve">67</t>
  </si>
  <si>
    <r>
      <rPr>
        <sz val="10"/>
        <rFont val="WenQuanYi Zen Hei"/>
        <family val="2"/>
      </rPr>
      <t xml:space="preserve">각막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결막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공막 봉합수술</t>
    </r>
  </si>
  <si>
    <t xml:space="preserve">68</t>
  </si>
  <si>
    <r>
      <rPr>
        <sz val="10"/>
        <rFont val="WenQuanYi Zen Hei"/>
        <family val="2"/>
      </rPr>
      <t xml:space="preserve">각막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공막 이식수술</t>
    </r>
  </si>
  <si>
    <t xml:space="preserve">69</t>
  </si>
  <si>
    <r>
      <rPr>
        <sz val="10"/>
        <rFont val="WenQuanYi Zen Hei"/>
        <family val="2"/>
      </rPr>
      <t xml:space="preserve">전방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홍채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유리체 관혈수술</t>
    </r>
  </si>
  <si>
    <t xml:space="preserve">70</t>
  </si>
  <si>
    <t xml:space="preserve">녹내장 관혈수술</t>
  </si>
  <si>
    <t xml:space="preserve">71</t>
  </si>
  <si>
    <r>
      <rPr>
        <sz val="10"/>
        <rFont val="WenQuanYi Zen Hei"/>
        <family val="2"/>
      </rPr>
      <t xml:space="preserve">백내장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수정체 관혈수술</t>
    </r>
  </si>
  <si>
    <t xml:space="preserve">72</t>
  </si>
  <si>
    <t xml:space="preserve">망막박리 수술</t>
  </si>
  <si>
    <t xml:space="preserve">73</t>
  </si>
  <si>
    <t xml:space="preserve">레이저에 의한 안구 수술</t>
  </si>
  <si>
    <r>
      <rPr>
        <sz val="10"/>
        <rFont val="WenQuanYi Zen Hei"/>
        <family val="2"/>
      </rPr>
      <t xml:space="preserve">시력회복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개선 목적 제외 </t>
    </r>
    <r>
      <rPr>
        <sz val="10"/>
        <rFont val="Arial"/>
        <family val="0"/>
        <charset val="1"/>
      </rPr>
      <t xml:space="preserve">/ 60</t>
    </r>
    <r>
      <rPr>
        <sz val="10"/>
        <rFont val="WenQuanYi Zen Hei"/>
        <family val="2"/>
      </rPr>
      <t xml:space="preserve">일내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회이상은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</si>
  <si>
    <t xml:space="preserve">74</t>
  </si>
  <si>
    <t xml:space="preserve">냉동응고에 의한 안구 수술</t>
  </si>
  <si>
    <t xml:space="preserve">75</t>
  </si>
  <si>
    <r>
      <rPr>
        <sz val="10"/>
        <rFont val="WenQuanYi Zen Hei"/>
        <family val="2"/>
      </rPr>
      <t xml:space="preserve">안구적출술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조직충전술</t>
    </r>
  </si>
  <si>
    <t xml:space="preserve">76</t>
  </si>
  <si>
    <t xml:space="preserve">안와내양절제수술</t>
  </si>
  <si>
    <t xml:space="preserve">77</t>
  </si>
  <si>
    <t xml:space="preserve">관혈적 안와내 이물제거수술</t>
  </si>
  <si>
    <t xml:space="preserve">78</t>
  </si>
  <si>
    <t xml:space="preserve">안근 관혈수술</t>
  </si>
  <si>
    <t xml:space="preserve">청각기</t>
  </si>
  <si>
    <t xml:space="preserve">79</t>
  </si>
  <si>
    <t xml:space="preserve">관혈적 고막 성형술</t>
  </si>
  <si>
    <t xml:space="preserve">고막 패치술 제외</t>
  </si>
  <si>
    <t xml:space="preserve">80</t>
  </si>
  <si>
    <t xml:space="preserve">유양동 절제술</t>
  </si>
  <si>
    <t xml:space="preserve">81</t>
  </si>
  <si>
    <t xml:space="preserve">중이 관혈수술</t>
  </si>
  <si>
    <t xml:space="preserve">중이내 튜브유치술 제외</t>
  </si>
  <si>
    <t xml:space="preserve">82</t>
  </si>
  <si>
    <t xml:space="preserve">중이내 튜브유치술</t>
  </si>
  <si>
    <r>
      <rPr>
        <sz val="10"/>
        <rFont val="WenQuanYi Zen Hei"/>
        <family val="2"/>
      </rPr>
      <t xml:space="preserve">고막 패치술 제외 </t>
    </r>
    <r>
      <rPr>
        <sz val="10"/>
        <rFont val="Arial"/>
        <family val="0"/>
        <charset val="1"/>
      </rPr>
      <t xml:space="preserve">/ 60</t>
    </r>
    <r>
      <rPr>
        <sz val="10"/>
        <rFont val="WenQuanYi Zen Hei"/>
        <family val="2"/>
      </rPr>
      <t xml:space="preserve">일내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회이상은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</si>
  <si>
    <t xml:space="preserve">83</t>
  </si>
  <si>
    <t xml:space="preserve">내이 관혈수술</t>
  </si>
  <si>
    <t xml:space="preserve">상기 이외</t>
  </si>
  <si>
    <t xml:space="preserve">84</t>
  </si>
  <si>
    <t xml:space="preserve">상기 이외의 개두술</t>
  </si>
  <si>
    <t xml:space="preserve">85</t>
  </si>
  <si>
    <t xml:space="preserve">상기 이외의 개흉술</t>
  </si>
  <si>
    <t xml:space="preserve">86</t>
  </si>
  <si>
    <t xml:space="preserve">상기 이외의 개복술</t>
  </si>
  <si>
    <t xml:space="preserve">87</t>
  </si>
  <si>
    <r>
      <rPr>
        <sz val="10"/>
        <rFont val="WenQuanYi Zen Hei"/>
        <family val="2"/>
      </rPr>
      <t xml:space="preserve">체외충격파쇄석술</t>
    </r>
    <r>
      <rPr>
        <sz val="10"/>
        <rFont val="Arial"/>
        <family val="0"/>
        <charset val="1"/>
      </rPr>
      <t xml:space="preserve">(ESWL)</t>
    </r>
  </si>
  <si>
    <r>
      <rPr>
        <sz val="10"/>
        <rFont val="WenQuanYi Zen Hei"/>
        <family val="2"/>
      </rPr>
      <t xml:space="preserve">체외충격파치료술 </t>
    </r>
    <r>
      <rPr>
        <sz val="10"/>
        <rFont val="Arial"/>
        <family val="0"/>
        <charset val="1"/>
      </rPr>
      <t xml:space="preserve">ESWT </t>
    </r>
    <r>
      <rPr>
        <sz val="10"/>
        <rFont val="WenQuanYi Zen Hei"/>
        <family val="2"/>
      </rPr>
      <t xml:space="preserve">제외 </t>
    </r>
    <r>
      <rPr>
        <sz val="10"/>
        <rFont val="Arial"/>
        <family val="0"/>
        <charset val="1"/>
      </rPr>
      <t xml:space="preserve">/ 60</t>
    </r>
    <r>
      <rPr>
        <sz val="10"/>
        <rFont val="WenQuanYi Zen Hei"/>
        <family val="2"/>
      </rPr>
      <t xml:space="preserve">일내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회이상은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</si>
  <si>
    <t xml:space="preserve">88-1</t>
  </si>
  <si>
    <r>
      <rPr>
        <sz val="10"/>
        <rFont val="WenQuanYi Zen Hei"/>
        <family val="2"/>
      </rPr>
      <t xml:space="preserve">내시경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카테터 경피적 수술 </t>
    </r>
    <r>
      <rPr>
        <sz val="10"/>
        <rFont val="Arial"/>
        <family val="0"/>
        <charset val="1"/>
      </rPr>
      <t xml:space="preserve">- </t>
    </r>
    <r>
      <rPr>
        <sz val="10"/>
        <rFont val="WenQuanYi Zen Hei"/>
        <family val="2"/>
      </rPr>
      <t xml:space="preserve">뇌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심장</t>
    </r>
  </si>
  <si>
    <t xml:space="preserve">88-2</t>
  </si>
  <si>
    <r>
      <rPr>
        <sz val="10"/>
        <rFont val="WenQuanYi Zen Hei"/>
        <family val="2"/>
      </rPr>
      <t xml:space="preserve">내시경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카테터 경피적 수술 </t>
    </r>
    <r>
      <rPr>
        <sz val="10"/>
        <rFont val="Arial"/>
        <family val="0"/>
        <charset val="1"/>
      </rPr>
      <t xml:space="preserve">- </t>
    </r>
    <r>
      <rPr>
        <sz val="10"/>
        <rFont val="WenQuanYi Zen Hei"/>
        <family val="2"/>
      </rPr>
      <t xml:space="preserve">후두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흉부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복부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비뇨생식제외</t>
    </r>
    <r>
      <rPr>
        <sz val="10"/>
        <rFont val="Arial"/>
        <family val="0"/>
        <charset val="1"/>
      </rPr>
      <t xml:space="preserve">)·</t>
    </r>
    <r>
      <rPr>
        <sz val="10"/>
        <rFont val="WenQuanYi Zen Hei"/>
        <family val="2"/>
      </rPr>
      <t xml:space="preserve">척추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사지관절</t>
    </r>
  </si>
  <si>
    <r>
      <rPr>
        <sz val="10"/>
        <rFont val="WenQuanYi Zen Hei"/>
        <family val="2"/>
      </rPr>
      <t xml:space="preserve">대장 용종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양성신생물 내시경절제는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종</t>
    </r>
  </si>
  <si>
    <t xml:space="preserve">88-3</t>
  </si>
  <si>
    <r>
      <rPr>
        <sz val="10"/>
        <rFont val="WenQuanYi Zen Hei"/>
        <family val="2"/>
      </rPr>
      <t xml:space="preserve">내시경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카테터 경피적 수술 </t>
    </r>
    <r>
      <rPr>
        <sz val="10"/>
        <rFont val="Arial"/>
        <family val="0"/>
        <charset val="1"/>
      </rPr>
      <t xml:space="preserve">- </t>
    </r>
    <r>
      <rPr>
        <sz val="10"/>
        <rFont val="WenQuanYi Zen Hei"/>
        <family val="2"/>
      </rPr>
      <t xml:space="preserve">비뇨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생식기 및 손발가락</t>
    </r>
  </si>
  <si>
    <t xml:space="preserve">악성신생물</t>
  </si>
  <si>
    <t xml:space="preserve">II-1</t>
  </si>
  <si>
    <t xml:space="preserve">관혈적 악성신생물 근치수술</t>
  </si>
  <si>
    <r>
      <rPr>
        <sz val="10"/>
        <rFont val="WenQuanYi Zen Hei"/>
        <family val="2"/>
      </rPr>
      <t xml:space="preserve">내시경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경피적 제외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기타피부암 </t>
    </r>
    <r>
      <rPr>
        <sz val="10"/>
        <rFont val="Arial"/>
        <family val="0"/>
        <charset val="1"/>
      </rPr>
      <t xml:space="preserve">C44 </t>
    </r>
    <r>
      <rPr>
        <sz val="10"/>
        <rFont val="WenQuanYi Zen Hei"/>
        <family val="2"/>
      </rPr>
      <t xml:space="preserve">제외</t>
    </r>
  </si>
  <si>
    <t xml:space="preserve">II-1-1</t>
  </si>
  <si>
    <r>
      <rPr>
        <sz val="10"/>
        <rFont val="WenQuanYi Zen Hei"/>
        <family val="2"/>
      </rPr>
      <t xml:space="preserve">기타피부암</t>
    </r>
    <r>
      <rPr>
        <sz val="10"/>
        <rFont val="Arial"/>
        <family val="0"/>
        <charset val="1"/>
      </rPr>
      <t xml:space="preserve">(C44) </t>
    </r>
    <r>
      <rPr>
        <sz val="10"/>
        <rFont val="WenQuanYi Zen Hei"/>
        <family val="2"/>
      </rPr>
      <t xml:space="preserve">근치수술</t>
    </r>
  </si>
  <si>
    <t xml:space="preserve">II-2</t>
  </si>
  <si>
    <r>
      <rPr>
        <sz val="10"/>
        <rFont val="WenQuanYi Zen Hei"/>
        <family val="2"/>
      </rPr>
      <t xml:space="preserve">내시경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카테터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고주파 악성신생물 수술</t>
    </r>
  </si>
  <si>
    <t xml:space="preserve">II-3</t>
  </si>
  <si>
    <t xml:space="preserve">상기 이외의 기타 악성신생물 수술</t>
  </si>
  <si>
    <t xml:space="preserve">방사선조사</t>
  </si>
  <si>
    <t xml:space="preserve">III-1</t>
  </si>
  <si>
    <t xml:space="preserve">악성신생물 근치 방사선 조사</t>
  </si>
  <si>
    <r>
      <rPr>
        <sz val="10"/>
        <rFont val="Arial"/>
        <family val="0"/>
        <charset val="1"/>
      </rPr>
      <t xml:space="preserve">5,000Rad </t>
    </r>
    <r>
      <rPr>
        <sz val="10"/>
        <rFont val="WenQuanYi Zen Hei"/>
        <family val="2"/>
      </rPr>
      <t xml:space="preserve">이상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사이버나이프 포함 </t>
    </r>
    <r>
      <rPr>
        <sz val="10"/>
        <rFont val="Arial"/>
        <family val="0"/>
        <charset val="1"/>
      </rPr>
      <t xml:space="preserve">/ 60</t>
    </r>
    <r>
      <rPr>
        <sz val="10"/>
        <rFont val="WenQuanYi Zen Hei"/>
        <family val="2"/>
      </rPr>
      <t xml:space="preserve">일내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회이상은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</si>
  <si>
    <t xml:space="preserve">III-2</t>
  </si>
  <si>
    <t xml:space="preserve">두개내 신생물 근치 감마나이프 정위방사선치료</t>
  </si>
  <si>
    <t xml:space="preserve">구분</t>
  </si>
  <si>
    <t xml:space="preserve">약관 내용</t>
  </si>
  <si>
    <r>
      <rPr>
        <sz val="10"/>
        <rFont val="WenQuanYi Zen Hei"/>
        <family val="2"/>
      </rPr>
      <t xml:space="preserve">주</t>
    </r>
    <r>
      <rPr>
        <sz val="10"/>
        <rFont val="Arial"/>
        <family val="0"/>
        <charset val="1"/>
      </rPr>
      <t xml:space="preserve">1</t>
    </r>
  </si>
  <si>
    <r>
      <rPr>
        <sz val="10"/>
        <rFont val="WenQuanYi Zen Hei"/>
        <family val="2"/>
      </rPr>
      <t xml:space="preserve">근골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筋骨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수술에서 발정술 등 내고정물 제거술은 제외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치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치은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치근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치조골 처치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임플란트 등 치과 처치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수술도 제외</t>
    </r>
  </si>
  <si>
    <r>
      <rPr>
        <sz val="10"/>
        <rFont val="WenQuanYi Zen Hei"/>
        <family val="2"/>
      </rPr>
      <t xml:space="preserve">주</t>
    </r>
    <r>
      <rPr>
        <sz val="10"/>
        <rFont val="Arial"/>
        <family val="0"/>
        <charset val="1"/>
      </rPr>
      <t xml:space="preserve">2</t>
    </r>
  </si>
  <si>
    <r>
      <rPr>
        <sz val="10"/>
        <rFont val="Arial"/>
        <family val="0"/>
        <charset val="1"/>
      </rPr>
      <t xml:space="preserve">1~87</t>
    </r>
    <r>
      <rPr>
        <sz val="10"/>
        <rFont val="WenQuanYi Zen Hei"/>
        <family val="2"/>
      </rPr>
      <t xml:space="preserve">항 수술 중 내시경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카테터 등 경피적 수술은 </t>
    </r>
    <r>
      <rPr>
        <sz val="10"/>
        <rFont val="Arial"/>
        <family val="0"/>
        <charset val="1"/>
      </rPr>
      <t xml:space="preserve">88</t>
    </r>
    <r>
      <rPr>
        <sz val="10"/>
        <rFont val="WenQuanYi Zen Hei"/>
        <family val="2"/>
      </rPr>
      <t xml:space="preserve">항 적용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단 복강경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흉강경 수술은 해당 부위</t>
    </r>
    <r>
      <rPr>
        <sz val="10"/>
        <rFont val="Arial"/>
        <family val="0"/>
        <charset val="1"/>
      </rPr>
      <t xml:space="preserve">(1~87</t>
    </r>
    <r>
      <rPr>
        <sz val="10"/>
        <rFont val="WenQuanYi Zen Hei"/>
        <family val="2"/>
      </rPr>
      <t xml:space="preserve">항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수술로 적용</t>
    </r>
  </si>
  <si>
    <t xml:space="preserve">약물주입술은 제외</t>
  </si>
  <si>
    <r>
      <rPr>
        <sz val="10"/>
        <rFont val="Arial"/>
        <family val="0"/>
        <charset val="1"/>
      </rPr>
      <t xml:space="preserve">88</t>
    </r>
    <r>
      <rPr>
        <sz val="10"/>
        <rFont val="WenQuanYi Zen Hei"/>
        <family val="2"/>
      </rPr>
      <t xml:space="preserve">항</t>
    </r>
  </si>
  <si>
    <r>
      <rPr>
        <sz val="10"/>
        <rFont val="WenQuanYi Zen Hei"/>
        <family val="2"/>
      </rPr>
      <t xml:space="preserve">검사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처치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약물주입요법은 포함하지 않음 </t>
    </r>
    <r>
      <rPr>
        <sz val="10"/>
        <rFont val="Arial"/>
        <family val="0"/>
        <charset val="1"/>
      </rPr>
      <t xml:space="preserve">· 60</t>
    </r>
    <r>
      <rPr>
        <sz val="10"/>
        <rFont val="WenQuanYi Zen Hei"/>
        <family val="2"/>
      </rPr>
      <t xml:space="preserve">일 이내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회 이상은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회로 간주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이후 반복 지급 가능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</si>
  <si>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Ⅱ 주</t>
    </r>
    <r>
      <rPr>
        <sz val="10"/>
        <rFont val="Arial"/>
        <family val="0"/>
        <charset val="1"/>
      </rPr>
      <t xml:space="preserve">1</t>
    </r>
  </si>
  <si>
    <r>
      <rPr>
        <sz val="10"/>
        <rFont val="WenQuanYi Zen Hei"/>
        <family val="2"/>
      </rPr>
      <t xml:space="preserve">제자리암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경계성종양 수술은 「Ⅰ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일반 질병 및 상해 치료목적의 수술」 적용</t>
    </r>
  </si>
  <si>
    <r>
      <rPr>
        <sz val="10"/>
        <rFont val="WenQuanYi Zen Hei"/>
        <family val="2"/>
      </rPr>
      <t xml:space="preserve">Ⅱ 주</t>
    </r>
    <r>
      <rPr>
        <sz val="10"/>
        <rFont val="Arial"/>
        <family val="0"/>
        <charset val="1"/>
      </rPr>
      <t xml:space="preserve">2</t>
    </r>
  </si>
  <si>
    <r>
      <rPr>
        <sz val="10"/>
        <rFont val="WenQuanYi Zen Hei"/>
        <family val="2"/>
      </rPr>
      <t xml:space="preserve">카테터를 이용한 흡인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천자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약물주입요법은 포함하지 않음</t>
    </r>
  </si>
  <si>
    <r>
      <rPr>
        <sz val="10"/>
        <rFont val="WenQuanYi Zen Hei"/>
        <family val="2"/>
      </rPr>
      <t xml:space="preserve">Ⅱ 주</t>
    </r>
    <r>
      <rPr>
        <sz val="10"/>
        <rFont val="Arial"/>
        <family val="0"/>
        <charset val="1"/>
      </rPr>
      <t xml:space="preserve">3</t>
    </r>
  </si>
  <si>
    <r>
      <rPr>
        <sz val="10"/>
        <rFont val="WenQuanYi Zen Hei"/>
        <family val="2"/>
      </rPr>
      <t xml:space="preserve">비고형암의 비관혈적 근치술은 관혈적 악성신생물 근치수술</t>
    </r>
    <r>
      <rPr>
        <sz val="10"/>
        <rFont val="Arial"/>
        <family val="0"/>
        <charset val="1"/>
      </rPr>
      <t xml:space="preserve">(5</t>
    </r>
    <r>
      <rPr>
        <sz val="10"/>
        <rFont val="WenQuanYi Zen Hei"/>
        <family val="2"/>
      </rPr>
      <t xml:space="preserve">종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에 준해 인정 — 조혈모세포이식은 일련의 과정을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회로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약물 투여용 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중심정맥삽관 등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만 하면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종 아님</t>
    </r>
  </si>
  <si>
    <r>
      <rPr>
        <sz val="10"/>
        <rFont val="WenQuanYi Zen Hei"/>
        <family val="2"/>
      </rPr>
      <t xml:space="preserve">Ⅱ 주</t>
    </r>
    <r>
      <rPr>
        <sz val="10"/>
        <rFont val="Arial"/>
        <family val="0"/>
        <charset val="1"/>
      </rPr>
      <t xml:space="preserve">4</t>
    </r>
  </si>
  <si>
    <r>
      <rPr>
        <sz val="10"/>
        <rFont val="WenQuanYi Zen Hei"/>
        <family val="2"/>
      </rPr>
      <t xml:space="preserve">Ⅱ 항목에서 복강경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흉강경 수술은 </t>
    </r>
    <r>
      <rPr>
        <sz val="10"/>
        <rFont val="Arial"/>
        <family val="0"/>
        <charset val="1"/>
      </rPr>
      <t xml:space="preserve">1. </t>
    </r>
    <r>
      <rPr>
        <sz val="10"/>
        <rFont val="WenQuanYi Zen Hei"/>
        <family val="2"/>
      </rPr>
      <t xml:space="preserve">또는 </t>
    </r>
    <r>
      <rPr>
        <sz val="10"/>
        <rFont val="Arial"/>
        <family val="0"/>
        <charset val="1"/>
      </rPr>
      <t xml:space="preserve">3. </t>
    </r>
    <r>
      <rPr>
        <sz val="10"/>
        <rFont val="WenQuanYi Zen Hei"/>
        <family val="2"/>
      </rPr>
      <t xml:space="preserve">으로 적용</t>
    </r>
  </si>
  <si>
    <t xml:space="preserve">Ⅲ 주</t>
  </si>
  <si>
    <r>
      <rPr>
        <sz val="10"/>
        <rFont val="WenQuanYi Zen Hei"/>
        <family val="2"/>
      </rPr>
      <t xml:space="preserve">방사선 조사 </t>
    </r>
    <r>
      <rPr>
        <sz val="10"/>
        <rFont val="Arial"/>
        <family val="0"/>
        <charset val="1"/>
      </rPr>
      <t xml:space="preserve">: 60</t>
    </r>
    <r>
      <rPr>
        <sz val="10"/>
        <rFont val="WenQuanYi Zen Hei"/>
        <family val="2"/>
      </rPr>
      <t xml:space="preserve">일 이내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회 이상은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회로 간주</t>
    </r>
  </si>
  <si>
    <r>
      <rPr>
        <sz val="10"/>
        <rFont val="WenQuanYi Zen Hei"/>
        <family val="2"/>
      </rPr>
      <t xml:space="preserve">사용지침 </t>
    </r>
    <r>
      <rPr>
        <sz val="10"/>
        <rFont val="Arial"/>
        <family val="0"/>
        <charset val="1"/>
      </rPr>
      <t xml:space="preserve">8</t>
    </r>
  </si>
  <si>
    <r>
      <rPr>
        <sz val="10"/>
        <rFont val="WenQuanYi Zen Hei"/>
        <family val="2"/>
      </rPr>
      <t xml:space="preserve">지급 제외 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흡인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천자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신경차단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미용성형 목적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피임 목적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불임술 후 가임 목적 포함</t>
    </r>
    <r>
      <rPr>
        <sz val="10"/>
        <rFont val="Arial"/>
        <family val="0"/>
        <charset val="1"/>
      </rPr>
      <t xml:space="preserve">) · </t>
    </r>
    <r>
      <rPr>
        <sz val="10"/>
        <rFont val="WenQuanYi Zen Hei"/>
        <family val="2"/>
      </rPr>
      <t xml:space="preserve">검사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진단 목적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생검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복강경검사 등</t>
    </r>
    <r>
      <rPr>
        <sz val="10"/>
        <rFont val="Arial"/>
        <family val="0"/>
        <charset val="1"/>
      </rPr>
      <t xml:space="preserve">) · </t>
    </r>
    <r>
      <rPr>
        <sz val="10"/>
        <rFont val="WenQuanYi Zen Hei"/>
        <family val="2"/>
      </rPr>
      <t xml:space="preserve">분류표에 없는 시술</t>
    </r>
  </si>
  <si>
    <r>
      <rPr>
        <sz val="10"/>
        <rFont val="WenQuanYi Zen Hei"/>
        <family val="2"/>
      </rPr>
      <t xml:space="preserve">사용지침 </t>
    </r>
    <r>
      <rPr>
        <sz val="10"/>
        <rFont val="Arial"/>
        <family val="0"/>
        <charset val="1"/>
      </rPr>
      <t xml:space="preserve">5</t>
    </r>
  </si>
  <si>
    <r>
      <rPr>
        <sz val="10"/>
        <rFont val="WenQuanYi Zen Hei"/>
        <family val="2"/>
      </rPr>
      <t xml:space="preserve">분류표에 없는 첨단 수술 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신의료기술평가위원회 인정 최신 수술기법은 동일 부위 수술로 봄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내시경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경피적이면 </t>
    </r>
    <r>
      <rPr>
        <sz val="10"/>
        <rFont val="Arial"/>
        <family val="0"/>
        <charset val="1"/>
      </rPr>
      <t xml:space="preserve">88</t>
    </r>
    <r>
      <rPr>
        <sz val="10"/>
        <rFont val="WenQuanYi Zen Hei"/>
        <family val="2"/>
      </rPr>
      <t xml:space="preserve">항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악성은 Ⅱ</t>
    </r>
    <r>
      <rPr>
        <sz val="10"/>
        <rFont val="Arial"/>
        <family val="0"/>
        <charset val="1"/>
      </rPr>
      <t xml:space="preserve">-2 </t>
    </r>
    <r>
      <rPr>
        <sz val="10"/>
        <rFont val="WenQuanYi Zen Hei"/>
        <family val="2"/>
      </rPr>
      <t xml:space="preserve">우선</t>
    </r>
    <r>
      <rPr>
        <sz val="10"/>
        <rFont val="Arial"/>
        <family val="0"/>
        <charset val="1"/>
      </rPr>
      <t xml:space="preserve">)</t>
    </r>
  </si>
  <si>
    <r>
      <rPr>
        <i val="true"/>
        <sz val="10"/>
        <color rgb="FF46536B"/>
        <rFont val="Arial"/>
        <family val="0"/>
        <charset val="1"/>
      </rPr>
      <t xml:space="preserve">1-7</t>
    </r>
    <r>
      <rPr>
        <i val="true"/>
        <sz val="10"/>
        <color rgb="FF46536B"/>
        <rFont val="WenQuanYi Zen Hei"/>
        <family val="2"/>
      </rPr>
      <t xml:space="preserve">종 수술분류표</t>
    </r>
    <r>
      <rPr>
        <i val="true"/>
        <sz val="10"/>
        <color rgb="FF46536B"/>
        <rFont val="Arial"/>
        <family val="0"/>
        <charset val="1"/>
      </rPr>
      <t xml:space="preserve">(</t>
    </r>
    <r>
      <rPr>
        <i val="true"/>
        <sz val="10"/>
        <color rgb="FF46536B"/>
        <rFont val="WenQuanYi Zen Hei"/>
        <family val="2"/>
      </rPr>
      <t xml:space="preserve">별표</t>
    </r>
    <r>
      <rPr>
        <i val="true"/>
        <sz val="10"/>
        <color rgb="FF46536B"/>
        <rFont val="Arial"/>
        <family val="0"/>
        <charset val="1"/>
      </rPr>
      <t xml:space="preserve">3) — </t>
    </r>
    <r>
      <rPr>
        <i val="true"/>
        <sz val="10"/>
        <color rgb="FF46536B"/>
        <rFont val="WenQuanYi Zen Hei"/>
        <family val="2"/>
      </rPr>
      <t xml:space="preserve">건강보험 급여 수술</t>
    </r>
    <r>
      <rPr>
        <i val="true"/>
        <sz val="10"/>
        <color rgb="FF46536B"/>
        <rFont val="Arial"/>
        <family val="0"/>
        <charset val="1"/>
      </rPr>
      <t xml:space="preserve">(DRG/ADRG </t>
    </r>
    <r>
      <rPr>
        <i val="true"/>
        <sz val="10"/>
        <color rgb="FF46536B"/>
        <rFont val="WenQuanYi Zen Hei"/>
        <family val="2"/>
      </rPr>
      <t xml:space="preserve">코드</t>
    </r>
    <r>
      <rPr>
        <i val="true"/>
        <sz val="10"/>
        <color rgb="FF46536B"/>
        <rFont val="Arial"/>
        <family val="0"/>
        <charset val="1"/>
      </rPr>
      <t xml:space="preserve">) </t>
    </r>
    <r>
      <rPr>
        <i val="true"/>
        <sz val="10"/>
        <color rgb="FF46536B"/>
        <rFont val="WenQuanYi Zen Hei"/>
        <family val="2"/>
      </rPr>
      <t xml:space="preserve">기준 </t>
    </r>
    <r>
      <rPr>
        <i val="true"/>
        <sz val="10"/>
        <color rgb="FF46536B"/>
        <rFont val="Arial"/>
        <family val="0"/>
        <charset val="1"/>
      </rPr>
      <t xml:space="preserve">· </t>
    </r>
    <r>
      <rPr>
        <i val="true"/>
        <sz val="10"/>
        <color rgb="FF46536B"/>
        <rFont val="WenQuanYi Zen Hei"/>
        <family val="2"/>
      </rPr>
      <t xml:space="preserve">비급여 제외 </t>
    </r>
    <r>
      <rPr>
        <i val="true"/>
        <sz val="10"/>
        <color rgb="FF46536B"/>
        <rFont val="Arial"/>
        <family val="0"/>
        <charset val="1"/>
      </rPr>
      <t xml:space="preserve">· 2·3</t>
    </r>
    <r>
      <rPr>
        <i val="true"/>
        <sz val="10"/>
        <color rgb="FF46536B"/>
        <rFont val="WenQuanYi Zen Hei"/>
        <family val="2"/>
      </rPr>
      <t xml:space="preserve">번째 자리 </t>
    </r>
    <r>
      <rPr>
        <i val="true"/>
        <sz val="10"/>
        <color rgb="FF46536B"/>
        <rFont val="Arial"/>
        <family val="0"/>
        <charset val="1"/>
      </rPr>
      <t xml:space="preserve">60~99, Error DRG(961·962·963·990·999)·960 DRG </t>
    </r>
    <r>
      <rPr>
        <i val="true"/>
        <sz val="10"/>
        <color rgb="FF46536B"/>
        <rFont val="WenQuanYi Zen Hei"/>
        <family val="2"/>
      </rPr>
      <t xml:space="preserve">제외</t>
    </r>
    <r>
      <rPr>
        <i val="true"/>
        <sz val="10"/>
        <color rgb="FF46536B"/>
        <rFont val="Arial"/>
        <family val="0"/>
        <charset val="1"/>
      </rPr>
      <t xml:space="preserve">. </t>
    </r>
    <r>
      <rPr>
        <i val="true"/>
        <sz val="10"/>
        <color rgb="FF46536B"/>
        <rFont val="WenQuanYi Zen Hei"/>
        <family val="2"/>
      </rPr>
      <t xml:space="preserve">상해</t>
    </r>
    <r>
      <rPr>
        <i val="true"/>
        <sz val="10"/>
        <color rgb="FF46536B"/>
        <rFont val="Arial"/>
        <family val="0"/>
        <charset val="1"/>
      </rPr>
      <t xml:space="preserve">·</t>
    </r>
    <r>
      <rPr>
        <i val="true"/>
        <sz val="10"/>
        <color rgb="FF46536B"/>
        <rFont val="WenQuanYi Zen Hei"/>
        <family val="2"/>
      </rPr>
      <t xml:space="preserve">질병 담보 별도</t>
    </r>
  </si>
  <si>
    <t xml:space="preserve">구분번호</t>
  </si>
  <si>
    <t xml:space="preserve">수술구분</t>
  </si>
  <si>
    <r>
      <rPr>
        <b val="true"/>
        <sz val="11"/>
        <color rgb="FFFFFFFF"/>
        <rFont val="WenQuanYi Zen Hei"/>
        <family val="2"/>
      </rPr>
      <t xml:space="preserve">수술코드</t>
    </r>
    <r>
      <rPr>
        <b val="true"/>
        <sz val="11"/>
        <color rgb="FFFFFFFF"/>
        <rFont val="Arial"/>
        <family val="0"/>
        <charset val="1"/>
      </rPr>
      <t xml:space="preserve">(ADRG)</t>
    </r>
  </si>
  <si>
    <r>
      <rPr>
        <b val="true"/>
        <sz val="11"/>
        <color rgb="FFFFFFFF"/>
        <rFont val="WenQuanYi Zen Hei"/>
        <family val="2"/>
      </rPr>
      <t xml:space="preserve">해설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참고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</si>
  <si>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간 이식</t>
  </si>
  <si>
    <t xml:space="preserve">A010</t>
  </si>
  <si>
    <r>
      <rPr>
        <sz val="10"/>
        <rFont val="WenQuanYi Zen Hei"/>
        <family val="2"/>
      </rPr>
      <t xml:space="preserve">장기이식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기타</t>
    </r>
  </si>
  <si>
    <t xml:space="preserve">말기 간질환 환자에게 공여자의 간을 이식하는 수술</t>
  </si>
  <si>
    <t xml:space="preserve">폐 이식</t>
  </si>
  <si>
    <t xml:space="preserve">A020</t>
  </si>
  <si>
    <t xml:space="preserve">말기 폐질환 환자에게 공여자의 폐를 이식하는 수술</t>
  </si>
  <si>
    <t xml:space="preserve">심장 이식</t>
  </si>
  <si>
    <t xml:space="preserve">A030</t>
  </si>
  <si>
    <t xml:space="preserve">심부전 등에서 공여자의 심장을 이식하는 수술</t>
  </si>
  <si>
    <t xml:space="preserve">췌장 이식</t>
  </si>
  <si>
    <t xml:space="preserve">A040</t>
  </si>
  <si>
    <t xml:space="preserve">당뇨 등에서 공여자의 췌장을 이식하는 수술</t>
  </si>
  <si>
    <t xml:space="preserve">소장 이식</t>
  </si>
  <si>
    <t xml:space="preserve">A050</t>
  </si>
  <si>
    <t xml:space="preserve">장부전 환자에게 공여자의 소장을 이식하는 수술</t>
  </si>
  <si>
    <t xml:space="preserve">조혈모세포이식</t>
  </si>
  <si>
    <t xml:space="preserve">A061</t>
  </si>
  <si>
    <r>
      <rPr>
        <sz val="10"/>
        <rFont val="WenQuanYi Zen Hei"/>
        <family val="2"/>
      </rPr>
      <t xml:space="preserve">조혈모세포 이식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동종이식</t>
    </r>
  </si>
  <si>
    <t xml:space="preserve">A062</t>
  </si>
  <si>
    <r>
      <rPr>
        <sz val="10"/>
        <rFont val="WenQuanYi Zen Hei"/>
        <family val="2"/>
      </rPr>
      <t xml:space="preserve">조혈모세포 이식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자가이식</t>
    </r>
  </si>
  <si>
    <t xml:space="preserve">신장 이식</t>
  </si>
  <si>
    <t xml:space="preserve">A070</t>
  </si>
  <si>
    <t xml:space="preserve">말기 신부전 환자에게 공여자의 신장을 이식하는 수술</t>
  </si>
  <si>
    <r>
      <rPr>
        <sz val="10"/>
        <rFont val="WenQuanYi Zen Hei"/>
        <family val="2"/>
      </rPr>
      <t xml:space="preserve">체외순환막형산화요법</t>
    </r>
    <r>
      <rPr>
        <sz val="10"/>
        <rFont val="Arial"/>
        <family val="0"/>
        <charset val="1"/>
      </rPr>
      <t xml:space="preserve">(ECMO), </t>
    </r>
    <r>
      <rPr>
        <sz val="10"/>
        <rFont val="WenQuanYi Zen Hei"/>
        <family val="2"/>
      </rPr>
      <t xml:space="preserve">개심술 미동반</t>
    </r>
  </si>
  <si>
    <t xml:space="preserve">A080</t>
  </si>
  <si>
    <r>
      <rPr>
        <sz val="10"/>
        <rFont val="WenQuanYi Zen Hei"/>
        <family val="2"/>
      </rPr>
      <t xml:space="preserve">심폐기능 부전 시 체외에서 산소를 공급하는 장치 삽입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개심술 미동반</t>
    </r>
    <r>
      <rPr>
        <sz val="10"/>
        <rFont val="Arial"/>
        <family val="0"/>
        <charset val="1"/>
      </rPr>
      <t xml:space="preserve">)</t>
    </r>
  </si>
  <si>
    <t xml:space="preserve">기관절개술</t>
  </si>
  <si>
    <t xml:space="preserve">A091</t>
  </si>
  <si>
    <r>
      <rPr>
        <sz val="10"/>
        <rFont val="WenQuanYi Zen Hei"/>
        <family val="2"/>
      </rPr>
      <t xml:space="preserve">기관절개술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안면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구강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경부 장애의 경우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인공호흡기 장기사용</t>
    </r>
  </si>
  <si>
    <t xml:space="preserve">A092</t>
  </si>
  <si>
    <r>
      <rPr>
        <sz val="10"/>
        <rFont val="WenQuanYi Zen Hei"/>
        <family val="2"/>
      </rPr>
      <t xml:space="preserve">기관절개술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안면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구강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경부 장애의 경우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인공호흡기 단기사용</t>
    </r>
  </si>
  <si>
    <t xml:space="preserve">A093</t>
  </si>
  <si>
    <r>
      <rPr>
        <sz val="10"/>
        <rFont val="WenQuanYi Zen Hei"/>
        <family val="2"/>
      </rPr>
      <t xml:space="preserve">기관절개술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안면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구강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경부 장애의 경우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인공호흡기 미사용</t>
    </r>
  </si>
  <si>
    <t xml:space="preserve">A094</t>
  </si>
  <si>
    <r>
      <rPr>
        <sz val="10"/>
        <rFont val="WenQuanYi Zen Hei"/>
        <family val="2"/>
      </rPr>
      <t xml:space="preserve">기관절개술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안면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구강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경부 장애 제외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인공호흡기 장기사용</t>
    </r>
  </si>
  <si>
    <t xml:space="preserve">A095</t>
  </si>
  <si>
    <r>
      <rPr>
        <sz val="10"/>
        <rFont val="WenQuanYi Zen Hei"/>
        <family val="2"/>
      </rPr>
      <t xml:space="preserve">기관절개술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안면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구강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경부 장애 제외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인공호흡기 단기사용</t>
    </r>
  </si>
  <si>
    <t xml:space="preserve">A096</t>
  </si>
  <si>
    <r>
      <rPr>
        <sz val="10"/>
        <rFont val="WenQuanYi Zen Hei"/>
        <family val="2"/>
      </rPr>
      <t xml:space="preserve">기관절개술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안면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구강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경부 장애 제외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인공호흡기 미사용</t>
    </r>
  </si>
  <si>
    <t xml:space="preserve">사지 이식</t>
  </si>
  <si>
    <t xml:space="preserve">A100</t>
  </si>
  <si>
    <r>
      <rPr>
        <sz val="10"/>
        <rFont val="WenQuanYi Zen Hei"/>
        <family val="2"/>
      </rPr>
      <t xml:space="preserve">절단된 팔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다리를 이식하는 수술</t>
    </r>
  </si>
  <si>
    <t xml:space="preserve">뇌동맥류수술</t>
  </si>
  <si>
    <t xml:space="preserve">B011</t>
  </si>
  <si>
    <r>
      <rPr>
        <sz val="10"/>
        <rFont val="WenQuanYi Zen Hei"/>
        <family val="2"/>
      </rPr>
      <t xml:space="preserve">복잡 뇌동맥류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뇌졸중 동반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</si>
  <si>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신경계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뇌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척추</t>
    </r>
    <r>
      <rPr>
        <sz val="10"/>
        <rFont val="Arial"/>
        <family val="0"/>
        <charset val="1"/>
      </rPr>
      <t xml:space="preserve">)</t>
    </r>
  </si>
  <si>
    <t xml:space="preserve">B012</t>
  </si>
  <si>
    <r>
      <rPr>
        <sz val="10"/>
        <rFont val="WenQuanYi Zen Hei"/>
        <family val="2"/>
      </rPr>
      <t xml:space="preserve">단순 뇌동맥류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뇌졸중 동반</t>
    </r>
    <r>
      <rPr>
        <sz val="10"/>
        <rFont val="Arial"/>
        <family val="0"/>
        <charset val="1"/>
      </rPr>
      <t xml:space="preserve">)</t>
    </r>
  </si>
  <si>
    <t xml:space="preserve">B013</t>
  </si>
  <si>
    <r>
      <rPr>
        <sz val="10"/>
        <rFont val="WenQuanYi Zen Hei"/>
        <family val="2"/>
      </rPr>
      <t xml:space="preserve">복잡 뇌동맥류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뇌졸중 미동반</t>
    </r>
    <r>
      <rPr>
        <sz val="10"/>
        <rFont val="Arial"/>
        <family val="0"/>
        <charset val="1"/>
      </rPr>
      <t xml:space="preserve">)</t>
    </r>
  </si>
  <si>
    <t xml:space="preserve">B014</t>
  </si>
  <si>
    <r>
      <rPr>
        <sz val="10"/>
        <rFont val="WenQuanYi Zen Hei"/>
        <family val="2"/>
      </rPr>
      <t xml:space="preserve">단순 뇌동맥류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뇌졸중 미동반</t>
    </r>
    <r>
      <rPr>
        <sz val="10"/>
        <rFont val="Arial"/>
        <family val="0"/>
        <charset val="1"/>
      </rPr>
      <t xml:space="preserve">)</t>
    </r>
  </si>
  <si>
    <t xml:space="preserve">B015</t>
  </si>
  <si>
    <r>
      <rPr>
        <sz val="10"/>
        <rFont val="WenQuanYi Zen Hei"/>
        <family val="2"/>
      </rPr>
      <t xml:space="preserve">뇌동맥류 색전술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뇌졸중 동반</t>
    </r>
    <r>
      <rPr>
        <sz val="10"/>
        <rFont val="Arial"/>
        <family val="0"/>
        <charset val="1"/>
      </rPr>
      <t xml:space="preserve">)</t>
    </r>
  </si>
  <si>
    <t xml:space="preserve">B016</t>
  </si>
  <si>
    <r>
      <rPr>
        <sz val="10"/>
        <rFont val="WenQuanYi Zen Hei"/>
        <family val="2"/>
      </rPr>
      <t xml:space="preserve">뇌동맥류 색전술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뇌졸중 미동반</t>
    </r>
    <r>
      <rPr>
        <sz val="10"/>
        <rFont val="Arial"/>
        <family val="0"/>
        <charset val="1"/>
      </rPr>
      <t xml:space="preserve">)</t>
    </r>
  </si>
  <si>
    <t xml:space="preserve">B017</t>
  </si>
  <si>
    <r>
      <rPr>
        <sz val="10"/>
        <rFont val="WenQuanYi Zen Hei"/>
        <family val="2"/>
      </rPr>
      <t xml:space="preserve">뇌동맥류 복합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뇌졸중 동반</t>
    </r>
    <r>
      <rPr>
        <sz val="10"/>
        <rFont val="Arial"/>
        <family val="0"/>
        <charset val="1"/>
      </rPr>
      <t xml:space="preserve">)</t>
    </r>
  </si>
  <si>
    <t xml:space="preserve">B018</t>
  </si>
  <si>
    <r>
      <rPr>
        <sz val="10"/>
        <rFont val="WenQuanYi Zen Hei"/>
        <family val="2"/>
      </rPr>
      <t xml:space="preserve">뇌동맥류 복합 색전술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뇌졸중 미동반</t>
    </r>
    <r>
      <rPr>
        <sz val="10"/>
        <rFont val="Arial"/>
        <family val="0"/>
        <charset val="1"/>
      </rPr>
      <t xml:space="preserve">)</t>
    </r>
  </si>
  <si>
    <t xml:space="preserve">뇌혈관수술</t>
  </si>
  <si>
    <t xml:space="preserve">B021</t>
  </si>
  <si>
    <r>
      <rPr>
        <sz val="10"/>
        <rFont val="WenQuanYi Zen Hei"/>
        <family val="2"/>
      </rPr>
      <t xml:space="preserve">두개내 혈관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뇌졸중 동반</t>
    </r>
    <r>
      <rPr>
        <sz val="10"/>
        <rFont val="Arial"/>
        <family val="0"/>
        <charset val="1"/>
      </rPr>
      <t xml:space="preserve">)</t>
    </r>
  </si>
  <si>
    <t xml:space="preserve">B022</t>
  </si>
  <si>
    <r>
      <rPr>
        <sz val="10"/>
        <rFont val="WenQuanYi Zen Hei"/>
        <family val="2"/>
      </rPr>
      <t xml:space="preserve">두개내 혈관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뇌졸중 미동반</t>
    </r>
    <r>
      <rPr>
        <sz val="10"/>
        <rFont val="Arial"/>
        <family val="0"/>
        <charset val="1"/>
      </rPr>
      <t xml:space="preserve">)</t>
    </r>
  </si>
  <si>
    <t xml:space="preserve">B023</t>
  </si>
  <si>
    <r>
      <rPr>
        <sz val="10"/>
        <rFont val="WenQuanYi Zen Hei"/>
        <family val="2"/>
      </rPr>
      <t xml:space="preserve">뇌신경계 혈관기형 및동정맥루 색전술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뇌졸중 동반</t>
    </r>
    <r>
      <rPr>
        <sz val="10"/>
        <rFont val="Arial"/>
        <family val="0"/>
        <charset val="1"/>
      </rPr>
      <t xml:space="preserve">)</t>
    </r>
  </si>
  <si>
    <t xml:space="preserve">B024</t>
  </si>
  <si>
    <r>
      <rPr>
        <sz val="10"/>
        <rFont val="WenQuanYi Zen Hei"/>
        <family val="2"/>
      </rPr>
      <t xml:space="preserve">뇌신경계 혈관기형 및동정맥루 색전술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뇌졸중 미동반</t>
    </r>
    <r>
      <rPr>
        <sz val="10"/>
        <rFont val="Arial"/>
        <family val="0"/>
        <charset val="1"/>
      </rPr>
      <t xml:space="preserve">)</t>
    </r>
  </si>
  <si>
    <t xml:space="preserve">B025</t>
  </si>
  <si>
    <r>
      <rPr>
        <sz val="10"/>
        <rFont val="WenQuanYi Zen Hei"/>
        <family val="2"/>
      </rPr>
      <t xml:space="preserve">경피적 뇌혈관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협착∙폐쇄 및 혈전제거동시의 경우</t>
    </r>
    <r>
      <rPr>
        <sz val="10"/>
        <rFont val="Arial"/>
        <family val="0"/>
        <charset val="1"/>
      </rPr>
      <t xml:space="preserve">)</t>
    </r>
  </si>
  <si>
    <t xml:space="preserve">B026</t>
  </si>
  <si>
    <r>
      <rPr>
        <sz val="10"/>
        <rFont val="WenQuanYi Zen Hei"/>
        <family val="2"/>
      </rPr>
      <t xml:space="preserve">경피적 뇌혈관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협착 및 폐쇄의 경우</t>
    </r>
    <r>
      <rPr>
        <sz val="10"/>
        <rFont val="Arial"/>
        <family val="0"/>
        <charset val="1"/>
      </rPr>
      <t xml:space="preserve">)</t>
    </r>
  </si>
  <si>
    <t xml:space="preserve">B027</t>
  </si>
  <si>
    <r>
      <rPr>
        <sz val="10"/>
        <rFont val="WenQuanYi Zen Hei"/>
        <family val="2"/>
      </rPr>
      <t xml:space="preserve">경피적 뇌혈관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혈전제거의 경우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</si>
  <si>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혈종제거술및 기타개두술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외상제외</t>
    </r>
    <r>
      <rPr>
        <sz val="10"/>
        <rFont val="Arial"/>
        <family val="0"/>
        <charset val="1"/>
      </rPr>
      <t xml:space="preserve">)</t>
    </r>
  </si>
  <si>
    <t xml:space="preserve">B031</t>
  </si>
  <si>
    <r>
      <rPr>
        <sz val="10"/>
        <rFont val="WenQuanYi Zen Hei"/>
        <family val="2"/>
      </rPr>
      <t xml:space="preserve">혈종제거술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외상 제외</t>
    </r>
    <r>
      <rPr>
        <sz val="10"/>
        <rFont val="Arial"/>
        <family val="0"/>
        <charset val="1"/>
      </rPr>
      <t xml:space="preserve">)</t>
    </r>
  </si>
  <si>
    <t xml:space="preserve">B032</t>
  </si>
  <si>
    <r>
      <rPr>
        <sz val="10"/>
        <rFont val="WenQuanYi Zen Hei"/>
        <family val="2"/>
      </rPr>
      <t xml:space="preserve">두개내 감압술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외상 제외</t>
    </r>
    <r>
      <rPr>
        <sz val="10"/>
        <rFont val="Arial"/>
        <family val="0"/>
        <charset val="1"/>
      </rPr>
      <t xml:space="preserve">)</t>
    </r>
  </si>
  <si>
    <t xml:space="preserve">B033</t>
  </si>
  <si>
    <r>
      <rPr>
        <sz val="10"/>
        <rFont val="WenQuanYi Zen Hei"/>
        <family val="2"/>
      </rPr>
      <t xml:space="preserve">두개골 성형술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외상 제외</t>
    </r>
    <r>
      <rPr>
        <sz val="10"/>
        <rFont val="Arial"/>
        <family val="0"/>
        <charset val="1"/>
      </rPr>
      <t xml:space="preserve">)</t>
    </r>
  </si>
  <si>
    <t xml:space="preserve">두개외혈관수술</t>
  </si>
  <si>
    <t xml:space="preserve">B041</t>
  </si>
  <si>
    <r>
      <rPr>
        <sz val="10"/>
        <rFont val="WenQuanYi Zen Hei"/>
        <family val="2"/>
      </rPr>
      <t xml:space="preserve">두개외 혈관수술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뇌졸중 동반</t>
    </r>
    <r>
      <rPr>
        <sz val="10"/>
        <rFont val="Arial"/>
        <family val="0"/>
        <charset val="1"/>
      </rPr>
      <t xml:space="preserve">)</t>
    </r>
  </si>
  <si>
    <t xml:space="preserve">B042</t>
  </si>
  <si>
    <r>
      <rPr>
        <sz val="10"/>
        <rFont val="WenQuanYi Zen Hei"/>
        <family val="2"/>
      </rPr>
      <t xml:space="preserve">두개외 혈관수술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뇌졸중 미동반</t>
    </r>
    <r>
      <rPr>
        <sz val="10"/>
        <rFont val="Arial"/>
        <family val="0"/>
        <charset val="1"/>
      </rPr>
      <t xml:space="preserve">)</t>
    </r>
  </si>
  <si>
    <t xml:space="preserve">B043</t>
  </si>
  <si>
    <t xml:space="preserve">경피적 두개외 혈관수술</t>
  </si>
  <si>
    <t xml:space="preserve">뇌기저부수술</t>
  </si>
  <si>
    <t xml:space="preserve">B050</t>
  </si>
  <si>
    <t xml:space="preserve">뇌기저부 수술</t>
  </si>
  <si>
    <t xml:space="preserve">두개골 바닥부위 병변에 대한 개두수술</t>
  </si>
  <si>
    <t xml:space="preserve">뇌종양절제술</t>
  </si>
  <si>
    <t xml:space="preserve">B061</t>
  </si>
  <si>
    <t xml:space="preserve">복잡 천막상부 종양절제술</t>
  </si>
  <si>
    <t xml:space="preserve">B062</t>
  </si>
  <si>
    <t xml:space="preserve">단순 천막상부 종양절제술</t>
  </si>
  <si>
    <t xml:space="preserve">B063</t>
  </si>
  <si>
    <t xml:space="preserve">복잡 천막하부 종양절제술</t>
  </si>
  <si>
    <t xml:space="preserve">B064</t>
  </si>
  <si>
    <t xml:space="preserve">단순 천막하부 종양절제술</t>
  </si>
  <si>
    <t xml:space="preserve">B065</t>
  </si>
  <si>
    <t xml:space="preserve">경피적 뇌신경계 종양 수술</t>
  </si>
  <si>
    <r>
      <rPr>
        <sz val="10"/>
        <rFont val="WenQuanYi Zen Hei"/>
        <family val="2"/>
      </rPr>
      <t xml:space="preserve">카테터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경피적으로 뇌종양을 치료하는 수술</t>
    </r>
  </si>
  <si>
    <t xml:space="preserve">B066</t>
  </si>
  <si>
    <t xml:space="preserve">경비적 뇌하수체종양절제술</t>
  </si>
  <si>
    <t xml:space="preserve">신경계신경자극기설치술</t>
  </si>
  <si>
    <t xml:space="preserve">B070</t>
  </si>
  <si>
    <t xml:space="preserve">신경계 신경자극기 설치술</t>
  </si>
  <si>
    <r>
      <rPr>
        <sz val="10"/>
        <rFont val="WenQuanYi Zen Hei"/>
        <family val="2"/>
      </rPr>
      <t xml:space="preserve">신경자극기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전극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를 설치하는 수술</t>
    </r>
  </si>
  <si>
    <t xml:space="preserve">뇌전증수술</t>
  </si>
  <si>
    <t xml:space="preserve">B081</t>
  </si>
  <si>
    <r>
      <rPr>
        <sz val="10"/>
        <rFont val="WenQuanYi Zen Hei"/>
        <family val="2"/>
      </rPr>
      <t xml:space="preserve">뇌전증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전극삽입술 시행</t>
    </r>
    <r>
      <rPr>
        <sz val="10"/>
        <rFont val="Arial"/>
        <family val="0"/>
        <charset val="1"/>
      </rPr>
      <t xml:space="preserve">)</t>
    </r>
  </si>
  <si>
    <t xml:space="preserve">B082</t>
  </si>
  <si>
    <r>
      <rPr>
        <sz val="10"/>
        <rFont val="WenQuanYi Zen Hei"/>
        <family val="2"/>
      </rPr>
      <t xml:space="preserve">뇌전증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전극삽입술 미시행</t>
    </r>
    <r>
      <rPr>
        <sz val="10"/>
        <rFont val="Arial"/>
        <family val="0"/>
        <charset val="1"/>
      </rPr>
      <t xml:space="preserve">)</t>
    </r>
  </si>
  <si>
    <t xml:space="preserve">정위수술</t>
  </si>
  <si>
    <t xml:space="preserve">B091</t>
  </si>
  <si>
    <r>
      <rPr>
        <sz val="10"/>
        <rFont val="WenQuanYi Zen Hei"/>
        <family val="2"/>
      </rPr>
      <t xml:space="preserve">중추신경계 정위수술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뇌종양 및 기타병소발생술</t>
    </r>
    <r>
      <rPr>
        <sz val="10"/>
        <rFont val="Arial"/>
        <family val="0"/>
        <charset val="1"/>
      </rPr>
      <t xml:space="preserve">)</t>
    </r>
  </si>
  <si>
    <t xml:space="preserve">B092</t>
  </si>
  <si>
    <r>
      <rPr>
        <sz val="10"/>
        <rFont val="WenQuanYi Zen Hei"/>
        <family val="2"/>
      </rPr>
      <t xml:space="preserve">중추신경계 정위수술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두개내 출혈</t>
    </r>
    <r>
      <rPr>
        <sz val="10"/>
        <rFont val="Arial"/>
        <family val="0"/>
        <charset val="1"/>
      </rPr>
      <t xml:space="preserve">)</t>
    </r>
  </si>
  <si>
    <t xml:space="preserve">B093</t>
  </si>
  <si>
    <r>
      <rPr>
        <sz val="10"/>
        <rFont val="WenQuanYi Zen Hei"/>
        <family val="2"/>
      </rPr>
      <t xml:space="preserve">뇌정위 방사선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두개내 출혈 및뇌혈관기형</t>
    </r>
    <r>
      <rPr>
        <sz val="10"/>
        <rFont val="Arial"/>
        <family val="0"/>
        <charset val="1"/>
      </rPr>
      <t xml:space="preserve">)</t>
    </r>
  </si>
  <si>
    <t xml:space="preserve">B094</t>
  </si>
  <si>
    <r>
      <rPr>
        <sz val="10"/>
        <rFont val="WenQuanYi Zen Hei"/>
        <family val="2"/>
      </rPr>
      <t xml:space="preserve">뇌정위 방사선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양성 뇌종양</t>
    </r>
    <r>
      <rPr>
        <sz val="10"/>
        <rFont val="Arial"/>
        <family val="0"/>
        <charset val="1"/>
      </rPr>
      <t xml:space="preserve">)</t>
    </r>
  </si>
  <si>
    <t xml:space="preserve">B095</t>
  </si>
  <si>
    <r>
      <rPr>
        <sz val="10"/>
        <rFont val="WenQuanYi Zen Hei"/>
        <family val="2"/>
      </rPr>
      <t xml:space="preserve">뇌정위 방사선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기타</t>
    </r>
    <r>
      <rPr>
        <sz val="10"/>
        <rFont val="Arial"/>
        <family val="0"/>
        <charset val="1"/>
      </rPr>
      <t xml:space="preserve">)</t>
    </r>
  </si>
  <si>
    <t xml:space="preserve">B096</t>
  </si>
  <si>
    <t xml:space="preserve">중추신경계 체부 정위방사선 수술</t>
  </si>
  <si>
    <t xml:space="preserve">뇌신경수술</t>
  </si>
  <si>
    <t xml:space="preserve">B100</t>
  </si>
  <si>
    <t xml:space="preserve">뇌신경 수술</t>
  </si>
  <si>
    <r>
      <rPr>
        <sz val="10"/>
        <rFont val="WenQuanYi Zen Hei"/>
        <family val="2"/>
      </rPr>
      <t xml:space="preserve">뇌신경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삼차신경 등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에 대한 수술</t>
    </r>
  </si>
  <si>
    <t xml:space="preserve">뇌척수액우회로조성술</t>
  </si>
  <si>
    <t xml:space="preserve">B110</t>
  </si>
  <si>
    <t xml:space="preserve">뇌척수액 우회로조성술</t>
  </si>
  <si>
    <t xml:space="preserve">수두증 등에서 뇌척수액을 우회시키는 단락술</t>
  </si>
  <si>
    <t xml:space="preserve">외상개두술</t>
  </si>
  <si>
    <t xml:space="preserve">B121</t>
  </si>
  <si>
    <r>
      <rPr>
        <sz val="10"/>
        <rFont val="WenQuanYi Zen Hei"/>
        <family val="2"/>
      </rPr>
      <t xml:space="preserve">혈종제거술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외상 관련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경막외 출혈</t>
    </r>
  </si>
  <si>
    <t xml:space="preserve">B122</t>
  </si>
  <si>
    <r>
      <rPr>
        <sz val="10"/>
        <rFont val="WenQuanYi Zen Hei"/>
        <family val="2"/>
      </rPr>
      <t xml:space="preserve">혈종제거술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외상 관련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경막하 출혈</t>
    </r>
  </si>
  <si>
    <t xml:space="preserve">B123</t>
  </si>
  <si>
    <r>
      <rPr>
        <sz val="10"/>
        <rFont val="WenQuanYi Zen Hei"/>
        <family val="2"/>
      </rPr>
      <t xml:space="preserve">혈종제거술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외상 관련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기타 뇌내 출혈</t>
    </r>
  </si>
  <si>
    <t xml:space="preserve">B124</t>
  </si>
  <si>
    <r>
      <rPr>
        <sz val="10"/>
        <rFont val="WenQuanYi Zen Hei"/>
        <family val="2"/>
      </rPr>
      <t xml:space="preserve">두개내 감압술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외상 관련</t>
    </r>
    <r>
      <rPr>
        <sz val="10"/>
        <rFont val="Arial"/>
        <family val="0"/>
        <charset val="1"/>
      </rPr>
      <t xml:space="preserve">)</t>
    </r>
  </si>
  <si>
    <t xml:space="preserve">B125</t>
  </si>
  <si>
    <r>
      <rPr>
        <sz val="10"/>
        <rFont val="WenQuanYi Zen Hei"/>
        <family val="2"/>
      </rPr>
      <t xml:space="preserve">두개골 성형술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외상 관련</t>
    </r>
    <r>
      <rPr>
        <sz val="10"/>
        <rFont val="Arial"/>
        <family val="0"/>
        <charset val="1"/>
      </rPr>
      <t xml:space="preserve">)</t>
    </r>
  </si>
  <si>
    <t xml:space="preserve">기타개두술</t>
  </si>
  <si>
    <t xml:space="preserve">B130</t>
  </si>
  <si>
    <t xml:space="preserve">기타 개두술</t>
  </si>
  <si>
    <t xml:space="preserve">기타 개두수술</t>
  </si>
  <si>
    <t xml:space="preserve">천두술</t>
  </si>
  <si>
    <t xml:space="preserve">B141</t>
  </si>
  <si>
    <r>
      <rPr>
        <sz val="10"/>
        <rFont val="WenQuanYi Zen Hei"/>
        <family val="2"/>
      </rPr>
      <t xml:space="preserve">천두술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경막하 또는 경막외</t>
    </r>
    <r>
      <rPr>
        <sz val="10"/>
        <rFont val="Arial"/>
        <family val="0"/>
        <charset val="1"/>
      </rPr>
      <t xml:space="preserve">)</t>
    </r>
  </si>
  <si>
    <t xml:space="preserve">B142</t>
  </si>
  <si>
    <r>
      <rPr>
        <sz val="10"/>
        <rFont val="WenQuanYi Zen Hei"/>
        <family val="2"/>
      </rPr>
      <t xml:space="preserve">천두술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뇌내</t>
    </r>
    <r>
      <rPr>
        <sz val="10"/>
        <rFont val="Arial"/>
        <family val="0"/>
        <charset val="1"/>
      </rPr>
      <t xml:space="preserve">)</t>
    </r>
  </si>
  <si>
    <t xml:space="preserve">B143</t>
  </si>
  <si>
    <r>
      <rPr>
        <sz val="10"/>
        <rFont val="WenQuanYi Zen Hei"/>
        <family val="2"/>
      </rPr>
      <t xml:space="preserve">천두술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기타</t>
    </r>
    <r>
      <rPr>
        <sz val="10"/>
        <rFont val="Arial"/>
        <family val="0"/>
        <charset val="1"/>
      </rPr>
      <t xml:space="preserve">)</t>
    </r>
  </si>
  <si>
    <t xml:space="preserve">척추강내병소절제술</t>
  </si>
  <si>
    <t xml:space="preserve">B151</t>
  </si>
  <si>
    <t xml:space="preserve">척수내 종양절제술</t>
  </si>
  <si>
    <t xml:space="preserve">B152</t>
  </si>
  <si>
    <r>
      <rPr>
        <sz val="10"/>
        <rFont val="WenQuanYi Zen Hei"/>
        <family val="2"/>
      </rPr>
      <t xml:space="preserve">척추강내 병소절제술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척수병증 동반</t>
    </r>
    <r>
      <rPr>
        <sz val="10"/>
        <rFont val="Arial"/>
        <family val="0"/>
        <charset val="1"/>
      </rPr>
      <t xml:space="preserve">)</t>
    </r>
  </si>
  <si>
    <t xml:space="preserve">B153</t>
  </si>
  <si>
    <r>
      <rPr>
        <sz val="10"/>
        <rFont val="WenQuanYi Zen Hei"/>
        <family val="2"/>
      </rPr>
      <t xml:space="preserve">척추강내 병소절제술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척수병증 미동반</t>
    </r>
    <r>
      <rPr>
        <sz val="10"/>
        <rFont val="Arial"/>
        <family val="0"/>
        <charset val="1"/>
      </rPr>
      <t xml:space="preserve">)</t>
    </r>
  </si>
  <si>
    <t xml:space="preserve">B154</t>
  </si>
  <si>
    <r>
      <rPr>
        <sz val="10"/>
        <rFont val="WenQuanYi Zen Hei"/>
        <family val="2"/>
      </rPr>
      <t xml:space="preserve">척추강내 병소절제술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척추고정술 동반</t>
    </r>
    <r>
      <rPr>
        <sz val="10"/>
        <rFont val="Arial"/>
        <family val="0"/>
        <charset val="1"/>
      </rPr>
      <t xml:space="preserve">)</t>
    </r>
  </si>
  <si>
    <t xml:space="preserve">척추변형척추고정술</t>
  </si>
  <si>
    <t xml:space="preserve">B161</t>
  </si>
  <si>
    <t xml:space="preserve">청소년기 척추변형척추고정술</t>
  </si>
  <si>
    <t xml:space="preserve">B162</t>
  </si>
  <si>
    <r>
      <rPr>
        <sz val="10"/>
        <rFont val="WenQuanYi Zen Hei"/>
        <family val="2"/>
      </rPr>
      <t xml:space="preserve">성인기 척추변형척추고정술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감압술 동반</t>
    </r>
    <r>
      <rPr>
        <sz val="10"/>
        <rFont val="Arial"/>
        <family val="0"/>
        <charset val="1"/>
      </rPr>
      <t xml:space="preserve">)</t>
    </r>
  </si>
  <si>
    <t xml:space="preserve">B163</t>
  </si>
  <si>
    <r>
      <rPr>
        <sz val="10"/>
        <rFont val="WenQuanYi Zen Hei"/>
        <family val="2"/>
      </rPr>
      <t xml:space="preserve">성인기 척추변형척추고정술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감압술 미동반</t>
    </r>
    <r>
      <rPr>
        <sz val="10"/>
        <rFont val="Arial"/>
        <family val="0"/>
        <charset val="1"/>
      </rPr>
      <t xml:space="preserve">)</t>
    </r>
  </si>
  <si>
    <t xml:space="preserve">기타 척추수술</t>
  </si>
  <si>
    <t xml:space="preserve">B171</t>
  </si>
  <si>
    <r>
      <rPr>
        <sz val="10"/>
        <rFont val="WenQuanYi Zen Hei"/>
        <family val="2"/>
      </rPr>
      <t xml:space="preserve">척추고정술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척수병증 동반</t>
    </r>
    <r>
      <rPr>
        <sz val="10"/>
        <rFont val="Arial"/>
        <family val="0"/>
        <charset val="1"/>
      </rPr>
      <t xml:space="preserve">)</t>
    </r>
  </si>
  <si>
    <t xml:space="preserve">B172</t>
  </si>
  <si>
    <r>
      <rPr>
        <sz val="10"/>
        <rFont val="WenQuanYi Zen Hei"/>
        <family val="2"/>
      </rPr>
      <t xml:space="preserve">척추고정술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척수병증 미동반</t>
    </r>
    <r>
      <rPr>
        <sz val="10"/>
        <rFont val="Arial"/>
        <family val="0"/>
        <charset val="1"/>
      </rPr>
      <t xml:space="preserve">)</t>
    </r>
  </si>
  <si>
    <t xml:space="preserve">B173</t>
  </si>
  <si>
    <r>
      <rPr>
        <sz val="10"/>
        <rFont val="WenQuanYi Zen Hei"/>
        <family val="2"/>
      </rPr>
      <t xml:space="preserve">척추후궁절제술 및추간판제거술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척수병증 동반</t>
    </r>
    <r>
      <rPr>
        <sz val="10"/>
        <rFont val="Arial"/>
        <family val="0"/>
        <charset val="1"/>
      </rPr>
      <t xml:space="preserve">)</t>
    </r>
  </si>
  <si>
    <t xml:space="preserve">B174</t>
  </si>
  <si>
    <r>
      <rPr>
        <sz val="10"/>
        <rFont val="WenQuanYi Zen Hei"/>
        <family val="2"/>
      </rPr>
      <t xml:space="preserve">척추후궁절제술 및추간판제거술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척수병증 미동반</t>
    </r>
    <r>
      <rPr>
        <sz val="10"/>
        <rFont val="Arial"/>
        <family val="0"/>
        <charset val="1"/>
      </rPr>
      <t xml:space="preserve">)</t>
    </r>
  </si>
  <si>
    <t xml:space="preserve">B175</t>
  </si>
  <si>
    <r>
      <rPr>
        <sz val="10"/>
        <rFont val="WenQuanYi Zen Hei"/>
        <family val="2"/>
      </rPr>
      <t xml:space="preserve">기타 척추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척수병증 동반</t>
    </r>
    <r>
      <rPr>
        <sz val="10"/>
        <rFont val="Arial"/>
        <family val="0"/>
        <charset val="1"/>
      </rPr>
      <t xml:space="preserve">)</t>
    </r>
  </si>
  <si>
    <t xml:space="preserve">B176</t>
  </si>
  <si>
    <r>
      <rPr>
        <sz val="10"/>
        <rFont val="WenQuanYi Zen Hei"/>
        <family val="2"/>
      </rPr>
      <t xml:space="preserve">기타 척추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척수병증 미동반</t>
    </r>
    <r>
      <rPr>
        <sz val="10"/>
        <rFont val="Arial"/>
        <family val="0"/>
        <charset val="1"/>
      </rPr>
      <t xml:space="preserve">)</t>
    </r>
  </si>
  <si>
    <t xml:space="preserve">척추중재시술</t>
  </si>
  <si>
    <t xml:space="preserve">B181</t>
  </si>
  <si>
    <r>
      <rPr>
        <sz val="10"/>
        <rFont val="WenQuanYi Zen Hei"/>
        <family val="2"/>
      </rPr>
      <t xml:space="preserve">척추 중재시술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뼈에 시행한 경우</t>
    </r>
    <r>
      <rPr>
        <sz val="10"/>
        <rFont val="Arial"/>
        <family val="0"/>
        <charset val="1"/>
      </rPr>
      <t xml:space="preserve">)</t>
    </r>
  </si>
  <si>
    <t xml:space="preserve">B182</t>
  </si>
  <si>
    <r>
      <rPr>
        <sz val="10"/>
        <rFont val="WenQuanYi Zen Hei"/>
        <family val="2"/>
      </rPr>
      <t xml:space="preserve">척추 중재시술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신경에 시행한 경우</t>
    </r>
    <r>
      <rPr>
        <sz val="10"/>
        <rFont val="Arial"/>
        <family val="0"/>
        <charset val="1"/>
      </rPr>
      <t xml:space="preserve">)</t>
    </r>
  </si>
  <si>
    <t xml:space="preserve">신경조절술및 척추강내약물주입펌프이식술</t>
  </si>
  <si>
    <t xml:space="preserve">B191</t>
  </si>
  <si>
    <t xml:space="preserve">척수신경자극기 및 약물주입 펌프의 설치술 또는 교환술</t>
  </si>
  <si>
    <r>
      <rPr>
        <sz val="10"/>
        <rFont val="WenQuanYi Zen Hei"/>
        <family val="2"/>
      </rPr>
      <t xml:space="preserve">통증치료용 척수자극기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약물펌프의 설치 또는 교환</t>
    </r>
  </si>
  <si>
    <t xml:space="preserve">B192</t>
  </si>
  <si>
    <t xml:space="preserve">척수신경자극기 및 약물주입 펌프의 시험적 거치술 또는 제거술</t>
  </si>
  <si>
    <t xml:space="preserve">시험적 거치 또는 제거술</t>
  </si>
  <si>
    <t xml:space="preserve">기타신경계수술</t>
  </si>
  <si>
    <t xml:space="preserve">B201</t>
  </si>
  <si>
    <t xml:space="preserve">주요 말초 및 뇌 신경수술</t>
  </si>
  <si>
    <t xml:space="preserve">B202</t>
  </si>
  <si>
    <t xml:space="preserve">기타 말초 및 뇌 신경수술</t>
  </si>
  <si>
    <t xml:space="preserve">B203</t>
  </si>
  <si>
    <t xml:space="preserve">수근관 이완술</t>
  </si>
  <si>
    <t xml:space="preserve">B204</t>
  </si>
  <si>
    <r>
      <rPr>
        <sz val="10"/>
        <rFont val="WenQuanYi Zen Hei"/>
        <family val="2"/>
      </rPr>
      <t xml:space="preserve">기타 근육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건 및 인대이완술</t>
    </r>
  </si>
  <si>
    <t xml:space="preserve">B205</t>
  </si>
  <si>
    <t xml:space="preserve">기타 신경계 수술</t>
  </si>
  <si>
    <t xml:space="preserve">복잡척추수술</t>
  </si>
  <si>
    <t xml:space="preserve">B211</t>
  </si>
  <si>
    <t xml:space="preserve">복잡 척추고정술</t>
  </si>
  <si>
    <t xml:space="preserve">B212</t>
  </si>
  <si>
    <t xml:space="preserve">복잡 척추후궁절제술</t>
  </si>
  <si>
    <t xml:space="preserve">안부관통상 수술</t>
  </si>
  <si>
    <t xml:space="preserve">C011</t>
  </si>
  <si>
    <t xml:space="preserve">복잡 안부 관통상 수술</t>
  </si>
  <si>
    <r>
      <rPr>
        <sz val="10"/>
        <rFont val="WenQuanYi Zen Hei"/>
        <family val="2"/>
      </rPr>
      <t xml:space="preserve">시각기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안과</t>
    </r>
    <r>
      <rPr>
        <sz val="10"/>
        <rFont val="Arial"/>
        <family val="0"/>
        <charset val="1"/>
      </rPr>
      <t xml:space="preserve">)</t>
    </r>
  </si>
  <si>
    <t xml:space="preserve">C012</t>
  </si>
  <si>
    <r>
      <rPr>
        <sz val="10"/>
        <rFont val="WenQuanYi Zen Hei"/>
        <family val="2"/>
      </rPr>
      <t xml:space="preserve">전안부 관통상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수정체 수술 동반</t>
    </r>
    <r>
      <rPr>
        <sz val="10"/>
        <rFont val="Arial"/>
        <family val="0"/>
        <charset val="1"/>
      </rPr>
      <t xml:space="preserve">)</t>
    </r>
  </si>
  <si>
    <t xml:space="preserve">C013</t>
  </si>
  <si>
    <r>
      <rPr>
        <sz val="10"/>
        <rFont val="WenQuanYi Zen Hei"/>
        <family val="2"/>
      </rPr>
      <t xml:space="preserve">전안부 관통상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수정체 수술 미동반</t>
    </r>
    <r>
      <rPr>
        <sz val="10"/>
        <rFont val="Arial"/>
        <family val="0"/>
        <charset val="1"/>
      </rPr>
      <t xml:space="preserve">)</t>
    </r>
  </si>
  <si>
    <t xml:space="preserve">C014</t>
  </si>
  <si>
    <t xml:space="preserve">후안부 관통상 수술</t>
  </si>
  <si>
    <t xml:space="preserve">안와 수술</t>
  </si>
  <si>
    <t xml:space="preserve">C021</t>
  </si>
  <si>
    <r>
      <rPr>
        <sz val="10"/>
        <rFont val="WenQuanYi Zen Hei"/>
        <family val="2"/>
      </rPr>
      <t xml:space="preserve">복잡 안와 수술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한쪽</t>
    </r>
  </si>
  <si>
    <t xml:space="preserve">C022</t>
  </si>
  <si>
    <r>
      <rPr>
        <sz val="10"/>
        <rFont val="WenQuanYi Zen Hei"/>
        <family val="2"/>
      </rPr>
      <t xml:space="preserve">복잡 안와 수술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양쪽</t>
    </r>
  </si>
  <si>
    <t xml:space="preserve">C023</t>
  </si>
  <si>
    <t xml:space="preserve">단순 안와 수술</t>
  </si>
  <si>
    <r>
      <rPr>
        <sz val="10"/>
        <rFont val="WenQuanYi Zen Hei"/>
        <family val="2"/>
      </rPr>
      <t xml:space="preserve">안구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종양 수술포함</t>
    </r>
    <r>
      <rPr>
        <sz val="10"/>
        <rFont val="Arial"/>
        <family val="0"/>
        <charset val="1"/>
      </rPr>
      <t xml:space="preserve">)</t>
    </r>
  </si>
  <si>
    <t xml:space="preserve">C030</t>
  </si>
  <si>
    <r>
      <rPr>
        <sz val="10"/>
        <rFont val="WenQuanYi Zen Hei"/>
        <family val="2"/>
      </rPr>
      <t xml:space="preserve">안구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종양 수술 포함</t>
    </r>
    <r>
      <rPr>
        <sz val="10"/>
        <rFont val="Arial"/>
        <family val="0"/>
        <charset val="1"/>
      </rPr>
      <t xml:space="preserve">)</t>
    </r>
  </si>
  <si>
    <t xml:space="preserve">안구 및 안구 종양에 대한 수술</t>
  </si>
  <si>
    <t xml:space="preserve">망막 및유리체 수술</t>
  </si>
  <si>
    <t xml:space="preserve">C043</t>
  </si>
  <si>
    <r>
      <rPr>
        <sz val="10"/>
        <rFont val="WenQuanYi Zen Hei"/>
        <family val="2"/>
      </rPr>
      <t xml:space="preserve">망막 및 유리체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망막주위막 제거술동반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수정체 수술 동반</t>
    </r>
    <r>
      <rPr>
        <sz val="10"/>
        <rFont val="Arial"/>
        <family val="0"/>
        <charset val="1"/>
      </rPr>
      <t xml:space="preserve">)</t>
    </r>
  </si>
  <si>
    <t xml:space="preserve">C044</t>
  </si>
  <si>
    <r>
      <rPr>
        <sz val="10"/>
        <rFont val="WenQuanYi Zen Hei"/>
        <family val="2"/>
      </rPr>
      <t xml:space="preserve">망막 및 유리체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망막주위막 제거술동반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수정체 수술미동반</t>
    </r>
    <r>
      <rPr>
        <sz val="10"/>
        <rFont val="Arial"/>
        <family val="0"/>
        <charset val="1"/>
      </rPr>
      <t xml:space="preserve">)</t>
    </r>
  </si>
  <si>
    <t xml:space="preserve">C045</t>
  </si>
  <si>
    <r>
      <rPr>
        <sz val="10"/>
        <rFont val="WenQuanYi Zen Hei"/>
        <family val="2"/>
      </rPr>
      <t xml:space="preserve">망막 및 유리체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망막주위막 제거술미동반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수정체 수술동반</t>
    </r>
    <r>
      <rPr>
        <sz val="10"/>
        <rFont val="Arial"/>
        <family val="0"/>
        <charset val="1"/>
      </rPr>
      <t xml:space="preserve">)</t>
    </r>
  </si>
  <si>
    <t xml:space="preserve">C046</t>
  </si>
  <si>
    <r>
      <rPr>
        <sz val="10"/>
        <rFont val="WenQuanYi Zen Hei"/>
        <family val="2"/>
      </rPr>
      <t xml:space="preserve">망막 및 유리체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망막주위막 제거술미동반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수정체 수술미동반</t>
    </r>
    <r>
      <rPr>
        <sz val="10"/>
        <rFont val="Arial"/>
        <family val="0"/>
        <charset val="1"/>
      </rPr>
      <t xml:space="preserve">)</t>
    </r>
  </si>
  <si>
    <t xml:space="preserve">안구표면재건술</t>
  </si>
  <si>
    <t xml:space="preserve">C051</t>
  </si>
  <si>
    <t xml:space="preserve">주요 각막이식수술</t>
  </si>
  <si>
    <t xml:space="preserve">C052</t>
  </si>
  <si>
    <t xml:space="preserve">기타 각막이식수술</t>
  </si>
  <si>
    <t xml:space="preserve">C053</t>
  </si>
  <si>
    <t xml:space="preserve">공막 및 각막윤부이식수술</t>
  </si>
  <si>
    <r>
      <rPr>
        <sz val="10"/>
        <rFont val="WenQuanYi Zen Hei"/>
        <family val="2"/>
      </rPr>
      <t xml:space="preserve">수정체소절개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유리체절제술 유무와무관</t>
    </r>
    <r>
      <rPr>
        <sz val="10"/>
        <rFont val="Arial"/>
        <family val="0"/>
        <charset val="1"/>
      </rPr>
      <t xml:space="preserve">)</t>
    </r>
  </si>
  <si>
    <t xml:space="preserve">C061</t>
  </si>
  <si>
    <r>
      <rPr>
        <sz val="10"/>
        <rFont val="WenQuanYi Zen Hei"/>
        <family val="2"/>
      </rPr>
      <t xml:space="preserve">주요 수정체 소절개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유리체 절제술 유무와무관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한쪽</t>
    </r>
  </si>
  <si>
    <t xml:space="preserve">C062</t>
  </si>
  <si>
    <r>
      <rPr>
        <sz val="10"/>
        <rFont val="WenQuanYi Zen Hei"/>
        <family val="2"/>
      </rPr>
      <t xml:space="preserve">기타 수정체 소절개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유리체 절제술 유무와무관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한쪽</t>
    </r>
  </si>
  <si>
    <t xml:space="preserve">C063</t>
  </si>
  <si>
    <r>
      <rPr>
        <sz val="10"/>
        <rFont val="WenQuanYi Zen Hei"/>
        <family val="2"/>
      </rPr>
      <t xml:space="preserve">주요 수정체 소절개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유리체 절제술 유무와무관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양쪽</t>
    </r>
  </si>
  <si>
    <t xml:space="preserve">C064</t>
  </si>
  <si>
    <r>
      <rPr>
        <sz val="10"/>
        <rFont val="WenQuanYi Zen Hei"/>
        <family val="2"/>
      </rPr>
      <t xml:space="preserve">기타 수정체 소절개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유리체 절제술 유무와무관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양쪽</t>
    </r>
  </si>
  <si>
    <r>
      <rPr>
        <sz val="10"/>
        <rFont val="WenQuanYi Zen Hei"/>
        <family val="2"/>
      </rPr>
      <t xml:space="preserve">수정체대절개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유리체절제술 유무와무관</t>
    </r>
    <r>
      <rPr>
        <sz val="10"/>
        <rFont val="Arial"/>
        <family val="0"/>
        <charset val="1"/>
      </rPr>
      <t xml:space="preserve">)</t>
    </r>
  </si>
  <si>
    <t xml:space="preserve">C071</t>
  </si>
  <si>
    <r>
      <rPr>
        <sz val="10"/>
        <rFont val="WenQuanYi Zen Hei"/>
        <family val="2"/>
      </rPr>
      <t xml:space="preserve">주요 수정체 대절개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유리체 절제술 유무와무관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한쪽</t>
    </r>
  </si>
  <si>
    <t xml:space="preserve">C072</t>
  </si>
  <si>
    <r>
      <rPr>
        <sz val="10"/>
        <rFont val="WenQuanYi Zen Hei"/>
        <family val="2"/>
      </rPr>
      <t xml:space="preserve">기타 수정체 대절개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유리체 절제술 유무와무관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한쪽</t>
    </r>
  </si>
  <si>
    <t xml:space="preserve">C073</t>
  </si>
  <si>
    <r>
      <rPr>
        <sz val="10"/>
        <rFont val="WenQuanYi Zen Hei"/>
        <family val="2"/>
      </rPr>
      <t xml:space="preserve">수정체 대절개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유리체 절제술 유무와무관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양쪽</t>
    </r>
  </si>
  <si>
    <t xml:space="preserve">후발성백내장 수술</t>
  </si>
  <si>
    <t xml:space="preserve">C080</t>
  </si>
  <si>
    <t xml:space="preserve">후발성 백내장 수술</t>
  </si>
  <si>
    <t xml:space="preserve">인공수정체 삽입 후 생긴 후발백내장 제거</t>
  </si>
  <si>
    <t xml:space="preserve">녹내장수술</t>
  </si>
  <si>
    <t xml:space="preserve">C091</t>
  </si>
  <si>
    <r>
      <rPr>
        <sz val="10"/>
        <rFont val="WenQuanYi Zen Hei"/>
        <family val="2"/>
      </rPr>
      <t xml:space="preserve">복잡 녹내장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수정체 수술 동반</t>
    </r>
    <r>
      <rPr>
        <sz val="10"/>
        <rFont val="Arial"/>
        <family val="0"/>
        <charset val="1"/>
      </rPr>
      <t xml:space="preserve">)</t>
    </r>
  </si>
  <si>
    <t xml:space="preserve">C092</t>
  </si>
  <si>
    <r>
      <rPr>
        <sz val="10"/>
        <rFont val="WenQuanYi Zen Hei"/>
        <family val="2"/>
      </rPr>
      <t xml:space="preserve">복잡 녹내장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수정체 수술 미동반</t>
    </r>
    <r>
      <rPr>
        <sz val="10"/>
        <rFont val="Arial"/>
        <family val="0"/>
        <charset val="1"/>
      </rPr>
      <t xml:space="preserve">)</t>
    </r>
  </si>
  <si>
    <t xml:space="preserve">C093</t>
  </si>
  <si>
    <r>
      <rPr>
        <sz val="10"/>
        <rFont val="WenQuanYi Zen Hei"/>
        <family val="2"/>
      </rPr>
      <t xml:space="preserve">단순 녹내장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수정체 수술 동반</t>
    </r>
    <r>
      <rPr>
        <sz val="10"/>
        <rFont val="Arial"/>
        <family val="0"/>
        <charset val="1"/>
      </rPr>
      <t xml:space="preserve">)</t>
    </r>
  </si>
  <si>
    <t xml:space="preserve">C094</t>
  </si>
  <si>
    <r>
      <rPr>
        <sz val="10"/>
        <rFont val="WenQuanYi Zen Hei"/>
        <family val="2"/>
      </rPr>
      <t xml:space="preserve">단순 녹내장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수정체 수술 미동반</t>
    </r>
    <r>
      <rPr>
        <sz val="10"/>
        <rFont val="Arial"/>
        <family val="0"/>
        <charset val="1"/>
      </rPr>
      <t xml:space="preserve">)</t>
    </r>
  </si>
  <si>
    <t xml:space="preserve">기타안구내 수술</t>
  </si>
  <si>
    <t xml:space="preserve">C101</t>
  </si>
  <si>
    <t xml:space="preserve">기타 주요 안구내 수술</t>
  </si>
  <si>
    <t xml:space="preserve">C102</t>
  </si>
  <si>
    <t xml:space="preserve">기타 단순 안구내 수술</t>
  </si>
  <si>
    <t xml:space="preserve">사시 수술</t>
  </si>
  <si>
    <t xml:space="preserve">C111</t>
  </si>
  <si>
    <t xml:space="preserve">복잡 사시 수술</t>
  </si>
  <si>
    <t xml:space="preserve">C112</t>
  </si>
  <si>
    <t xml:space="preserve">단순 사시 수술</t>
  </si>
  <si>
    <t xml:space="preserve">안검 수술</t>
  </si>
  <si>
    <t xml:space="preserve">C121</t>
  </si>
  <si>
    <r>
      <rPr>
        <sz val="10"/>
        <rFont val="WenQuanYi Zen Hei"/>
        <family val="2"/>
      </rPr>
      <t xml:space="preserve">복잡 안검 수술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제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형</t>
    </r>
  </si>
  <si>
    <t xml:space="preserve">C122</t>
  </si>
  <si>
    <r>
      <rPr>
        <sz val="10"/>
        <rFont val="WenQuanYi Zen Hei"/>
        <family val="2"/>
      </rPr>
      <t xml:space="preserve">복잡 안검 수술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제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형</t>
    </r>
  </si>
  <si>
    <t xml:space="preserve">C123</t>
  </si>
  <si>
    <r>
      <rPr>
        <sz val="10"/>
        <rFont val="WenQuanYi Zen Hei"/>
        <family val="2"/>
      </rPr>
      <t xml:space="preserve">복잡 안검 수술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제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형</t>
    </r>
  </si>
  <si>
    <t xml:space="preserve">C124</t>
  </si>
  <si>
    <r>
      <rPr>
        <sz val="10"/>
        <rFont val="WenQuanYi Zen Hei"/>
        <family val="2"/>
      </rPr>
      <t xml:space="preserve">주요 안검 수술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제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형</t>
    </r>
  </si>
  <si>
    <t xml:space="preserve">C125</t>
  </si>
  <si>
    <r>
      <rPr>
        <sz val="10"/>
        <rFont val="WenQuanYi Zen Hei"/>
        <family val="2"/>
      </rPr>
      <t xml:space="preserve">주요 안검 수술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제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형</t>
    </r>
  </si>
  <si>
    <t xml:space="preserve">C126</t>
  </si>
  <si>
    <r>
      <rPr>
        <sz val="10"/>
        <rFont val="WenQuanYi Zen Hei"/>
        <family val="2"/>
      </rPr>
      <t xml:space="preserve">주요 안검 수술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제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형</t>
    </r>
  </si>
  <si>
    <t xml:space="preserve">C127</t>
  </si>
  <si>
    <t xml:space="preserve">기타 안검 수술</t>
  </si>
  <si>
    <t xml:space="preserve">눈물길수술</t>
  </si>
  <si>
    <t xml:space="preserve">C131</t>
  </si>
  <si>
    <t xml:space="preserve">복잡 눈물길 수술</t>
  </si>
  <si>
    <t xml:space="preserve">C132</t>
  </si>
  <si>
    <r>
      <rPr>
        <sz val="10"/>
        <rFont val="WenQuanYi Zen Hei"/>
        <family val="2"/>
      </rPr>
      <t xml:space="preserve">주요 눈물길 수술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한쪽</t>
    </r>
  </si>
  <si>
    <t xml:space="preserve">C133</t>
  </si>
  <si>
    <r>
      <rPr>
        <sz val="10"/>
        <rFont val="WenQuanYi Zen Hei"/>
        <family val="2"/>
      </rPr>
      <t xml:space="preserve">주요 눈물길 수술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양쪽</t>
    </r>
  </si>
  <si>
    <t xml:space="preserve">C135</t>
  </si>
  <si>
    <r>
      <rPr>
        <sz val="10"/>
        <rFont val="WenQuanYi Zen Hei"/>
        <family val="2"/>
      </rPr>
      <t xml:space="preserve">기타 눈물길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경비내시경 포함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단안</t>
    </r>
  </si>
  <si>
    <t xml:space="preserve">C136</t>
  </si>
  <si>
    <r>
      <rPr>
        <sz val="10"/>
        <rFont val="WenQuanYi Zen Hei"/>
        <family val="2"/>
      </rPr>
      <t xml:space="preserve">기타 눈물길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경비내시경 포함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양안</t>
    </r>
  </si>
  <si>
    <t xml:space="preserve">결막 수술</t>
  </si>
  <si>
    <t xml:space="preserve">C141</t>
  </si>
  <si>
    <t xml:space="preserve">결막낭 재건술</t>
  </si>
  <si>
    <t xml:space="preserve">C142</t>
  </si>
  <si>
    <t xml:space="preserve">복잡 결막 수술</t>
  </si>
  <si>
    <t xml:space="preserve">C143</t>
  </si>
  <si>
    <t xml:space="preserve">단순 결막 수술</t>
  </si>
  <si>
    <t xml:space="preserve">기타안구외수술</t>
  </si>
  <si>
    <t xml:space="preserve">C150</t>
  </si>
  <si>
    <t xml:space="preserve">기타 안구외 수술</t>
  </si>
  <si>
    <t xml:space="preserve">기타 안구 바깥 수술</t>
  </si>
  <si>
    <t xml:space="preserve">내이 수술</t>
  </si>
  <si>
    <t xml:space="preserve">D011</t>
  </si>
  <si>
    <t xml:space="preserve">귀 이식술</t>
  </si>
  <si>
    <r>
      <rPr>
        <sz val="10"/>
        <rFont val="WenQuanYi Zen Hei"/>
        <family val="2"/>
      </rPr>
      <t xml:space="preserve">이비인후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두경부</t>
    </r>
  </si>
  <si>
    <t xml:space="preserve">인공와우 등 내이 이식 수술</t>
  </si>
  <si>
    <t xml:space="preserve">D012</t>
  </si>
  <si>
    <t xml:space="preserve">주요 내이 수술</t>
  </si>
  <si>
    <r>
      <rPr>
        <sz val="10"/>
        <rFont val="WenQuanYi Zen Hei"/>
        <family val="2"/>
      </rPr>
      <t xml:space="preserve">내이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달팽이관 등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에 대한 주요 수술</t>
    </r>
  </si>
  <si>
    <t xml:space="preserve">D013</t>
  </si>
  <si>
    <t xml:space="preserve">단순 내이 수술</t>
  </si>
  <si>
    <t xml:space="preserve">중이 및유양돌기 수술</t>
  </si>
  <si>
    <t xml:space="preserve">D021</t>
  </si>
  <si>
    <t xml:space="preserve">고실유양돌기 수술</t>
  </si>
  <si>
    <t xml:space="preserve">D022</t>
  </si>
  <si>
    <t xml:space="preserve">유양돌기 수술</t>
  </si>
  <si>
    <t xml:space="preserve">D023</t>
  </si>
  <si>
    <t xml:space="preserve">고실 수술</t>
  </si>
  <si>
    <t xml:space="preserve">D024</t>
  </si>
  <si>
    <t xml:space="preserve">이소골 재건술</t>
  </si>
  <si>
    <t xml:space="preserve">D025</t>
  </si>
  <si>
    <t xml:space="preserve">등골 수술</t>
  </si>
  <si>
    <t xml:space="preserve">D026</t>
  </si>
  <si>
    <t xml:space="preserve">환기관삽입 고막절개술</t>
  </si>
  <si>
    <t xml:space="preserve">외이 및 귀수술</t>
  </si>
  <si>
    <t xml:space="preserve">D031</t>
  </si>
  <si>
    <t xml:space="preserve">주요 외이 및 귀 수술</t>
  </si>
  <si>
    <t xml:space="preserve">D032</t>
  </si>
  <si>
    <t xml:space="preserve">단순 외이 및 귀 수술</t>
  </si>
  <si>
    <t xml:space="preserve">귀 및 코의악성종양 수술</t>
  </si>
  <si>
    <t xml:space="preserve">D041</t>
  </si>
  <si>
    <t xml:space="preserve">귀 및 두개저 악성종양수술</t>
  </si>
  <si>
    <t xml:space="preserve">D042</t>
  </si>
  <si>
    <r>
      <rPr>
        <sz val="10"/>
        <rFont val="WenQuanYi Zen Hei"/>
        <family val="2"/>
      </rPr>
      <t xml:space="preserve">비강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부비동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비인강악성종양</t>
    </r>
  </si>
  <si>
    <t xml:space="preserve">부비동개방수술</t>
  </si>
  <si>
    <t xml:space="preserve">D051</t>
  </si>
  <si>
    <r>
      <rPr>
        <sz val="10"/>
        <rFont val="WenQuanYi Zen Hei"/>
        <family val="2"/>
      </rPr>
      <t xml:space="preserve">부비동 개방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한 개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한쪽</t>
    </r>
    <r>
      <rPr>
        <sz val="10"/>
        <rFont val="Arial"/>
        <family val="0"/>
        <charset val="1"/>
      </rPr>
      <t xml:space="preserve">)</t>
    </r>
  </si>
  <si>
    <t xml:space="preserve">D052</t>
  </si>
  <si>
    <r>
      <rPr>
        <sz val="10"/>
        <rFont val="WenQuanYi Zen Hei"/>
        <family val="2"/>
      </rPr>
      <t xml:space="preserve">부비동 개방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한 개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양쪽</t>
    </r>
    <r>
      <rPr>
        <sz val="10"/>
        <rFont val="Arial"/>
        <family val="0"/>
        <charset val="1"/>
      </rPr>
      <t xml:space="preserve">)</t>
    </r>
  </si>
  <si>
    <t xml:space="preserve">D053</t>
  </si>
  <si>
    <r>
      <rPr>
        <sz val="10"/>
        <rFont val="WenQuanYi Zen Hei"/>
        <family val="2"/>
      </rPr>
      <t xml:space="preserve">부비동 개방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여러 개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한쪽</t>
    </r>
    <r>
      <rPr>
        <sz val="10"/>
        <rFont val="Arial"/>
        <family val="0"/>
        <charset val="1"/>
      </rPr>
      <t xml:space="preserve">)</t>
    </r>
  </si>
  <si>
    <t xml:space="preserve">D054</t>
  </si>
  <si>
    <r>
      <rPr>
        <sz val="10"/>
        <rFont val="WenQuanYi Zen Hei"/>
        <family val="2"/>
      </rPr>
      <t xml:space="preserve">부비동 개방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여러 개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양쪽</t>
    </r>
    <r>
      <rPr>
        <sz val="10"/>
        <rFont val="Arial"/>
        <family val="0"/>
        <charset val="1"/>
      </rPr>
      <t xml:space="preserve">)</t>
    </r>
  </si>
  <si>
    <t xml:space="preserve">내시경을이용한 부비동수술</t>
  </si>
  <si>
    <t xml:space="preserve">D061</t>
  </si>
  <si>
    <r>
      <rPr>
        <sz val="10"/>
        <rFont val="WenQuanYi Zen Hei"/>
        <family val="2"/>
      </rPr>
      <t xml:space="preserve">내시경을 이용한 부비동수술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한 개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한쪽</t>
    </r>
    <r>
      <rPr>
        <sz val="10"/>
        <rFont val="Arial"/>
        <family val="0"/>
        <charset val="1"/>
      </rPr>
      <t xml:space="preserve">)</t>
    </r>
  </si>
  <si>
    <t xml:space="preserve">D062</t>
  </si>
  <si>
    <r>
      <rPr>
        <sz val="10"/>
        <rFont val="WenQuanYi Zen Hei"/>
        <family val="2"/>
      </rPr>
      <t xml:space="preserve">내시경을 이용한 부비동수술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한 개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양쪽</t>
    </r>
    <r>
      <rPr>
        <sz val="10"/>
        <rFont val="Arial"/>
        <family val="0"/>
        <charset val="1"/>
      </rPr>
      <t xml:space="preserve">)</t>
    </r>
  </si>
  <si>
    <t xml:space="preserve">D065</t>
  </si>
  <si>
    <r>
      <rPr>
        <sz val="10"/>
        <rFont val="WenQuanYi Zen Hei"/>
        <family val="2"/>
      </rPr>
      <t xml:space="preserve">내시경을 이용한 부비동수술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여러 개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한쪽</t>
    </r>
    <r>
      <rPr>
        <sz val="10"/>
        <rFont val="Arial"/>
        <family val="0"/>
        <charset val="1"/>
      </rPr>
      <t xml:space="preserve">)</t>
    </r>
  </si>
  <si>
    <t xml:space="preserve">D066</t>
  </si>
  <si>
    <r>
      <rPr>
        <sz val="10"/>
        <rFont val="WenQuanYi Zen Hei"/>
        <family val="2"/>
      </rPr>
      <t xml:space="preserve">복잡 내시경을 이용한부비동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여러 개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한쪽</t>
    </r>
    <r>
      <rPr>
        <sz val="10"/>
        <rFont val="Arial"/>
        <family val="0"/>
        <charset val="1"/>
      </rPr>
      <t xml:space="preserve">)</t>
    </r>
  </si>
  <si>
    <t xml:space="preserve">D067</t>
  </si>
  <si>
    <r>
      <rPr>
        <sz val="10"/>
        <rFont val="WenQuanYi Zen Hei"/>
        <family val="2"/>
      </rPr>
      <t xml:space="preserve">내시경을 이용한 부비동수술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여러 개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양쪽</t>
    </r>
    <r>
      <rPr>
        <sz val="10"/>
        <rFont val="Arial"/>
        <family val="0"/>
        <charset val="1"/>
      </rPr>
      <t xml:space="preserve">)</t>
    </r>
  </si>
  <si>
    <t xml:space="preserve">D068</t>
  </si>
  <si>
    <r>
      <rPr>
        <sz val="10"/>
        <rFont val="WenQuanYi Zen Hei"/>
        <family val="2"/>
      </rPr>
      <t xml:space="preserve">복잡 내시경을 이용한부비동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여러 개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양쪽</t>
    </r>
    <r>
      <rPr>
        <sz val="10"/>
        <rFont val="Arial"/>
        <family val="0"/>
        <charset val="1"/>
      </rPr>
      <t xml:space="preserve">)</t>
    </r>
  </si>
  <si>
    <t xml:space="preserve">코 수술</t>
  </si>
  <si>
    <t xml:space="preserve">D081</t>
  </si>
  <si>
    <t xml:space="preserve">주요 코 수술</t>
  </si>
  <si>
    <t xml:space="preserve">D082</t>
  </si>
  <si>
    <t xml:space="preserve">비중격 및 비갑개수술</t>
  </si>
  <si>
    <t xml:space="preserve">D083</t>
  </si>
  <si>
    <t xml:space="preserve">단순 코 수술</t>
  </si>
  <si>
    <t xml:space="preserve">구강 및타액선악성종양 수술</t>
  </si>
  <si>
    <t xml:space="preserve">D090</t>
  </si>
  <si>
    <t xml:space="preserve">구강 및 타액선 악성종양 수술</t>
  </si>
  <si>
    <r>
      <rPr>
        <sz val="10"/>
        <rFont val="WenQuanYi Zen Hei"/>
        <family val="2"/>
      </rPr>
      <t xml:space="preserve">입안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침샘의 악성종양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암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수술</t>
    </r>
  </si>
  <si>
    <t xml:space="preserve">후두 및인두 악성종양수술</t>
  </si>
  <si>
    <t xml:space="preserve">D101</t>
  </si>
  <si>
    <r>
      <rPr>
        <sz val="10"/>
        <rFont val="WenQuanYi Zen Hei"/>
        <family val="2"/>
      </rPr>
      <t xml:space="preserve">주요 후두 및 인두악성종양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경동맥소체포함</t>
    </r>
    <r>
      <rPr>
        <sz val="10"/>
        <rFont val="Arial"/>
        <family val="0"/>
        <charset val="1"/>
      </rPr>
      <t xml:space="preserve">)</t>
    </r>
  </si>
  <si>
    <t xml:space="preserve">D102</t>
  </si>
  <si>
    <t xml:space="preserve">단순 후두 및 인두악성종양 수술</t>
  </si>
  <si>
    <t xml:space="preserve">경부림프절절제술</t>
  </si>
  <si>
    <t xml:space="preserve">D111</t>
  </si>
  <si>
    <r>
      <rPr>
        <sz val="10"/>
        <rFont val="WenQuanYi Zen Hei"/>
        <family val="2"/>
      </rPr>
      <t xml:space="preserve">경부림프절절제술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한쪽</t>
    </r>
  </si>
  <si>
    <t xml:space="preserve">D112</t>
  </si>
  <si>
    <r>
      <rPr>
        <sz val="10"/>
        <rFont val="WenQuanYi Zen Hei"/>
        <family val="2"/>
      </rPr>
      <t xml:space="preserve">경부림프절절제술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양쪽</t>
    </r>
  </si>
  <si>
    <t xml:space="preserve">안면골수술</t>
  </si>
  <si>
    <t xml:space="preserve">D121</t>
  </si>
  <si>
    <t xml:space="preserve">악관절 수술</t>
  </si>
  <si>
    <t xml:space="preserve">D122</t>
  </si>
  <si>
    <t xml:space="preserve">주요 안면골 수술</t>
  </si>
  <si>
    <t xml:space="preserve">D123</t>
  </si>
  <si>
    <t xml:space="preserve">단순 안면골 수술</t>
  </si>
  <si>
    <t xml:space="preserve">두경부재건술</t>
  </si>
  <si>
    <t xml:space="preserve">D130</t>
  </si>
  <si>
    <t xml:space="preserve">두경부 재건술</t>
  </si>
  <si>
    <r>
      <rPr>
        <sz val="10"/>
        <rFont val="WenQuanYi Zen Hei"/>
        <family val="2"/>
      </rPr>
      <t xml:space="preserve">머리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목 부위 결손 재건 수술</t>
    </r>
  </si>
  <si>
    <t xml:space="preserve">타액선수술</t>
  </si>
  <si>
    <t xml:space="preserve">D141</t>
  </si>
  <si>
    <t xml:space="preserve">이하선수술</t>
  </si>
  <si>
    <t xml:space="preserve">D142</t>
  </si>
  <si>
    <t xml:space="preserve">악하선 및 설하선 수술</t>
  </si>
  <si>
    <t xml:space="preserve">D143</t>
  </si>
  <si>
    <t xml:space="preserve">기타 타액선 수술</t>
  </si>
  <si>
    <t xml:space="preserve">D144</t>
  </si>
  <si>
    <t xml:space="preserve">타석제거술</t>
  </si>
  <si>
    <t xml:space="preserve">경부 수술</t>
  </si>
  <si>
    <t xml:space="preserve">D150</t>
  </si>
  <si>
    <t xml:space="preserve">목 부위 수술</t>
  </si>
  <si>
    <t xml:space="preserve">편도 및아데노이드수술</t>
  </si>
  <si>
    <t xml:space="preserve">D161</t>
  </si>
  <si>
    <t xml:space="preserve">주요 편도 및 아데노이드수술</t>
  </si>
  <si>
    <t xml:space="preserve">D162</t>
  </si>
  <si>
    <t xml:space="preserve">단순 편도 및 아데노이드수술</t>
  </si>
  <si>
    <r>
      <rPr>
        <sz val="10"/>
        <rFont val="WenQuanYi Zen Hei"/>
        <family val="2"/>
      </rPr>
      <t xml:space="preserve">구강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인후두 수술</t>
    </r>
  </si>
  <si>
    <t xml:space="preserve">D171</t>
  </si>
  <si>
    <r>
      <rPr>
        <sz val="10"/>
        <rFont val="WenQuanYi Zen Hei"/>
        <family val="2"/>
      </rPr>
      <t xml:space="preserve">주요 구강 및 인두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후두수술</t>
    </r>
  </si>
  <si>
    <t xml:space="preserve">D172</t>
  </si>
  <si>
    <r>
      <rPr>
        <sz val="10"/>
        <rFont val="WenQuanYi Zen Hei"/>
        <family val="2"/>
      </rPr>
      <t xml:space="preserve">단순 구강 및 인두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후두수술</t>
    </r>
  </si>
  <si>
    <r>
      <rPr>
        <sz val="10"/>
        <rFont val="WenQuanYi Zen Hei"/>
        <family val="2"/>
      </rPr>
      <t xml:space="preserve">기타이비인후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구강 질환수술</t>
    </r>
  </si>
  <si>
    <t xml:space="preserve">D200</t>
  </si>
  <si>
    <r>
      <rPr>
        <sz val="10"/>
        <rFont val="WenQuanYi Zen Hei"/>
        <family val="2"/>
      </rPr>
      <t xml:space="preserve">기타 이비인후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구강 질환 수술</t>
    </r>
  </si>
  <si>
    <r>
      <rPr>
        <sz val="10"/>
        <rFont val="WenQuanYi Zen Hei"/>
        <family val="2"/>
      </rPr>
      <t xml:space="preserve">기타 이비인후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구강 수술</t>
    </r>
  </si>
  <si>
    <t xml:space="preserve">주요 흉부수술</t>
  </si>
  <si>
    <t xml:space="preserve">E011</t>
  </si>
  <si>
    <t xml:space="preserve">기관 및 기관지 수술</t>
  </si>
  <si>
    <t xml:space="preserve">E012</t>
  </si>
  <si>
    <r>
      <rPr>
        <sz val="10"/>
        <rFont val="WenQuanYi Zen Hei"/>
        <family val="2"/>
      </rPr>
      <t xml:space="preserve">주요 폐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악성종양의 경우</t>
    </r>
    <r>
      <rPr>
        <sz val="10"/>
        <rFont val="Arial"/>
        <family val="0"/>
        <charset val="1"/>
      </rPr>
      <t xml:space="preserve">)</t>
    </r>
  </si>
  <si>
    <t xml:space="preserve">E013</t>
  </si>
  <si>
    <r>
      <rPr>
        <sz val="10"/>
        <rFont val="WenQuanYi Zen Hei"/>
        <family val="2"/>
      </rPr>
      <t xml:space="preserve">주요 폐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악성종양 제외</t>
    </r>
    <r>
      <rPr>
        <sz val="10"/>
        <rFont val="Arial"/>
        <family val="0"/>
        <charset val="1"/>
      </rPr>
      <t xml:space="preserve">)</t>
    </r>
  </si>
  <si>
    <t xml:space="preserve">E014</t>
  </si>
  <si>
    <t xml:space="preserve">기타 폐 수술</t>
  </si>
  <si>
    <t xml:space="preserve">E015</t>
  </si>
  <si>
    <t xml:space="preserve">종격동 수술</t>
  </si>
  <si>
    <t xml:space="preserve">E016</t>
  </si>
  <si>
    <t xml:space="preserve">주요 흉곽 수술</t>
  </si>
  <si>
    <t xml:space="preserve">E017</t>
  </si>
  <si>
    <t xml:space="preserve">기타 흉곽 수술</t>
  </si>
  <si>
    <t xml:space="preserve">E018</t>
  </si>
  <si>
    <t xml:space="preserve">흉강경을 이용한 주요수술</t>
  </si>
  <si>
    <t xml:space="preserve">E019</t>
  </si>
  <si>
    <t xml:space="preserve">흉강경을 이용한 기타수술</t>
  </si>
  <si>
    <t xml:space="preserve">기관지경및 방사선하수술</t>
  </si>
  <si>
    <t xml:space="preserve">E020</t>
  </si>
  <si>
    <t xml:space="preserve">기관지경 및 방사선하 수술</t>
  </si>
  <si>
    <r>
      <rPr>
        <sz val="10"/>
        <rFont val="WenQuanYi Zen Hei"/>
        <family val="2"/>
      </rPr>
      <t xml:space="preserve">기관지경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방사선 유도하 시술</t>
    </r>
  </si>
  <si>
    <t xml:space="preserve">기타호흡기계 수술</t>
  </si>
  <si>
    <t xml:space="preserve">E032</t>
  </si>
  <si>
    <t xml:space="preserve">수면무호흡증후군 수술</t>
  </si>
  <si>
    <t xml:space="preserve">E033</t>
  </si>
  <si>
    <t xml:space="preserve">호흡기계 기타 단순 수술</t>
  </si>
  <si>
    <t xml:space="preserve">E034</t>
  </si>
  <si>
    <t xml:space="preserve">기타 호흡기계 수술</t>
  </si>
  <si>
    <t xml:space="preserve">폐농양배액술</t>
  </si>
  <si>
    <t xml:space="preserve">E520</t>
  </si>
  <si>
    <t xml:space="preserve">폐농양 배액술</t>
  </si>
  <si>
    <t xml:space="preserve">폐농양을 배액하는 수술</t>
  </si>
  <si>
    <t xml:space="preserve">흉막삼출배액술</t>
  </si>
  <si>
    <t xml:space="preserve">E530</t>
  </si>
  <si>
    <t xml:space="preserve">흉막삼출 배액술</t>
  </si>
  <si>
    <t xml:space="preserve">흉막에 찬 물을 배액하는 수술</t>
  </si>
  <si>
    <t xml:space="preserve">자동체내제세동기 시술</t>
  </si>
  <si>
    <t xml:space="preserve">F011</t>
  </si>
  <si>
    <t xml:space="preserve">자동체내제세동기 설치술또는 교환술</t>
  </si>
  <si>
    <r>
      <rPr>
        <sz val="10"/>
        <rFont val="WenQuanYi Zen Hei"/>
        <family val="2"/>
      </rPr>
      <t xml:space="preserve">순환기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심장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혈관</t>
    </r>
    <r>
      <rPr>
        <sz val="10"/>
        <rFont val="Arial"/>
        <family val="0"/>
        <charset val="1"/>
      </rPr>
      <t xml:space="preserve">)</t>
    </r>
  </si>
  <si>
    <t xml:space="preserve">F012</t>
  </si>
  <si>
    <t xml:space="preserve">자동체내제세동기 교정술</t>
  </si>
  <si>
    <r>
      <rPr>
        <sz val="10"/>
        <rFont val="WenQuanYi Zen Hei"/>
        <family val="2"/>
      </rPr>
      <t xml:space="preserve">심장판막수술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심도자술사용</t>
    </r>
    <r>
      <rPr>
        <sz val="10"/>
        <rFont val="Arial"/>
        <family val="0"/>
        <charset val="1"/>
      </rPr>
      <t xml:space="preserve">)</t>
    </r>
  </si>
  <si>
    <t xml:space="preserve">F021</t>
  </si>
  <si>
    <r>
      <rPr>
        <sz val="10"/>
        <rFont val="WenQuanYi Zen Hei"/>
        <family val="2"/>
      </rPr>
      <t xml:space="preserve">대동맥판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심도자술 사용</t>
    </r>
    <r>
      <rPr>
        <sz val="10"/>
        <rFont val="Arial"/>
        <family val="0"/>
        <charset val="1"/>
      </rPr>
      <t xml:space="preserve">)</t>
    </r>
  </si>
  <si>
    <t xml:space="preserve">F022</t>
  </si>
  <si>
    <r>
      <rPr>
        <sz val="10"/>
        <rFont val="WenQuanYi Zen Hei"/>
        <family val="2"/>
      </rPr>
      <t xml:space="preserve">승모판 혹은 삼첨판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심도자술 사용</t>
    </r>
    <r>
      <rPr>
        <sz val="10"/>
        <rFont val="Arial"/>
        <family val="0"/>
        <charset val="1"/>
      </rPr>
      <t xml:space="preserve">)</t>
    </r>
  </si>
  <si>
    <t xml:space="preserve">F023</t>
  </si>
  <si>
    <r>
      <rPr>
        <sz val="10"/>
        <rFont val="WenQuanYi Zen Hei"/>
        <family val="2"/>
      </rPr>
      <t xml:space="preserve">폐동맥판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심도자술 사용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</si>
  <si>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심장판막수술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심도자술미사용</t>
    </r>
    <r>
      <rPr>
        <sz val="10"/>
        <rFont val="Arial"/>
        <family val="0"/>
        <charset val="1"/>
      </rPr>
      <t xml:space="preserve">)</t>
    </r>
  </si>
  <si>
    <t xml:space="preserve">F031</t>
  </si>
  <si>
    <r>
      <rPr>
        <sz val="10"/>
        <rFont val="WenQuanYi Zen Hei"/>
        <family val="2"/>
      </rPr>
      <t xml:space="preserve">대동맥판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심도자술 미사용</t>
    </r>
    <r>
      <rPr>
        <sz val="10"/>
        <rFont val="Arial"/>
        <family val="0"/>
        <charset val="1"/>
      </rPr>
      <t xml:space="preserve">)</t>
    </r>
  </si>
  <si>
    <t xml:space="preserve">F032</t>
  </si>
  <si>
    <r>
      <rPr>
        <sz val="10"/>
        <rFont val="WenQuanYi Zen Hei"/>
        <family val="2"/>
      </rPr>
      <t xml:space="preserve">승모판 혹은 삼첨판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심도자술 미사용</t>
    </r>
    <r>
      <rPr>
        <sz val="10"/>
        <rFont val="Arial"/>
        <family val="0"/>
        <charset val="1"/>
      </rPr>
      <t xml:space="preserve">)</t>
    </r>
  </si>
  <si>
    <t xml:space="preserve">F033</t>
  </si>
  <si>
    <r>
      <rPr>
        <sz val="10"/>
        <rFont val="WenQuanYi Zen Hei"/>
        <family val="2"/>
      </rPr>
      <t xml:space="preserve">폐동맥판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심도자술 미사용</t>
    </r>
    <r>
      <rPr>
        <sz val="10"/>
        <rFont val="Arial"/>
        <family val="0"/>
        <charset val="1"/>
      </rPr>
      <t xml:space="preserve">)</t>
    </r>
  </si>
  <si>
    <t xml:space="preserve">관상동맥우회로 조성술</t>
  </si>
  <si>
    <t xml:space="preserve">F041</t>
  </si>
  <si>
    <r>
      <rPr>
        <sz val="10"/>
        <rFont val="WenQuanYi Zen Hei"/>
        <family val="2"/>
      </rPr>
      <t xml:space="preserve">관상동맥 우회로 조성술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심도자술 사용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인공심장폐장치 사용</t>
    </r>
    <r>
      <rPr>
        <sz val="10"/>
        <rFont val="Arial"/>
        <family val="0"/>
        <charset val="1"/>
      </rPr>
      <t xml:space="preserve">)</t>
    </r>
  </si>
  <si>
    <t xml:space="preserve">F042</t>
  </si>
  <si>
    <r>
      <rPr>
        <sz val="10"/>
        <rFont val="WenQuanYi Zen Hei"/>
        <family val="2"/>
      </rPr>
      <t xml:space="preserve">관상동맥 우회로 조성술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심도자술 미사용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인공심장폐장치 사용</t>
    </r>
    <r>
      <rPr>
        <sz val="10"/>
        <rFont val="Arial"/>
        <family val="0"/>
        <charset val="1"/>
      </rPr>
      <t xml:space="preserve">)</t>
    </r>
  </si>
  <si>
    <t xml:space="preserve">F043</t>
  </si>
  <si>
    <r>
      <rPr>
        <sz val="10"/>
        <rFont val="WenQuanYi Zen Hei"/>
        <family val="2"/>
      </rPr>
      <t xml:space="preserve">관상동맥 우회로 조성술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심도자술 사용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인공심장폐장치 미사용</t>
    </r>
    <r>
      <rPr>
        <sz val="10"/>
        <rFont val="Arial"/>
        <family val="0"/>
        <charset val="1"/>
      </rPr>
      <t xml:space="preserve">)</t>
    </r>
  </si>
  <si>
    <t xml:space="preserve">F044</t>
  </si>
  <si>
    <r>
      <rPr>
        <sz val="10"/>
        <rFont val="WenQuanYi Zen Hei"/>
        <family val="2"/>
      </rPr>
      <t xml:space="preserve">관상동맥 우회로 조성술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심도자술 미사용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인공심장폐장치 미사용</t>
    </r>
    <r>
      <rPr>
        <sz val="10"/>
        <rFont val="Arial"/>
        <family val="0"/>
        <charset val="1"/>
      </rPr>
      <t xml:space="preserve">)</t>
    </r>
  </si>
  <si>
    <t xml:space="preserve">기타심흉부수술</t>
  </si>
  <si>
    <t xml:space="preserve">F053</t>
  </si>
  <si>
    <r>
      <rPr>
        <sz val="10"/>
        <rFont val="WenQuanYi Zen Hei"/>
        <family val="2"/>
      </rPr>
      <t xml:space="preserve">기타 심흉부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인공심장폐장치 사용</t>
    </r>
    <r>
      <rPr>
        <sz val="10"/>
        <rFont val="Arial"/>
        <family val="0"/>
        <charset val="1"/>
      </rPr>
      <t xml:space="preserve">)</t>
    </r>
  </si>
  <si>
    <t xml:space="preserve">인공심장폐장치를 사용한 기타 심흉부수술</t>
  </si>
  <si>
    <t xml:space="preserve">F054</t>
  </si>
  <si>
    <r>
      <rPr>
        <sz val="10"/>
        <rFont val="WenQuanYi Zen Hei"/>
        <family val="2"/>
      </rPr>
      <t xml:space="preserve">기타 심흉부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인공심장폐장치 미사용</t>
    </r>
    <r>
      <rPr>
        <sz val="10"/>
        <rFont val="Arial"/>
        <family val="0"/>
        <charset val="1"/>
      </rPr>
      <t xml:space="preserve">)</t>
    </r>
  </si>
  <si>
    <t xml:space="preserve">인공심폐 미사용 기타 심흉부수술</t>
  </si>
  <si>
    <r>
      <rPr>
        <sz val="10"/>
        <rFont val="WenQuanYi Zen Hei"/>
        <family val="2"/>
      </rPr>
      <t xml:space="preserve">주요혈관복구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인공심장폐장치 사용</t>
    </r>
    <r>
      <rPr>
        <sz val="10"/>
        <rFont val="Arial"/>
        <family val="0"/>
        <charset val="1"/>
      </rPr>
      <t xml:space="preserve">)</t>
    </r>
  </si>
  <si>
    <t xml:space="preserve">F061</t>
  </si>
  <si>
    <r>
      <rPr>
        <sz val="10"/>
        <rFont val="WenQuanYi Zen Hei"/>
        <family val="2"/>
      </rPr>
      <t xml:space="preserve">파열 동맥류 또는 대동맥축착 교정술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인공심장폐장치 사용</t>
    </r>
    <r>
      <rPr>
        <sz val="10"/>
        <rFont val="Arial"/>
        <family val="0"/>
        <charset val="1"/>
      </rPr>
      <t xml:space="preserve">)</t>
    </r>
  </si>
  <si>
    <t xml:space="preserve">F062</t>
  </si>
  <si>
    <r>
      <rPr>
        <sz val="10"/>
        <rFont val="WenQuanYi Zen Hei"/>
        <family val="2"/>
      </rPr>
      <t xml:space="preserve">비파열 동맥류 또는대동맥 축착 교정술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인공심장폐장치 사용</t>
    </r>
    <r>
      <rPr>
        <sz val="10"/>
        <rFont val="Arial"/>
        <family val="0"/>
        <charset val="1"/>
      </rPr>
      <t xml:space="preserve">)</t>
    </r>
  </si>
  <si>
    <t xml:space="preserve">F063</t>
  </si>
  <si>
    <r>
      <rPr>
        <sz val="10"/>
        <rFont val="WenQuanYi Zen Hei"/>
        <family val="2"/>
      </rPr>
      <t xml:space="preserve">기타 주요 혈관복구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인공심장폐장치 사용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</si>
  <si>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주요혈관복구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인공심장폐장치 미사용</t>
    </r>
    <r>
      <rPr>
        <sz val="10"/>
        <rFont val="Arial"/>
        <family val="0"/>
        <charset val="1"/>
      </rPr>
      <t xml:space="preserve">)</t>
    </r>
  </si>
  <si>
    <t xml:space="preserve">F071</t>
  </si>
  <si>
    <r>
      <rPr>
        <sz val="10"/>
        <rFont val="WenQuanYi Zen Hei"/>
        <family val="2"/>
      </rPr>
      <t xml:space="preserve">파열 동맥류 또는 대동맥축착 교정술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인공심장폐장치 미사용</t>
    </r>
    <r>
      <rPr>
        <sz val="10"/>
        <rFont val="Arial"/>
        <family val="0"/>
        <charset val="1"/>
      </rPr>
      <t xml:space="preserve">)</t>
    </r>
  </si>
  <si>
    <t xml:space="preserve">F072</t>
  </si>
  <si>
    <r>
      <rPr>
        <sz val="10"/>
        <rFont val="WenQuanYi Zen Hei"/>
        <family val="2"/>
      </rPr>
      <t xml:space="preserve">비파열 동맥류 또는대동맥 축착 교정술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인공심장폐장치 미사용</t>
    </r>
    <r>
      <rPr>
        <sz val="10"/>
        <rFont val="Arial"/>
        <family val="0"/>
        <charset val="1"/>
      </rPr>
      <t xml:space="preserve">)</t>
    </r>
  </si>
  <si>
    <t xml:space="preserve">F073</t>
  </si>
  <si>
    <r>
      <rPr>
        <sz val="10"/>
        <rFont val="WenQuanYi Zen Hei"/>
        <family val="2"/>
      </rPr>
      <t xml:space="preserve">기타 주요 혈관복구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인공심장폐장치 미사용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</si>
  <si>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기타 주요 혈관복구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인공심폐 미사용</t>
    </r>
    <r>
      <rPr>
        <sz val="10"/>
        <rFont val="Arial"/>
        <family val="0"/>
        <charset val="1"/>
      </rPr>
      <t xml:space="preserve">)</t>
    </r>
  </si>
  <si>
    <t xml:space="preserve">대동맥경피적 수술</t>
  </si>
  <si>
    <t xml:space="preserve">F081</t>
  </si>
  <si>
    <r>
      <rPr>
        <sz val="10"/>
        <rFont val="WenQuanYi Zen Hei"/>
        <family val="2"/>
      </rPr>
      <t xml:space="preserve">복부대동맥 및 장골동맥류경피적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파열 미동반</t>
    </r>
    <r>
      <rPr>
        <sz val="10"/>
        <rFont val="Arial"/>
        <family val="0"/>
        <charset val="1"/>
      </rPr>
      <t xml:space="preserve">)</t>
    </r>
  </si>
  <si>
    <t xml:space="preserve">F082</t>
  </si>
  <si>
    <r>
      <rPr>
        <sz val="10"/>
        <rFont val="WenQuanYi Zen Hei"/>
        <family val="2"/>
      </rPr>
      <t xml:space="preserve">복부대동맥 및 장골동맥류경피적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파열 동반</t>
    </r>
    <r>
      <rPr>
        <sz val="10"/>
        <rFont val="Arial"/>
        <family val="0"/>
        <charset val="1"/>
      </rPr>
      <t xml:space="preserve">)</t>
    </r>
  </si>
  <si>
    <t xml:space="preserve">F083</t>
  </si>
  <si>
    <t xml:space="preserve">흉부대동맥류 경피적 수술</t>
  </si>
  <si>
    <t xml:space="preserve">F084</t>
  </si>
  <si>
    <t xml:space="preserve">대동맥박리 경피적 수술</t>
  </si>
  <si>
    <t xml:space="preserve">정맥 및대정맥 경피적수술</t>
  </si>
  <si>
    <t xml:space="preserve">F091</t>
  </si>
  <si>
    <t xml:space="preserve">심부정맥혈전증 경피적수술</t>
  </si>
  <si>
    <t xml:space="preserve">F092</t>
  </si>
  <si>
    <t xml:space="preserve">대정맥 필터설치를 위한경피적 수술</t>
  </si>
  <si>
    <t xml:space="preserve">경도관심장결손폐쇄술</t>
  </si>
  <si>
    <t xml:space="preserve">F101</t>
  </si>
  <si>
    <t xml:space="preserve">경도관 심방중격결손폐쇄술</t>
  </si>
  <si>
    <t xml:space="preserve">F102</t>
  </si>
  <si>
    <t xml:space="preserve">경도관 동맥관개존증폐쇄술</t>
  </si>
  <si>
    <t xml:space="preserve">F103</t>
  </si>
  <si>
    <t xml:space="preserve">기타 경도관 심장 결손폐쇄술</t>
  </si>
  <si>
    <r>
      <rPr>
        <sz val="10"/>
        <rFont val="WenQuanYi Zen Hei"/>
        <family val="2"/>
      </rPr>
      <t xml:space="preserve">급성심근경색증의경피적관상동맥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심각한합병증 동반</t>
    </r>
    <r>
      <rPr>
        <sz val="10"/>
        <rFont val="Arial"/>
        <family val="0"/>
        <charset val="1"/>
      </rPr>
      <t xml:space="preserve">)</t>
    </r>
  </si>
  <si>
    <t xml:space="preserve">F111</t>
  </si>
  <si>
    <r>
      <rPr>
        <sz val="10"/>
        <rFont val="WenQuanYi Zen Hei"/>
        <family val="2"/>
      </rPr>
      <t xml:space="preserve">급성 심근경색증의 경피적관상동맥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심각한합병증 동반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단일혈관</t>
    </r>
    <r>
      <rPr>
        <sz val="10"/>
        <rFont val="Arial"/>
        <family val="0"/>
        <charset val="1"/>
      </rPr>
      <t xml:space="preserve">)</t>
    </r>
  </si>
  <si>
    <t xml:space="preserve">F112</t>
  </si>
  <si>
    <r>
      <rPr>
        <sz val="10"/>
        <rFont val="WenQuanYi Zen Hei"/>
        <family val="2"/>
      </rPr>
      <t xml:space="preserve">급성 심근경색증의 경피적관상동맥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심각한합병증 동반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다발혈관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</si>
  <si>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급성심근경색증의경피적관상동맥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심각한합병증미동반</t>
    </r>
    <r>
      <rPr>
        <sz val="10"/>
        <rFont val="Arial"/>
        <family val="0"/>
        <charset val="1"/>
      </rPr>
      <t xml:space="preserve">)</t>
    </r>
  </si>
  <si>
    <t xml:space="preserve">F121</t>
  </si>
  <si>
    <r>
      <rPr>
        <sz val="10"/>
        <rFont val="WenQuanYi Zen Hei"/>
        <family val="2"/>
      </rPr>
      <t xml:space="preserve">급성 심근경색증의 경피적관상동맥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심각한합병증 미동반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단일혈관</t>
    </r>
    <r>
      <rPr>
        <sz val="10"/>
        <rFont val="Arial"/>
        <family val="0"/>
        <charset val="1"/>
      </rPr>
      <t xml:space="preserve">)</t>
    </r>
  </si>
  <si>
    <t xml:space="preserve">F122</t>
  </si>
  <si>
    <r>
      <rPr>
        <sz val="10"/>
        <rFont val="WenQuanYi Zen Hei"/>
        <family val="2"/>
      </rPr>
      <t xml:space="preserve">급성 심근경색증의 경피적관상동맥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심각한합병증 미동반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다발혈관</t>
    </r>
    <r>
      <rPr>
        <sz val="10"/>
        <rFont val="Arial"/>
        <family val="0"/>
        <charset val="1"/>
      </rPr>
      <t xml:space="preserve">)</t>
    </r>
  </si>
  <si>
    <t xml:space="preserve">급성심근경색증이아닌 기타경피적관상동맥 수술</t>
  </si>
  <si>
    <t xml:space="preserve">F133</t>
  </si>
  <si>
    <r>
      <rPr>
        <sz val="10"/>
        <rFont val="WenQuanYi Zen Hei"/>
        <family val="2"/>
      </rPr>
      <t xml:space="preserve">급성 심근경색증이 아닌기타 경피적 관상동맥수술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단일혈관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만성폐쇄성병변의 경우제외</t>
    </r>
    <r>
      <rPr>
        <sz val="10"/>
        <rFont val="Arial"/>
        <family val="0"/>
        <charset val="1"/>
      </rPr>
      <t xml:space="preserve">)</t>
    </r>
  </si>
  <si>
    <t xml:space="preserve">F134</t>
  </si>
  <si>
    <r>
      <rPr>
        <sz val="10"/>
        <rFont val="WenQuanYi Zen Hei"/>
        <family val="2"/>
      </rPr>
      <t xml:space="preserve">급성 심근경색증이 아닌기타 경피적 관상동맥수술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단일혈관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만성폐쇄성병변의 경우포함</t>
    </r>
    <r>
      <rPr>
        <sz val="10"/>
        <rFont val="Arial"/>
        <family val="0"/>
        <charset val="1"/>
      </rPr>
      <t xml:space="preserve">)</t>
    </r>
  </si>
  <si>
    <t xml:space="preserve">F135</t>
  </si>
  <si>
    <r>
      <rPr>
        <sz val="10"/>
        <rFont val="WenQuanYi Zen Hei"/>
        <family val="2"/>
      </rPr>
      <t xml:space="preserve">급성 심근경색증이 아닌기타 경피적 관상동맥수술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다발혈관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만성폐쇄성병변의 경우제외</t>
    </r>
    <r>
      <rPr>
        <sz val="10"/>
        <rFont val="Arial"/>
        <family val="0"/>
        <charset val="1"/>
      </rPr>
      <t xml:space="preserve">)</t>
    </r>
  </si>
  <si>
    <t xml:space="preserve">F136</t>
  </si>
  <si>
    <r>
      <rPr>
        <sz val="10"/>
        <rFont val="WenQuanYi Zen Hei"/>
        <family val="2"/>
      </rPr>
      <t xml:space="preserve">급성 심근경색증이 아닌기타 경피적 관상동맥수술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다발혈관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만성폐쇄성병변의 경우포함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</si>
  <si>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부정맥의경피적 수술</t>
    </r>
    <r>
      <rPr>
        <sz val="10"/>
        <rFont val="Arial"/>
        <family val="0"/>
        <charset val="1"/>
      </rPr>
      <t xml:space="preserve">(3</t>
    </r>
    <r>
      <rPr>
        <sz val="10"/>
        <rFont val="WenQuanYi Zen Hei"/>
        <family val="2"/>
      </rPr>
      <t xml:space="preserve">차원 지도화기능 포함</t>
    </r>
    <r>
      <rPr>
        <sz val="10"/>
        <rFont val="Arial"/>
        <family val="0"/>
        <charset val="1"/>
      </rPr>
      <t xml:space="preserve">)</t>
    </r>
  </si>
  <si>
    <t xml:space="preserve">F141</t>
  </si>
  <si>
    <r>
      <rPr>
        <sz val="10"/>
        <rFont val="WenQuanYi Zen Hei"/>
        <family val="2"/>
      </rPr>
      <t xml:space="preserve">심실빈맥 전극도자 절제술</t>
    </r>
    <r>
      <rPr>
        <sz val="10"/>
        <rFont val="Arial"/>
        <family val="0"/>
        <charset val="1"/>
      </rPr>
      <t xml:space="preserve">(3</t>
    </r>
    <r>
      <rPr>
        <sz val="10"/>
        <rFont val="WenQuanYi Zen Hei"/>
        <family val="2"/>
      </rPr>
      <t xml:space="preserve">차원 지도화 기능포함</t>
    </r>
    <r>
      <rPr>
        <sz val="10"/>
        <rFont val="Arial"/>
        <family val="0"/>
        <charset val="1"/>
      </rPr>
      <t xml:space="preserve">)</t>
    </r>
  </si>
  <si>
    <t xml:space="preserve">F142</t>
  </si>
  <si>
    <r>
      <rPr>
        <sz val="10"/>
        <rFont val="WenQuanYi Zen Hei"/>
        <family val="2"/>
      </rPr>
      <t xml:space="preserve">심방세동 전극도자 절제술</t>
    </r>
    <r>
      <rPr>
        <sz val="10"/>
        <rFont val="Arial"/>
        <family val="0"/>
        <charset val="1"/>
      </rPr>
      <t xml:space="preserve">(3</t>
    </r>
    <r>
      <rPr>
        <sz val="10"/>
        <rFont val="WenQuanYi Zen Hei"/>
        <family val="2"/>
      </rPr>
      <t xml:space="preserve">차원 지도화 기능포함</t>
    </r>
    <r>
      <rPr>
        <sz val="10"/>
        <rFont val="Arial"/>
        <family val="0"/>
        <charset val="1"/>
      </rPr>
      <t xml:space="preserve">)</t>
    </r>
  </si>
  <si>
    <t xml:space="preserve">F143</t>
  </si>
  <si>
    <r>
      <rPr>
        <sz val="10"/>
        <rFont val="WenQuanYi Zen Hei"/>
        <family val="2"/>
      </rPr>
      <t xml:space="preserve">발작성 심실상빈맥 및심방조동 전극도자절제술</t>
    </r>
    <r>
      <rPr>
        <sz val="10"/>
        <rFont val="Arial"/>
        <family val="0"/>
        <charset val="1"/>
      </rPr>
      <t xml:space="preserve">(3</t>
    </r>
    <r>
      <rPr>
        <sz val="10"/>
        <rFont val="WenQuanYi Zen Hei"/>
        <family val="2"/>
      </rPr>
      <t xml:space="preserve">차원 지도화 기능 포함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</si>
  <si>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부정맥의경피적 수술</t>
    </r>
    <r>
      <rPr>
        <sz val="10"/>
        <rFont val="Arial"/>
        <family val="0"/>
        <charset val="1"/>
      </rPr>
      <t xml:space="preserve">(3</t>
    </r>
    <r>
      <rPr>
        <sz val="10"/>
        <rFont val="WenQuanYi Zen Hei"/>
        <family val="2"/>
      </rPr>
      <t xml:space="preserve">차원 지도화기능 미포함</t>
    </r>
    <r>
      <rPr>
        <sz val="10"/>
        <rFont val="Arial"/>
        <family val="0"/>
        <charset val="1"/>
      </rPr>
      <t xml:space="preserve">)</t>
    </r>
  </si>
  <si>
    <t xml:space="preserve">F151</t>
  </si>
  <si>
    <r>
      <rPr>
        <sz val="10"/>
        <rFont val="WenQuanYi Zen Hei"/>
        <family val="2"/>
      </rPr>
      <t xml:space="preserve">심실빈맥 전극도자 절제술</t>
    </r>
    <r>
      <rPr>
        <sz val="10"/>
        <rFont val="Arial"/>
        <family val="0"/>
        <charset val="1"/>
      </rPr>
      <t xml:space="preserve">(3</t>
    </r>
    <r>
      <rPr>
        <sz val="10"/>
        <rFont val="WenQuanYi Zen Hei"/>
        <family val="2"/>
      </rPr>
      <t xml:space="preserve">차원 지도화 기능미포함</t>
    </r>
    <r>
      <rPr>
        <sz val="10"/>
        <rFont val="Arial"/>
        <family val="0"/>
        <charset val="1"/>
      </rPr>
      <t xml:space="preserve">)</t>
    </r>
  </si>
  <si>
    <t xml:space="preserve">F152</t>
  </si>
  <si>
    <r>
      <rPr>
        <sz val="10"/>
        <rFont val="WenQuanYi Zen Hei"/>
        <family val="2"/>
      </rPr>
      <t xml:space="preserve">심방세동 전극도자 절제술</t>
    </r>
    <r>
      <rPr>
        <sz val="10"/>
        <rFont val="Arial"/>
        <family val="0"/>
        <charset val="1"/>
      </rPr>
      <t xml:space="preserve">(3</t>
    </r>
    <r>
      <rPr>
        <sz val="10"/>
        <rFont val="WenQuanYi Zen Hei"/>
        <family val="2"/>
      </rPr>
      <t xml:space="preserve">차원 지도화 기능미포함</t>
    </r>
    <r>
      <rPr>
        <sz val="10"/>
        <rFont val="Arial"/>
        <family val="0"/>
        <charset val="1"/>
      </rPr>
      <t xml:space="preserve">)</t>
    </r>
  </si>
  <si>
    <t xml:space="preserve">F153</t>
  </si>
  <si>
    <r>
      <rPr>
        <sz val="10"/>
        <rFont val="WenQuanYi Zen Hei"/>
        <family val="2"/>
      </rPr>
      <t xml:space="preserve">발작성 심실상빈맥 및심방조동 전극도자절제술</t>
    </r>
    <r>
      <rPr>
        <sz val="10"/>
        <rFont val="Arial"/>
        <family val="0"/>
        <charset val="1"/>
      </rPr>
      <t xml:space="preserve">(3</t>
    </r>
    <r>
      <rPr>
        <sz val="10"/>
        <rFont val="WenQuanYi Zen Hei"/>
        <family val="2"/>
      </rPr>
      <t xml:space="preserve">차원 지도화 기능미포함</t>
    </r>
    <r>
      <rPr>
        <sz val="10"/>
        <rFont val="Arial"/>
        <family val="0"/>
        <charset val="1"/>
      </rPr>
      <t xml:space="preserve">)</t>
    </r>
  </si>
  <si>
    <t xml:space="preserve">경피적풍선판막성형술</t>
  </si>
  <si>
    <t xml:space="preserve">F161</t>
  </si>
  <si>
    <t xml:space="preserve">경피적 승모판 풍선판막성형술</t>
  </si>
  <si>
    <t xml:space="preserve">F162</t>
  </si>
  <si>
    <t xml:space="preserve">경피적 대동맥 또는폐동맥 풍선 판막성형술</t>
  </si>
  <si>
    <t xml:space="preserve">혈관기형의 경피적수술</t>
  </si>
  <si>
    <t xml:space="preserve">F181</t>
  </si>
  <si>
    <r>
      <rPr>
        <sz val="10"/>
        <rFont val="WenQuanYi Zen Hei"/>
        <family val="2"/>
      </rPr>
      <t xml:space="preserve">동정맥 기형의 경피적색전술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두경부 제외</t>
    </r>
    <r>
      <rPr>
        <sz val="10"/>
        <rFont val="Arial"/>
        <family val="0"/>
        <charset val="1"/>
      </rPr>
      <t xml:space="preserve">)</t>
    </r>
  </si>
  <si>
    <t xml:space="preserve">F182</t>
  </si>
  <si>
    <r>
      <rPr>
        <sz val="10"/>
        <rFont val="WenQuanYi Zen Hei"/>
        <family val="2"/>
      </rPr>
      <t xml:space="preserve">관상동맥 및 폐동맥기형의 경피적 색전술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두경부 제외</t>
    </r>
    <r>
      <rPr>
        <sz val="10"/>
        <rFont val="Arial"/>
        <family val="0"/>
        <charset val="1"/>
      </rPr>
      <t xml:space="preserve">)</t>
    </r>
  </si>
  <si>
    <t xml:space="preserve">말초동맥의경피적 수술</t>
  </si>
  <si>
    <t xml:space="preserve">F192</t>
  </si>
  <si>
    <t xml:space="preserve">말초동맥 색전증 및혈전증의 경피적 수술</t>
  </si>
  <si>
    <t xml:space="preserve">F193</t>
  </si>
  <si>
    <t xml:space="preserve">말초동맥 동맥류 및박리의 경피적 수술</t>
  </si>
  <si>
    <t xml:space="preserve">F194</t>
  </si>
  <si>
    <r>
      <rPr>
        <sz val="10"/>
        <rFont val="WenQuanYi Zen Hei"/>
        <family val="2"/>
      </rPr>
      <t xml:space="preserve">말초동맥 만성 폐쇄성질환의 경피적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여러 개</t>
    </r>
    <r>
      <rPr>
        <sz val="10"/>
        <rFont val="Arial"/>
        <family val="0"/>
        <charset val="1"/>
      </rPr>
      <t xml:space="preserve">)</t>
    </r>
  </si>
  <si>
    <t xml:space="preserve">F195</t>
  </si>
  <si>
    <r>
      <rPr>
        <sz val="10"/>
        <rFont val="WenQuanYi Zen Hei"/>
        <family val="2"/>
      </rPr>
      <t xml:space="preserve">말초동맥 만성 폐쇄성질환의 경피적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한 개</t>
    </r>
    <r>
      <rPr>
        <sz val="10"/>
        <rFont val="Arial"/>
        <family val="0"/>
        <charset val="1"/>
      </rPr>
      <t xml:space="preserve">)</t>
    </r>
  </si>
  <si>
    <t xml:space="preserve">기타경피적 심혈관수술</t>
  </si>
  <si>
    <t xml:space="preserve">F200</t>
  </si>
  <si>
    <t xml:space="preserve">기타 경피적 심혈관 수술</t>
  </si>
  <si>
    <t xml:space="preserve">기타 경피적 심혈관 시술</t>
  </si>
  <si>
    <r>
      <rPr>
        <sz val="10"/>
        <rFont val="WenQuanYi Zen Hei"/>
        <family val="2"/>
      </rPr>
      <t xml:space="preserve">체내심박조율기설치술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급성심근경색증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심부전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쇼크의 경우</t>
    </r>
    <r>
      <rPr>
        <sz val="10"/>
        <rFont val="Arial"/>
        <family val="0"/>
        <charset val="1"/>
      </rPr>
      <t xml:space="preserve">)</t>
    </r>
  </si>
  <si>
    <t xml:space="preserve">F211</t>
  </si>
  <si>
    <t xml:space="preserve">영구적 심박조율기 설치술</t>
  </si>
  <si>
    <t xml:space="preserve">F212</t>
  </si>
  <si>
    <t xml:space="preserve">영구적 심박조율기 교환술</t>
  </si>
  <si>
    <t xml:space="preserve">F213</t>
  </si>
  <si>
    <t xml:space="preserve">심박조율기 제거 및 전환술</t>
  </si>
  <si>
    <t xml:space="preserve">심박동기 제거 또는 전환술</t>
  </si>
  <si>
    <t xml:space="preserve">기타 혈관복구 수술</t>
  </si>
  <si>
    <t xml:space="preserve">F220</t>
  </si>
  <si>
    <t xml:space="preserve">기타 혈관 복구 수술</t>
  </si>
  <si>
    <r>
      <rPr>
        <sz val="10"/>
        <rFont val="WenQuanYi Zen Hei"/>
        <family val="2"/>
      </rPr>
      <t xml:space="preserve">순환장애절단술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수족부 제외</t>
    </r>
    <r>
      <rPr>
        <sz val="10"/>
        <rFont val="Arial"/>
        <family val="0"/>
        <charset val="1"/>
      </rPr>
      <t xml:space="preserve">)</t>
    </r>
  </si>
  <si>
    <t xml:space="preserve">F230</t>
  </si>
  <si>
    <r>
      <rPr>
        <sz val="10"/>
        <rFont val="WenQuanYi Zen Hei"/>
        <family val="2"/>
      </rPr>
      <t xml:space="preserve">순환장애 절단술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수족부 제외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</si>
  <si>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혈관질환으로 인한 사지 절단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손발 제외</t>
    </r>
    <r>
      <rPr>
        <sz val="10"/>
        <rFont val="Arial"/>
        <family val="0"/>
        <charset val="1"/>
      </rPr>
      <t xml:space="preserve">)</t>
    </r>
  </si>
  <si>
    <t xml:space="preserve">순환장애수족부 절단술</t>
  </si>
  <si>
    <t xml:space="preserve">F240</t>
  </si>
  <si>
    <t xml:space="preserve">순환장애 수족부 절단술</t>
  </si>
  <si>
    <r>
      <rPr>
        <sz val="10"/>
        <rFont val="WenQuanYi Zen Hei"/>
        <family val="2"/>
      </rPr>
      <t xml:space="preserve">혈관질환으로 인한 손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발 절단</t>
    </r>
  </si>
  <si>
    <t xml:space="preserve">정맥 결찰및 스트리핑</t>
  </si>
  <si>
    <t xml:space="preserve">F252</t>
  </si>
  <si>
    <t xml:space="preserve">정맥류 국소 절제술</t>
  </si>
  <si>
    <t xml:space="preserve">F253</t>
  </si>
  <si>
    <r>
      <rPr>
        <sz val="10"/>
        <rFont val="WenQuanYi Zen Hei"/>
        <family val="2"/>
      </rPr>
      <t xml:space="preserve">정맥류 광범위 절제술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여러 개</t>
    </r>
    <r>
      <rPr>
        <sz val="10"/>
        <rFont val="Arial"/>
        <family val="0"/>
        <charset val="1"/>
      </rPr>
      <t xml:space="preserve">)</t>
    </r>
  </si>
  <si>
    <t xml:space="preserve">F254</t>
  </si>
  <si>
    <r>
      <rPr>
        <sz val="10"/>
        <rFont val="WenQuanYi Zen Hei"/>
        <family val="2"/>
      </rPr>
      <t xml:space="preserve">정맥류 광범위 절제술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한 개</t>
    </r>
    <r>
      <rPr>
        <sz val="10"/>
        <rFont val="Arial"/>
        <family val="0"/>
        <charset val="1"/>
      </rPr>
      <t xml:space="preserve">)</t>
    </r>
  </si>
  <si>
    <t xml:space="preserve">기타순환기계 수술</t>
  </si>
  <si>
    <t xml:space="preserve">F260</t>
  </si>
  <si>
    <t xml:space="preserve">기타 순환기계 수술</t>
  </si>
  <si>
    <t xml:space="preserve">기타 순환기 수술</t>
  </si>
  <si>
    <t xml:space="preserve">식도 수술</t>
  </si>
  <si>
    <t xml:space="preserve">G011</t>
  </si>
  <si>
    <t xml:space="preserve">식도 악성종양 근치 수술 및 식도 재건술</t>
  </si>
  <si>
    <r>
      <rPr>
        <sz val="10"/>
        <rFont val="WenQuanYi Zen Hei"/>
        <family val="2"/>
      </rPr>
      <t xml:space="preserve">소화기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위장관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항문</t>
    </r>
    <r>
      <rPr>
        <sz val="10"/>
        <rFont val="Arial"/>
        <family val="0"/>
        <charset val="1"/>
      </rPr>
      <t xml:space="preserve">)</t>
    </r>
  </si>
  <si>
    <t xml:space="preserve">식도암 근치 절제 및 식도 재건</t>
  </si>
  <si>
    <t xml:space="preserve">G012</t>
  </si>
  <si>
    <t xml:space="preserve">기타 주요 식도 수술</t>
  </si>
  <si>
    <t xml:space="preserve">G013</t>
  </si>
  <si>
    <t xml:space="preserve">기타 단순 식도 수술</t>
  </si>
  <si>
    <r>
      <rPr>
        <sz val="10"/>
        <rFont val="WenQuanYi Zen Hei"/>
        <family val="2"/>
      </rPr>
      <t xml:space="preserve">직장절제술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림프절절제동반</t>
    </r>
    <r>
      <rPr>
        <sz val="10"/>
        <rFont val="Arial"/>
        <family val="0"/>
        <charset val="1"/>
      </rPr>
      <t xml:space="preserve">)</t>
    </r>
  </si>
  <si>
    <t xml:space="preserve">G021</t>
  </si>
  <si>
    <r>
      <rPr>
        <sz val="10"/>
        <rFont val="WenQuanYi Zen Hei"/>
        <family val="2"/>
      </rPr>
      <t xml:space="preserve">복강경을 이용한직장절제술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림프절절제 동반</t>
    </r>
    <r>
      <rPr>
        <sz val="10"/>
        <rFont val="Arial"/>
        <family val="0"/>
        <charset val="1"/>
      </rPr>
      <t xml:space="preserve">)</t>
    </r>
  </si>
  <si>
    <t xml:space="preserve">G022</t>
  </si>
  <si>
    <r>
      <rPr>
        <sz val="10"/>
        <rFont val="WenQuanYi Zen Hei"/>
        <family val="2"/>
      </rPr>
      <t xml:space="preserve">개복에 의한 직장절제술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림프절절제 동반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</si>
  <si>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직장절제술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림프절절제미동반</t>
    </r>
    <r>
      <rPr>
        <sz val="10"/>
        <rFont val="Arial"/>
        <family val="0"/>
        <charset val="1"/>
      </rPr>
      <t xml:space="preserve">)</t>
    </r>
  </si>
  <si>
    <t xml:space="preserve">G031</t>
  </si>
  <si>
    <r>
      <rPr>
        <sz val="10"/>
        <rFont val="WenQuanYi Zen Hei"/>
        <family val="2"/>
      </rPr>
      <t xml:space="preserve">복강경을 이용한직장절제술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림프절절제 미동반</t>
    </r>
    <r>
      <rPr>
        <sz val="10"/>
        <rFont val="Arial"/>
        <family val="0"/>
        <charset val="1"/>
      </rPr>
      <t xml:space="preserve">)</t>
    </r>
  </si>
  <si>
    <t xml:space="preserve">G032</t>
  </si>
  <si>
    <r>
      <rPr>
        <sz val="10"/>
        <rFont val="WenQuanYi Zen Hei"/>
        <family val="2"/>
      </rPr>
      <t xml:space="preserve">개복에 의한직장절제술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림프절절제미동반</t>
    </r>
    <r>
      <rPr>
        <sz val="10"/>
        <rFont val="Arial"/>
        <family val="0"/>
        <charset val="1"/>
      </rPr>
      <t xml:space="preserve">)</t>
    </r>
  </si>
  <si>
    <t xml:space="preserve">경항문 및경천골접근직장절제술</t>
  </si>
  <si>
    <t xml:space="preserve">G041</t>
  </si>
  <si>
    <r>
      <rPr>
        <sz val="10"/>
        <rFont val="WenQuanYi Zen Hei"/>
        <family val="2"/>
      </rPr>
      <t xml:space="preserve">경항문 및 경천골 접근직장절제술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악성종양의 경우</t>
    </r>
    <r>
      <rPr>
        <sz val="10"/>
        <rFont val="Arial"/>
        <family val="0"/>
        <charset val="1"/>
      </rPr>
      <t xml:space="preserve">)</t>
    </r>
  </si>
  <si>
    <t xml:space="preserve">G042</t>
  </si>
  <si>
    <r>
      <rPr>
        <sz val="10"/>
        <rFont val="WenQuanYi Zen Hei"/>
        <family val="2"/>
      </rPr>
      <t xml:space="preserve">경항문 및 경천골 접근직장절제술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악성종양 제외</t>
    </r>
    <r>
      <rPr>
        <sz val="10"/>
        <rFont val="Arial"/>
        <family val="0"/>
        <charset val="1"/>
      </rPr>
      <t xml:space="preserve">)</t>
    </r>
  </si>
  <si>
    <t xml:space="preserve">주요십이지장 수술</t>
  </si>
  <si>
    <t xml:space="preserve">G050</t>
  </si>
  <si>
    <t xml:space="preserve">주요 십이지장 수술</t>
  </si>
  <si>
    <t xml:space="preserve">십이지장에 대한 주요 수술</t>
  </si>
  <si>
    <t xml:space="preserve">식도정맥류 수술</t>
  </si>
  <si>
    <t xml:space="preserve">G060</t>
  </si>
  <si>
    <t xml:space="preserve">식도 정맥류 수술</t>
  </si>
  <si>
    <t xml:space="preserve">식도 정맥류에 대한 수술</t>
  </si>
  <si>
    <t xml:space="preserve">위전절제술</t>
  </si>
  <si>
    <t xml:space="preserve">G071</t>
  </si>
  <si>
    <t xml:space="preserve">복강경을 이용한위전절제술</t>
  </si>
  <si>
    <t xml:space="preserve">G072</t>
  </si>
  <si>
    <t xml:space="preserve">개복에 의한 위전절제술</t>
  </si>
  <si>
    <t xml:space="preserve">위아전절제술</t>
  </si>
  <si>
    <t xml:space="preserve">G081</t>
  </si>
  <si>
    <t xml:space="preserve">복강경을 이용한위아전절제술</t>
  </si>
  <si>
    <t xml:space="preserve">G082</t>
  </si>
  <si>
    <t xml:space="preserve">개복에 의한 위아전절제술</t>
  </si>
  <si>
    <t xml:space="preserve">기타위절제술</t>
  </si>
  <si>
    <t xml:space="preserve">G091</t>
  </si>
  <si>
    <t xml:space="preserve">복강경을 이용한 기타위절제술</t>
  </si>
  <si>
    <t xml:space="preserve">G092</t>
  </si>
  <si>
    <t xml:space="preserve">개복에 의한 기타위절제술</t>
  </si>
  <si>
    <t xml:space="preserve">G093</t>
  </si>
  <si>
    <t xml:space="preserve">복강경을 이용한 기타설상절제술</t>
  </si>
  <si>
    <t xml:space="preserve">G094</t>
  </si>
  <si>
    <t xml:space="preserve">개복에 의한 기타설상절제술</t>
  </si>
  <si>
    <t xml:space="preserve">소화성궤양 수술</t>
  </si>
  <si>
    <t xml:space="preserve">G101</t>
  </si>
  <si>
    <t xml:space="preserve">복강경을 이용한 소화성궤양 수술</t>
  </si>
  <si>
    <t xml:space="preserve">G102</t>
  </si>
  <si>
    <t xml:space="preserve">개복에 의한 소화성 궤양수술</t>
  </si>
  <si>
    <t xml:space="preserve">기타 위및 식도 수술</t>
  </si>
  <si>
    <t xml:space="preserve">G111</t>
  </si>
  <si>
    <t xml:space="preserve">복강경을 이용한 기타 위및 식도 수술</t>
  </si>
  <si>
    <t xml:space="preserve">G112</t>
  </si>
  <si>
    <t xml:space="preserve">개복에 의한 기타 위 및식도 수술</t>
  </si>
  <si>
    <t xml:space="preserve">결장 및직장전 절제술</t>
  </si>
  <si>
    <t xml:space="preserve">G121</t>
  </si>
  <si>
    <t xml:space="preserve">복강경을 이용한 결장 및직장 전 절제술</t>
  </si>
  <si>
    <t xml:space="preserve">G122</t>
  </si>
  <si>
    <t xml:space="preserve">개복에 의한 결장 및 직장전 절제술</t>
  </si>
  <si>
    <r>
      <rPr>
        <sz val="10"/>
        <rFont val="WenQuanYi Zen Hei"/>
        <family val="2"/>
      </rPr>
      <t xml:space="preserve">결장절제술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림프절절제동반</t>
    </r>
    <r>
      <rPr>
        <sz val="10"/>
        <rFont val="Arial"/>
        <family val="0"/>
        <charset val="1"/>
      </rPr>
      <t xml:space="preserve">)</t>
    </r>
  </si>
  <si>
    <t xml:space="preserve">G131</t>
  </si>
  <si>
    <r>
      <rPr>
        <sz val="10"/>
        <rFont val="WenQuanYi Zen Hei"/>
        <family val="2"/>
      </rPr>
      <t xml:space="preserve">복강경을 이용한결장절제술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림프절절제 동반</t>
    </r>
    <r>
      <rPr>
        <sz val="10"/>
        <rFont val="Arial"/>
        <family val="0"/>
        <charset val="1"/>
      </rPr>
      <t xml:space="preserve">)</t>
    </r>
  </si>
  <si>
    <t xml:space="preserve">G132</t>
  </si>
  <si>
    <r>
      <rPr>
        <sz val="10"/>
        <rFont val="WenQuanYi Zen Hei"/>
        <family val="2"/>
      </rPr>
      <t xml:space="preserve">개복에 의한 결장절제술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림프절절제 동반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</si>
  <si>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결장절제술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림프절절제미동반</t>
    </r>
    <r>
      <rPr>
        <sz val="10"/>
        <rFont val="Arial"/>
        <family val="0"/>
        <charset val="1"/>
      </rPr>
      <t xml:space="preserve">)</t>
    </r>
  </si>
  <si>
    <t xml:space="preserve">G141</t>
  </si>
  <si>
    <r>
      <rPr>
        <sz val="10"/>
        <rFont val="WenQuanYi Zen Hei"/>
        <family val="2"/>
      </rPr>
      <t xml:space="preserve">복강경을 이용한결장절제술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림프절절제 미동반</t>
    </r>
    <r>
      <rPr>
        <sz val="10"/>
        <rFont val="Arial"/>
        <family val="0"/>
        <charset val="1"/>
      </rPr>
      <t xml:space="preserve">)</t>
    </r>
  </si>
  <si>
    <t xml:space="preserve">G142</t>
  </si>
  <si>
    <r>
      <rPr>
        <sz val="10"/>
        <rFont val="WenQuanYi Zen Hei"/>
        <family val="2"/>
      </rPr>
      <t xml:space="preserve">개복에 의한결장절제술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림프절절제미동반</t>
    </r>
    <r>
      <rPr>
        <sz val="10"/>
        <rFont val="Arial"/>
        <family val="0"/>
        <charset val="1"/>
      </rPr>
      <t xml:space="preserve">)</t>
    </r>
  </si>
  <si>
    <t xml:space="preserve">기타 대장수술</t>
  </si>
  <si>
    <t xml:space="preserve">G151</t>
  </si>
  <si>
    <t xml:space="preserve">복강경을 이용한 기타대장 수술</t>
  </si>
  <si>
    <t xml:space="preserve">G152</t>
  </si>
  <si>
    <t xml:space="preserve">개복에 의한 기타 대장수술</t>
  </si>
  <si>
    <t xml:space="preserve">소장 및장간막 수술</t>
  </si>
  <si>
    <t xml:space="preserve">G171</t>
  </si>
  <si>
    <t xml:space="preserve">복강경을 이용한 주요소장 및 장간막 수술</t>
  </si>
  <si>
    <t xml:space="preserve">G172</t>
  </si>
  <si>
    <t xml:space="preserve">개복에 의한 주요 소장 및장간막 수술</t>
  </si>
  <si>
    <t xml:space="preserve">G173</t>
  </si>
  <si>
    <t xml:space="preserve">장폐색 수술 및 기타 장 수술</t>
  </si>
  <si>
    <t xml:space="preserve">장폐색 등 기타 장 수술</t>
  </si>
  <si>
    <t xml:space="preserve">장루 수술</t>
  </si>
  <si>
    <t xml:space="preserve">G180</t>
  </si>
  <si>
    <r>
      <rPr>
        <sz val="10"/>
        <rFont val="WenQuanYi Zen Hei"/>
        <family val="2"/>
      </rPr>
      <t xml:space="preserve">인공항문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장루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을 만드는 수술</t>
    </r>
  </si>
  <si>
    <t xml:space="preserve">횡격막탈장 수술</t>
  </si>
  <si>
    <t xml:space="preserve">G190</t>
  </si>
  <si>
    <t xml:space="preserve">횡격막 탈장 수술</t>
  </si>
  <si>
    <t xml:space="preserve">횡격막으로 장기가 탈출한 것을 교정</t>
  </si>
  <si>
    <r>
      <rPr>
        <sz val="10"/>
        <rFont val="WenQuanYi Zen Hei"/>
        <family val="2"/>
      </rPr>
      <t xml:space="preserve">탈장수술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서혜 및대퇴부 제외</t>
    </r>
  </si>
  <si>
    <t xml:space="preserve">G201</t>
  </si>
  <si>
    <r>
      <rPr>
        <sz val="10"/>
        <rFont val="WenQuanYi Zen Hei"/>
        <family val="2"/>
      </rPr>
      <t xml:space="preserve">복강경을 이용한 탈장수술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서혜 및 대퇴부제외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장절제 동반</t>
    </r>
    <r>
      <rPr>
        <sz val="10"/>
        <rFont val="Arial"/>
        <family val="0"/>
        <charset val="1"/>
      </rPr>
      <t xml:space="preserve">)</t>
    </r>
  </si>
  <si>
    <t xml:space="preserve">G202</t>
  </si>
  <si>
    <r>
      <rPr>
        <sz val="10"/>
        <rFont val="WenQuanYi Zen Hei"/>
        <family val="2"/>
      </rPr>
      <t xml:space="preserve">개복에 의한 탈장 수술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서혜 및 대퇴부 제외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장절제 동반</t>
    </r>
    <r>
      <rPr>
        <sz val="10"/>
        <rFont val="Arial"/>
        <family val="0"/>
        <charset val="1"/>
      </rPr>
      <t xml:space="preserve">)</t>
    </r>
  </si>
  <si>
    <t xml:space="preserve">G203</t>
  </si>
  <si>
    <r>
      <rPr>
        <sz val="10"/>
        <rFont val="WenQuanYi Zen Hei"/>
        <family val="2"/>
      </rPr>
      <t xml:space="preserve">복강경을 이용한 탈장수술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서혜 및 대퇴부제외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장절제 미동반</t>
    </r>
    <r>
      <rPr>
        <sz val="10"/>
        <rFont val="Arial"/>
        <family val="0"/>
        <charset val="1"/>
      </rPr>
      <t xml:space="preserve">)</t>
    </r>
  </si>
  <si>
    <t xml:space="preserve">G204</t>
  </si>
  <si>
    <r>
      <rPr>
        <sz val="10"/>
        <rFont val="WenQuanYi Zen Hei"/>
        <family val="2"/>
      </rPr>
      <t xml:space="preserve">개복에 의한 탈장 수술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서혜 및 대퇴부 제외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장절제 미동반</t>
    </r>
    <r>
      <rPr>
        <sz val="10"/>
        <rFont val="Arial"/>
        <family val="0"/>
        <charset val="1"/>
      </rPr>
      <t xml:space="preserve">)</t>
    </r>
  </si>
  <si>
    <t xml:space="preserve">충수절제술</t>
  </si>
  <si>
    <t xml:space="preserve">G211</t>
  </si>
  <si>
    <r>
      <rPr>
        <sz val="10"/>
        <rFont val="WenQuanYi Zen Hei"/>
        <family val="2"/>
      </rPr>
      <t xml:space="preserve">복강경을 이용한충수절제술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복잡 주진단의 경우</t>
    </r>
    <r>
      <rPr>
        <sz val="10"/>
        <rFont val="Arial"/>
        <family val="0"/>
        <charset val="1"/>
      </rPr>
      <t xml:space="preserve">)</t>
    </r>
  </si>
  <si>
    <t xml:space="preserve">G212</t>
  </si>
  <si>
    <r>
      <rPr>
        <sz val="10"/>
        <rFont val="WenQuanYi Zen Hei"/>
        <family val="2"/>
      </rPr>
      <t xml:space="preserve">복강경을 이용한충수절제술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복잡 주진단이아닌 경우</t>
    </r>
    <r>
      <rPr>
        <sz val="10"/>
        <rFont val="Arial"/>
        <family val="0"/>
        <charset val="1"/>
      </rPr>
      <t xml:space="preserve">)</t>
    </r>
  </si>
  <si>
    <t xml:space="preserve">G213</t>
  </si>
  <si>
    <r>
      <rPr>
        <sz val="10"/>
        <rFont val="WenQuanYi Zen Hei"/>
        <family val="2"/>
      </rPr>
      <t xml:space="preserve">개복에 의한 충수절제술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복잡 주진단의 경우</t>
    </r>
    <r>
      <rPr>
        <sz val="10"/>
        <rFont val="Arial"/>
        <family val="0"/>
        <charset val="1"/>
      </rPr>
      <t xml:space="preserve">)</t>
    </r>
  </si>
  <si>
    <t xml:space="preserve">G214</t>
  </si>
  <si>
    <r>
      <rPr>
        <sz val="10"/>
        <rFont val="WenQuanYi Zen Hei"/>
        <family val="2"/>
      </rPr>
      <t xml:space="preserve">개복에 의한충수절제술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복잡 주진단이아닌 경우</t>
    </r>
    <r>
      <rPr>
        <sz val="10"/>
        <rFont val="Arial"/>
        <family val="0"/>
        <charset val="1"/>
      </rPr>
      <t xml:space="preserve">)</t>
    </r>
  </si>
  <si>
    <t xml:space="preserve">재발 서혜및 대퇴부탈장 수술</t>
  </si>
  <si>
    <t xml:space="preserve">G221</t>
  </si>
  <si>
    <r>
      <rPr>
        <sz val="10"/>
        <rFont val="WenQuanYi Zen Hei"/>
        <family val="2"/>
      </rPr>
      <t xml:space="preserve">복강경을 이용한 재발서혜 및 대퇴부 탈장수술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한쪽</t>
    </r>
  </si>
  <si>
    <t xml:space="preserve">G222</t>
  </si>
  <si>
    <r>
      <rPr>
        <sz val="10"/>
        <rFont val="WenQuanYi Zen Hei"/>
        <family val="2"/>
      </rPr>
      <t xml:space="preserve">복강경을 이용한 재발서혜 및 대퇴부 탈장수술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양쪽</t>
    </r>
  </si>
  <si>
    <t xml:space="preserve">G223</t>
  </si>
  <si>
    <r>
      <rPr>
        <sz val="10"/>
        <rFont val="WenQuanYi Zen Hei"/>
        <family val="2"/>
      </rPr>
      <t xml:space="preserve">개복에 의한 재발 서혜 및대퇴부 탈장 수술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한쪽</t>
    </r>
  </si>
  <si>
    <t xml:space="preserve">G224</t>
  </si>
  <si>
    <r>
      <rPr>
        <sz val="10"/>
        <rFont val="WenQuanYi Zen Hei"/>
        <family val="2"/>
      </rPr>
      <t xml:space="preserve">개복에 의한 재발 서혜 및대퇴부 탈장 수술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양쪽</t>
    </r>
  </si>
  <si>
    <r>
      <rPr>
        <sz val="10"/>
        <rFont val="WenQuanYi Zen Hei"/>
        <family val="2"/>
      </rPr>
      <t xml:space="preserve">서혜 및대퇴부 탈장수술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장절제동반</t>
    </r>
    <r>
      <rPr>
        <sz val="10"/>
        <rFont val="Arial"/>
        <family val="0"/>
        <charset val="1"/>
      </rPr>
      <t xml:space="preserve">)</t>
    </r>
  </si>
  <si>
    <t xml:space="preserve">G230</t>
  </si>
  <si>
    <r>
      <rPr>
        <sz val="10"/>
        <rFont val="WenQuanYi Zen Hei"/>
        <family val="2"/>
      </rPr>
      <t xml:space="preserve">서혜 및 대퇴부 탈장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장절제 동반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</si>
  <si>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장절제를 동반한 서혜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대퇴부 탈장 수술</t>
    </r>
  </si>
  <si>
    <r>
      <rPr>
        <sz val="10"/>
        <rFont val="WenQuanYi Zen Hei"/>
        <family val="2"/>
      </rPr>
      <t xml:space="preserve">복강경을이용한 서혜및 대퇴부탈장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장절제미동반</t>
    </r>
    <r>
      <rPr>
        <sz val="10"/>
        <rFont val="Arial"/>
        <family val="0"/>
        <charset val="1"/>
      </rPr>
      <t xml:space="preserve">)</t>
    </r>
  </si>
  <si>
    <t xml:space="preserve">G241</t>
  </si>
  <si>
    <r>
      <rPr>
        <sz val="10"/>
        <rFont val="WenQuanYi Zen Hei"/>
        <family val="2"/>
      </rPr>
      <t xml:space="preserve">복강경을 이용한 서혜 및대퇴부 탈장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장절제미동반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한쪽</t>
    </r>
  </si>
  <si>
    <t xml:space="preserve">G242</t>
  </si>
  <si>
    <r>
      <rPr>
        <sz val="10"/>
        <rFont val="WenQuanYi Zen Hei"/>
        <family val="2"/>
      </rPr>
      <t xml:space="preserve">복강경을 이용한 서혜 및대퇴부 탈장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장절제미동반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양쪽</t>
    </r>
  </si>
  <si>
    <r>
      <rPr>
        <sz val="10"/>
        <rFont val="WenQuanYi Zen Hei"/>
        <family val="2"/>
      </rPr>
      <t xml:space="preserve">개복에의한 서혜 및대퇴부 탈장수술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장절제미동반</t>
    </r>
    <r>
      <rPr>
        <sz val="10"/>
        <rFont val="Arial"/>
        <family val="0"/>
        <charset val="1"/>
      </rPr>
      <t xml:space="preserve">)</t>
    </r>
  </si>
  <si>
    <t xml:space="preserve">G251</t>
  </si>
  <si>
    <r>
      <rPr>
        <sz val="10"/>
        <rFont val="WenQuanYi Zen Hei"/>
        <family val="2"/>
      </rPr>
      <t xml:space="preserve">개복에 의한 서혜 및대퇴부 탈장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장절제미동반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복잡 주진단의경우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한쪽</t>
    </r>
  </si>
  <si>
    <t xml:space="preserve">G252</t>
  </si>
  <si>
    <r>
      <rPr>
        <sz val="10"/>
        <rFont val="WenQuanYi Zen Hei"/>
        <family val="2"/>
      </rPr>
      <t xml:space="preserve">개복에 의한 서혜 및대퇴부 탈장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장절제미동반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복잡 주진단이아닌 경우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한쪽</t>
    </r>
  </si>
  <si>
    <t xml:space="preserve">G253</t>
  </si>
  <si>
    <r>
      <rPr>
        <sz val="10"/>
        <rFont val="WenQuanYi Zen Hei"/>
        <family val="2"/>
      </rPr>
      <t xml:space="preserve">개복에 의한 서혜 및대퇴부 탈장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장절제미동반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양쪽</t>
    </r>
  </si>
  <si>
    <t xml:space="preserve">복수 항문수술</t>
  </si>
  <si>
    <t xml:space="preserve">G260</t>
  </si>
  <si>
    <t xml:space="preserve">복수 항문 수술</t>
  </si>
  <si>
    <t xml:space="preserve">여러 부위 항문 수술</t>
  </si>
  <si>
    <t xml:space="preserve">치핵 수술</t>
  </si>
  <si>
    <t xml:space="preserve">G271</t>
  </si>
  <si>
    <t xml:space="preserve">주요 치핵 수술</t>
  </si>
  <si>
    <t xml:space="preserve">G272</t>
  </si>
  <si>
    <t xml:space="preserve">단순 치핵 수술</t>
  </si>
  <si>
    <t xml:space="preserve">항문 주위농양 수술</t>
  </si>
  <si>
    <t xml:space="preserve">G281</t>
  </si>
  <si>
    <t xml:space="preserve">주요 항문 주위 농양 수술</t>
  </si>
  <si>
    <t xml:space="preserve">G282</t>
  </si>
  <si>
    <t xml:space="preserve">단순 항문 주위 농양 수술</t>
  </si>
  <si>
    <t xml:space="preserve">치루 수술</t>
  </si>
  <si>
    <t xml:space="preserve">G291</t>
  </si>
  <si>
    <t xml:space="preserve">주요 치루 수술</t>
  </si>
  <si>
    <t xml:space="preserve">G292</t>
  </si>
  <si>
    <t xml:space="preserve">단순 치루 수술</t>
  </si>
  <si>
    <t xml:space="preserve">치열 수술및 항문협착증수술</t>
  </si>
  <si>
    <t xml:space="preserve">G300</t>
  </si>
  <si>
    <t xml:space="preserve">치열 수술 및 항문협착증 수술</t>
  </si>
  <si>
    <r>
      <rPr>
        <sz val="10"/>
        <rFont val="WenQuanYi Zen Hei"/>
        <family val="2"/>
      </rPr>
      <t xml:space="preserve">치열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항문협착 수술</t>
    </r>
  </si>
  <si>
    <t xml:space="preserve">경항문 및질접근 수술</t>
  </si>
  <si>
    <t xml:space="preserve">G311</t>
  </si>
  <si>
    <t xml:space="preserve">직장 질루 수술</t>
  </si>
  <si>
    <t xml:space="preserve">G312</t>
  </si>
  <si>
    <r>
      <rPr>
        <sz val="10"/>
        <rFont val="WenQuanYi Zen Hei"/>
        <family val="2"/>
      </rPr>
      <t xml:space="preserve">직장 탈출증 수술 및괄약근성형술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직장류교정술 포함</t>
    </r>
    <r>
      <rPr>
        <sz val="10"/>
        <rFont val="Arial"/>
        <family val="0"/>
        <charset val="1"/>
      </rPr>
      <t xml:space="preserve">)</t>
    </r>
  </si>
  <si>
    <t xml:space="preserve">화농성한선염 수술</t>
  </si>
  <si>
    <t xml:space="preserve">G320</t>
  </si>
  <si>
    <r>
      <rPr>
        <sz val="10"/>
        <rFont val="WenQuanYi Zen Hei"/>
        <family val="2"/>
      </rPr>
      <t xml:space="preserve">화농성 한선염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땀샘 염증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수술</t>
    </r>
  </si>
  <si>
    <t xml:space="preserve">기타소화기계 수술</t>
  </si>
  <si>
    <t xml:space="preserve">G332</t>
  </si>
  <si>
    <t xml:space="preserve">기타 소화기계 수술</t>
  </si>
  <si>
    <t xml:space="preserve">기타 소화기 수술</t>
  </si>
  <si>
    <t xml:space="preserve">소화기계질환의혈관색전술</t>
  </si>
  <si>
    <t xml:space="preserve">G340</t>
  </si>
  <si>
    <t xml:space="preserve">소화기계 질환의 혈관색전술</t>
  </si>
  <si>
    <t xml:space="preserve">소화기 출혈 등에 대한 혈관색전술</t>
  </si>
  <si>
    <t xml:space="preserve">위내시경시술</t>
  </si>
  <si>
    <t xml:space="preserve">G503</t>
  </si>
  <si>
    <r>
      <rPr>
        <sz val="10"/>
        <rFont val="WenQuanYi Zen Hei"/>
        <family val="2"/>
      </rPr>
      <t xml:space="preserve">위내시경 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주요소화기 질환의 경우</t>
    </r>
    <r>
      <rPr>
        <sz val="10"/>
        <rFont val="Arial"/>
        <family val="0"/>
        <charset val="1"/>
      </rPr>
      <t xml:space="preserve">)</t>
    </r>
  </si>
  <si>
    <t xml:space="preserve">G504</t>
  </si>
  <si>
    <r>
      <rPr>
        <sz val="10"/>
        <rFont val="WenQuanYi Zen Hei"/>
        <family val="2"/>
      </rPr>
      <t xml:space="preserve">위내시경 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주요 소화기 질환이 아닌경우</t>
    </r>
    <r>
      <rPr>
        <sz val="10"/>
        <rFont val="Arial"/>
        <family val="0"/>
        <charset val="1"/>
      </rPr>
      <t xml:space="preserve">)</t>
    </r>
  </si>
  <si>
    <t xml:space="preserve">G505</t>
  </si>
  <si>
    <r>
      <rPr>
        <sz val="10"/>
        <rFont val="WenQuanYi Zen Hei"/>
        <family val="2"/>
      </rPr>
      <t xml:space="preserve">위내시경 시술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당일퇴원</t>
    </r>
  </si>
  <si>
    <t xml:space="preserve">결장경시술</t>
  </si>
  <si>
    <t xml:space="preserve">G523</t>
  </si>
  <si>
    <r>
      <rPr>
        <sz val="10"/>
        <rFont val="WenQuanYi Zen Hei"/>
        <family val="2"/>
      </rPr>
      <t xml:space="preserve">결장경 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주요 소화기질환의 경우</t>
    </r>
    <r>
      <rPr>
        <sz val="10"/>
        <rFont val="Arial"/>
        <family val="0"/>
        <charset val="1"/>
      </rPr>
      <t xml:space="preserve">)</t>
    </r>
  </si>
  <si>
    <t xml:space="preserve">G524</t>
  </si>
  <si>
    <r>
      <rPr>
        <sz val="10"/>
        <rFont val="WenQuanYi Zen Hei"/>
        <family val="2"/>
      </rPr>
      <t xml:space="preserve">결장경 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주요 소화기질환이 아닌 경우</t>
    </r>
    <r>
      <rPr>
        <sz val="10"/>
        <rFont val="Arial"/>
        <family val="0"/>
        <charset val="1"/>
      </rPr>
      <t xml:space="preserve">)</t>
    </r>
  </si>
  <si>
    <t xml:space="preserve">G525</t>
  </si>
  <si>
    <r>
      <rPr>
        <sz val="10"/>
        <rFont val="WenQuanYi Zen Hei"/>
        <family val="2"/>
      </rPr>
      <t xml:space="preserve">결장경 시술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당일퇴원</t>
    </r>
  </si>
  <si>
    <t xml:space="preserve">구불결장경 시술</t>
  </si>
  <si>
    <t xml:space="preserve">G531</t>
  </si>
  <si>
    <t xml:space="preserve">G532</t>
  </si>
  <si>
    <r>
      <rPr>
        <sz val="10"/>
        <rFont val="WenQuanYi Zen Hei"/>
        <family val="2"/>
      </rPr>
      <t xml:space="preserve">구불결장경 시술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당일퇴원</t>
    </r>
  </si>
  <si>
    <r>
      <rPr>
        <sz val="10"/>
        <rFont val="WenQuanYi Zen Hei"/>
        <family val="2"/>
      </rPr>
      <t xml:space="preserve">소화기내시경 시술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화학요법을동반한 경우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재원기간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일이상</t>
    </r>
  </si>
  <si>
    <t xml:space="preserve">G540</t>
  </si>
  <si>
    <r>
      <rPr>
        <sz val="10"/>
        <rFont val="WenQuanYi Zen Hei"/>
        <family val="2"/>
      </rPr>
      <t xml:space="preserve">소화기 내시경 시술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화학요법을 동반한 경우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재원기간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일 이상</t>
    </r>
  </si>
  <si>
    <r>
      <rPr>
        <sz val="10"/>
        <rFont val="WenQuanYi Zen Hei"/>
        <family val="2"/>
      </rPr>
      <t xml:space="preserve">화학요법 동반 소화기 내시경 시술</t>
    </r>
    <r>
      <rPr>
        <sz val="10"/>
        <rFont val="Arial"/>
        <family val="0"/>
        <charset val="1"/>
      </rPr>
      <t xml:space="preserve">(2</t>
    </r>
    <r>
      <rPr>
        <sz val="10"/>
        <rFont val="WenQuanYi Zen Hei"/>
        <family val="2"/>
      </rPr>
      <t xml:space="preserve">일 이상</t>
    </r>
    <r>
      <rPr>
        <sz val="10"/>
        <rFont val="Arial"/>
        <family val="0"/>
        <charset val="1"/>
      </rPr>
      <t xml:space="preserve">)</t>
    </r>
  </si>
  <si>
    <t xml:space="preserve">소장내시경 시술</t>
  </si>
  <si>
    <t xml:space="preserve">G550</t>
  </si>
  <si>
    <t xml:space="preserve">소장 내시경 시술</t>
  </si>
  <si>
    <t xml:space="preserve">소화관협착을 위한방사선하 시술</t>
  </si>
  <si>
    <t xml:space="preserve">G560</t>
  </si>
  <si>
    <t xml:space="preserve">소화관 협착을 위한 방사선하 시술</t>
  </si>
  <si>
    <t xml:space="preserve">소화관 협착에 대한 방사선 유도 시술</t>
  </si>
  <si>
    <t xml:space="preserve">소화기계질환의 경피적배액술</t>
  </si>
  <si>
    <t xml:space="preserve">G570</t>
  </si>
  <si>
    <t xml:space="preserve">소화기계 질환의 경피적 배액술</t>
  </si>
  <si>
    <t xml:space="preserve">소화기 농양 등 경피적 배액</t>
  </si>
  <si>
    <t xml:space="preserve">간담도췌장 복합수술</t>
  </si>
  <si>
    <t xml:space="preserve">H010</t>
  </si>
  <si>
    <r>
      <rPr>
        <sz val="10"/>
        <rFont val="WenQuanYi Zen Hei"/>
        <family val="2"/>
      </rPr>
      <t xml:space="preserve">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담도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췌장</t>
    </r>
  </si>
  <si>
    <r>
      <rPr>
        <sz val="10"/>
        <rFont val="WenQuanYi Zen Hei"/>
        <family val="2"/>
      </rPr>
      <t xml:space="preserve">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담도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췌장을 함께 절제하는 복합수술</t>
    </r>
  </si>
  <si>
    <t xml:space="preserve">간담도복합수술</t>
  </si>
  <si>
    <t xml:space="preserve">H021</t>
  </si>
  <si>
    <t xml:space="preserve">주요 간담도 복합수술</t>
  </si>
  <si>
    <r>
      <rPr>
        <sz val="10"/>
        <rFont val="WenQuanYi Zen Hei"/>
        <family val="2"/>
      </rPr>
      <t xml:space="preserve">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담도 주요 복합수술</t>
    </r>
  </si>
  <si>
    <t xml:space="preserve">H022</t>
  </si>
  <si>
    <t xml:space="preserve">기타 간담도 복합수술</t>
  </si>
  <si>
    <t xml:space="preserve">담도췌장복합수술</t>
  </si>
  <si>
    <t xml:space="preserve">H030</t>
  </si>
  <si>
    <t xml:space="preserve">담도췌장 복합수술</t>
  </si>
  <si>
    <r>
      <rPr>
        <sz val="10"/>
        <rFont val="WenQuanYi Zen Hei"/>
        <family val="2"/>
      </rPr>
      <t xml:space="preserve">담도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췌장 복합수술</t>
    </r>
  </si>
  <si>
    <t xml:space="preserve">간 절제술</t>
  </si>
  <si>
    <t xml:space="preserve">H041</t>
  </si>
  <si>
    <t xml:space="preserve">복강경을 이용한 주요 간절제술</t>
  </si>
  <si>
    <t xml:space="preserve">H042</t>
  </si>
  <si>
    <t xml:space="preserve">개복에 의한 주요 간절제술</t>
  </si>
  <si>
    <t xml:space="preserve">H043</t>
  </si>
  <si>
    <t xml:space="preserve">복강경을 이용한 기타 간절제술</t>
  </si>
  <si>
    <t xml:space="preserve">H044</t>
  </si>
  <si>
    <t xml:space="preserve">개복에 의한 기타 간절제술</t>
  </si>
  <si>
    <t xml:space="preserve">간 수술</t>
  </si>
  <si>
    <t xml:space="preserve">H051</t>
  </si>
  <si>
    <t xml:space="preserve">복강경을 이용한 간 수술</t>
  </si>
  <si>
    <t xml:space="preserve">H052</t>
  </si>
  <si>
    <t xml:space="preserve">개복에 의한 간 수술</t>
  </si>
  <si>
    <t xml:space="preserve">간담도계질환 치료를위한 단락술</t>
  </si>
  <si>
    <t xml:space="preserve">H060</t>
  </si>
  <si>
    <t xml:space="preserve">간담도계 질환 치료를 위한 단락술</t>
  </si>
  <si>
    <t xml:space="preserve">간담도 질환 치료를 위한 단락술</t>
  </si>
  <si>
    <r>
      <rPr>
        <sz val="10"/>
        <rFont val="WenQuanYi Zen Hei"/>
        <family val="2"/>
      </rPr>
      <t xml:space="preserve">담도절제술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림프절절제 동반</t>
    </r>
    <r>
      <rPr>
        <sz val="10"/>
        <rFont val="Arial"/>
        <family val="0"/>
        <charset val="1"/>
      </rPr>
      <t xml:space="preserve">)</t>
    </r>
  </si>
  <si>
    <t xml:space="preserve">H071</t>
  </si>
  <si>
    <r>
      <rPr>
        <sz val="10"/>
        <rFont val="WenQuanYi Zen Hei"/>
        <family val="2"/>
      </rPr>
      <t xml:space="preserve">복강경을 이용한 담도절제술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림프절 절제 동반</t>
    </r>
    <r>
      <rPr>
        <sz val="10"/>
        <rFont val="Arial"/>
        <family val="0"/>
        <charset val="1"/>
      </rPr>
      <t xml:space="preserve">)</t>
    </r>
  </si>
  <si>
    <t xml:space="preserve">H072</t>
  </si>
  <si>
    <r>
      <rPr>
        <sz val="10"/>
        <rFont val="WenQuanYi Zen Hei"/>
        <family val="2"/>
      </rPr>
      <t xml:space="preserve">개복에 의한 담도절제술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림프절 절제 동반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</si>
  <si>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담도절제술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림프절절제 미동반</t>
    </r>
    <r>
      <rPr>
        <sz val="10"/>
        <rFont val="Arial"/>
        <family val="0"/>
        <charset val="1"/>
      </rPr>
      <t xml:space="preserve">)</t>
    </r>
  </si>
  <si>
    <t xml:space="preserve">H081</t>
  </si>
  <si>
    <r>
      <rPr>
        <sz val="10"/>
        <rFont val="WenQuanYi Zen Hei"/>
        <family val="2"/>
      </rPr>
      <t xml:space="preserve">복강경을 이용한 담도절제술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림프절 절제 미동반</t>
    </r>
    <r>
      <rPr>
        <sz val="10"/>
        <rFont val="Arial"/>
        <family val="0"/>
        <charset val="1"/>
      </rPr>
      <t xml:space="preserve">)</t>
    </r>
  </si>
  <si>
    <t xml:space="preserve">H082</t>
  </si>
  <si>
    <r>
      <rPr>
        <sz val="10"/>
        <rFont val="WenQuanYi Zen Hei"/>
        <family val="2"/>
      </rPr>
      <t xml:space="preserve">개복에 의한 담도 절제술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림프절 절제 미동반</t>
    </r>
    <r>
      <rPr>
        <sz val="10"/>
        <rFont val="Arial"/>
        <family val="0"/>
        <charset val="1"/>
      </rPr>
      <t xml:space="preserve">)</t>
    </r>
  </si>
  <si>
    <t xml:space="preserve">주요 담도수술</t>
  </si>
  <si>
    <t xml:space="preserve">H091</t>
  </si>
  <si>
    <t xml:space="preserve">복강경을 이용한 주요담도 수술</t>
  </si>
  <si>
    <t xml:space="preserve">H092</t>
  </si>
  <si>
    <t xml:space="preserve">개복에 의한 주요 담도수술</t>
  </si>
  <si>
    <t xml:space="preserve">담낭절제술</t>
  </si>
  <si>
    <t xml:space="preserve">H101</t>
  </si>
  <si>
    <r>
      <rPr>
        <sz val="10"/>
        <rFont val="WenQuanYi Zen Hei"/>
        <family val="2"/>
      </rPr>
      <t xml:space="preserve">복강경을 이용한담낭절제술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총수담관탐구술 및 경피적담낭조루술동반</t>
    </r>
    <r>
      <rPr>
        <sz val="10"/>
        <rFont val="Arial"/>
        <family val="0"/>
        <charset val="1"/>
      </rPr>
      <t xml:space="preserve">)</t>
    </r>
  </si>
  <si>
    <t xml:space="preserve">H102</t>
  </si>
  <si>
    <r>
      <rPr>
        <sz val="10"/>
        <rFont val="WenQuanYi Zen Hei"/>
        <family val="2"/>
      </rPr>
      <t xml:space="preserve">개복에 의한담낭절제술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총수담관탐구술 및 경피적담낭조루술동반</t>
    </r>
    <r>
      <rPr>
        <sz val="10"/>
        <rFont val="Arial"/>
        <family val="0"/>
        <charset val="1"/>
      </rPr>
      <t xml:space="preserve">)</t>
    </r>
  </si>
  <si>
    <t xml:space="preserve">H103</t>
  </si>
  <si>
    <r>
      <rPr>
        <sz val="10"/>
        <rFont val="WenQuanYi Zen Hei"/>
        <family val="2"/>
      </rPr>
      <t xml:space="preserve">복강경을 이용한담낭절제술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총수담관탐구술 동반</t>
    </r>
    <r>
      <rPr>
        <sz val="10"/>
        <rFont val="Arial"/>
        <family val="0"/>
        <charset val="1"/>
      </rPr>
      <t xml:space="preserve">)</t>
    </r>
  </si>
  <si>
    <t xml:space="preserve">H104</t>
  </si>
  <si>
    <r>
      <rPr>
        <sz val="10"/>
        <rFont val="WenQuanYi Zen Hei"/>
        <family val="2"/>
      </rPr>
      <t xml:space="preserve">개복에 의한담낭절제술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총수담관탐구술 동반</t>
    </r>
    <r>
      <rPr>
        <sz val="10"/>
        <rFont val="Arial"/>
        <family val="0"/>
        <charset val="1"/>
      </rPr>
      <t xml:space="preserve">)</t>
    </r>
  </si>
  <si>
    <t xml:space="preserve">H105</t>
  </si>
  <si>
    <r>
      <rPr>
        <sz val="10"/>
        <rFont val="WenQuanYi Zen Hei"/>
        <family val="2"/>
      </rPr>
      <t xml:space="preserve">복강경을 이용한담낭절제술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경피적담낭조루술 동반</t>
    </r>
    <r>
      <rPr>
        <sz val="10"/>
        <rFont val="Arial"/>
        <family val="0"/>
        <charset val="1"/>
      </rPr>
      <t xml:space="preserve">)</t>
    </r>
  </si>
  <si>
    <t xml:space="preserve">H106</t>
  </si>
  <si>
    <r>
      <rPr>
        <sz val="10"/>
        <rFont val="WenQuanYi Zen Hei"/>
        <family val="2"/>
      </rPr>
      <t xml:space="preserve">개복에 의한담낭절제술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경피적담낭조루술 동반</t>
    </r>
    <r>
      <rPr>
        <sz val="10"/>
        <rFont val="Arial"/>
        <family val="0"/>
        <charset val="1"/>
      </rPr>
      <t xml:space="preserve">)</t>
    </r>
  </si>
  <si>
    <t xml:space="preserve">H107</t>
  </si>
  <si>
    <r>
      <rPr>
        <sz val="10"/>
        <rFont val="WenQuanYi Zen Hei"/>
        <family val="2"/>
      </rPr>
      <t xml:space="preserve">복강경을 이용한담낭절제술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총수담관탐구술 및 경피적담낭조루술미동반</t>
    </r>
    <r>
      <rPr>
        <sz val="10"/>
        <rFont val="Arial"/>
        <family val="0"/>
        <charset val="1"/>
      </rPr>
      <t xml:space="preserve">)</t>
    </r>
  </si>
  <si>
    <t xml:space="preserve">H108</t>
  </si>
  <si>
    <r>
      <rPr>
        <sz val="10"/>
        <rFont val="WenQuanYi Zen Hei"/>
        <family val="2"/>
      </rPr>
      <t xml:space="preserve">개복에 의한담낭절제술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총수담관탐구술 및 경피적담낭조루술미동반</t>
    </r>
    <r>
      <rPr>
        <sz val="10"/>
        <rFont val="Arial"/>
        <family val="0"/>
        <charset val="1"/>
      </rPr>
      <t xml:space="preserve">)</t>
    </r>
  </si>
  <si>
    <t xml:space="preserve">췌장절제술</t>
  </si>
  <si>
    <t xml:space="preserve">H111</t>
  </si>
  <si>
    <t xml:space="preserve">복강경을 이용한췌장절제술</t>
  </si>
  <si>
    <t xml:space="preserve">H112</t>
  </si>
  <si>
    <t xml:space="preserve">개복에 의한 췌장절제술</t>
  </si>
  <si>
    <t xml:space="preserve">췌장 수술</t>
  </si>
  <si>
    <t xml:space="preserve">H121</t>
  </si>
  <si>
    <t xml:space="preserve">복강경을 이용한 췌장수술</t>
  </si>
  <si>
    <t xml:space="preserve">H122</t>
  </si>
  <si>
    <t xml:space="preserve">개복에 의한 췌장 수술</t>
  </si>
  <si>
    <t xml:space="preserve">기타간담도 및췌장 시술</t>
  </si>
  <si>
    <t xml:space="preserve">H142</t>
  </si>
  <si>
    <t xml:space="preserve">역행성담췌관내시경 시술</t>
  </si>
  <si>
    <t xml:space="preserve">H143</t>
  </si>
  <si>
    <t xml:space="preserve">담석 제거를 위한 체외충격파쇄석술</t>
  </si>
  <si>
    <r>
      <rPr>
        <sz val="10"/>
        <rFont val="WenQuanYi Zen Hei"/>
        <family val="2"/>
      </rPr>
      <t xml:space="preserve">담석을 체외충격파로 부수는 시술</t>
    </r>
    <r>
      <rPr>
        <sz val="10"/>
        <rFont val="Arial"/>
        <family val="0"/>
        <charset val="1"/>
      </rPr>
      <t xml:space="preserve">(ESWL)</t>
    </r>
  </si>
  <si>
    <t xml:space="preserve">H144</t>
  </si>
  <si>
    <t xml:space="preserve">기타 간담도 및 췌장 수술</t>
  </si>
  <si>
    <t xml:space="preserve">H145</t>
  </si>
  <si>
    <t xml:space="preserve">경피적 담관경 시술</t>
  </si>
  <si>
    <t xml:space="preserve">H146</t>
  </si>
  <si>
    <t xml:space="preserve">경피적 담관 시술</t>
  </si>
  <si>
    <t xml:space="preserve">간담도 및췌장의 경피적시술</t>
  </si>
  <si>
    <t xml:space="preserve">H152</t>
  </si>
  <si>
    <r>
      <rPr>
        <sz val="10"/>
        <rFont val="WenQuanYi Zen Hei"/>
        <family val="2"/>
      </rPr>
      <t xml:space="preserve">경피적 혈관 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간의악성종양 제외</t>
    </r>
    <r>
      <rPr>
        <sz val="10"/>
        <rFont val="Arial"/>
        <family val="0"/>
        <charset val="1"/>
      </rPr>
      <t xml:space="preserve">)</t>
    </r>
  </si>
  <si>
    <t xml:space="preserve">H154</t>
  </si>
  <si>
    <t xml:space="preserve">담도협착을 위한 경피적시술</t>
  </si>
  <si>
    <t xml:space="preserve">H155</t>
  </si>
  <si>
    <t xml:space="preserve">담석제거를 위한 경피적시술</t>
  </si>
  <si>
    <t xml:space="preserve">H156</t>
  </si>
  <si>
    <r>
      <rPr>
        <sz val="10"/>
        <rFont val="WenQuanYi Zen Hei"/>
        <family val="2"/>
      </rPr>
      <t xml:space="preserve">경피적 혈관 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간의악성종양의 경우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소작술동반</t>
    </r>
  </si>
  <si>
    <t xml:space="preserve">H157</t>
  </si>
  <si>
    <r>
      <rPr>
        <sz val="10"/>
        <rFont val="WenQuanYi Zen Hei"/>
        <family val="2"/>
      </rPr>
      <t xml:space="preserve">경피적 혈관 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간의악성종양의 경우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소작술미동반</t>
    </r>
  </si>
  <si>
    <t xml:space="preserve">출혈성정맥류에 대한내시경 시술</t>
  </si>
  <si>
    <t xml:space="preserve">H500</t>
  </si>
  <si>
    <t xml:space="preserve">출혈성 정맥류에 대한내시경 시술</t>
  </si>
  <si>
    <r>
      <rPr>
        <sz val="10"/>
        <rFont val="WenQuanYi Zen Hei"/>
        <family val="2"/>
      </rPr>
      <t xml:space="preserve">식도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위 정맥류 출혈 내시경 시술</t>
    </r>
  </si>
  <si>
    <t xml:space="preserve">간암의경피적 치료술</t>
  </si>
  <si>
    <t xml:space="preserve">H510</t>
  </si>
  <si>
    <t xml:space="preserve">간암의 경피적 치료술</t>
  </si>
  <si>
    <r>
      <rPr>
        <sz val="10"/>
        <rFont val="WenQuanYi Zen Hei"/>
        <family val="2"/>
      </rPr>
      <t xml:space="preserve">간암을 고주파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에탄올 등으로 경피 치료</t>
    </r>
  </si>
  <si>
    <t xml:space="preserve">간담도 및췌장 질환의경피적 배액술</t>
  </si>
  <si>
    <t xml:space="preserve">H520</t>
  </si>
  <si>
    <t xml:space="preserve">간담도 및 췌장 질환의 경피적 배액술</t>
  </si>
  <si>
    <t xml:space="preserve">간담도췌 농양 등 경피적 배액</t>
  </si>
  <si>
    <t xml:space="preserve">양쪽 또는복수 주요관절 수술</t>
  </si>
  <si>
    <t xml:space="preserve">I011</t>
  </si>
  <si>
    <r>
      <rPr>
        <sz val="10"/>
        <rFont val="WenQuanYi Zen Hei"/>
        <family val="2"/>
      </rPr>
      <t xml:space="preserve">양쪽 또는 복수 주요 관절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치환술의 경우</t>
    </r>
    <r>
      <rPr>
        <sz val="10"/>
        <rFont val="Arial"/>
        <family val="0"/>
        <charset val="1"/>
      </rPr>
      <t xml:space="preserve">)</t>
    </r>
  </si>
  <si>
    <t xml:space="preserve">근골격계</t>
  </si>
  <si>
    <t xml:space="preserve">양쪽 또는 여러 주요관절 인공관절 치환</t>
  </si>
  <si>
    <t xml:space="preserve">I012</t>
  </si>
  <si>
    <r>
      <rPr>
        <sz val="10"/>
        <rFont val="WenQuanYi Zen Hei"/>
        <family val="2"/>
      </rPr>
      <t xml:space="preserve">양쪽 또는 복수 주요 관절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치환술 제외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</si>
  <si>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양쪽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복수 주요관절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치환 제외</t>
    </r>
    <r>
      <rPr>
        <sz val="10"/>
        <rFont val="Arial"/>
        <family val="0"/>
        <charset val="1"/>
      </rPr>
      <t xml:space="preserve">)</t>
    </r>
  </si>
  <si>
    <t xml:space="preserve">고관절재치환술 및치환술</t>
  </si>
  <si>
    <t xml:space="preserve">I021</t>
  </si>
  <si>
    <t xml:space="preserve">고관절 전재치환술</t>
  </si>
  <si>
    <t xml:space="preserve">I022</t>
  </si>
  <si>
    <t xml:space="preserve">고관절 전치환술</t>
  </si>
  <si>
    <t xml:space="preserve">I023</t>
  </si>
  <si>
    <t xml:space="preserve">고관절 부분치환술</t>
  </si>
  <si>
    <t xml:space="preserve">슬관절재치환술 및치환술</t>
  </si>
  <si>
    <t xml:space="preserve">I031</t>
  </si>
  <si>
    <t xml:space="preserve">슬관절 전재치환술</t>
  </si>
  <si>
    <t xml:space="preserve">I032</t>
  </si>
  <si>
    <t xml:space="preserve">슬관절 전치환술</t>
  </si>
  <si>
    <t xml:space="preserve">I033</t>
  </si>
  <si>
    <t xml:space="preserve">슬관절 부분치환술</t>
  </si>
  <si>
    <t xml:space="preserve">기타 관절재치환술 및치환술</t>
  </si>
  <si>
    <t xml:space="preserve">I041</t>
  </si>
  <si>
    <t xml:space="preserve">기타 관절 전재치환술</t>
  </si>
  <si>
    <t xml:space="preserve">I042</t>
  </si>
  <si>
    <t xml:space="preserve">기타 관절 전치환술</t>
  </si>
  <si>
    <t xml:space="preserve">I043</t>
  </si>
  <si>
    <t xml:space="preserve">기타 관절 부분치환술</t>
  </si>
  <si>
    <t xml:space="preserve">I044</t>
  </si>
  <si>
    <t xml:space="preserve">인공관절삽입술 제거술</t>
  </si>
  <si>
    <t xml:space="preserve">혈관부착골피부판 이식및 사지재접합술</t>
  </si>
  <si>
    <t xml:space="preserve">I050</t>
  </si>
  <si>
    <t xml:space="preserve">혈관부착 골피부판 이식 및 사지 재접합술</t>
  </si>
  <si>
    <r>
      <rPr>
        <sz val="10"/>
        <rFont val="WenQuanYi Zen Hei"/>
        <family val="2"/>
      </rPr>
      <t xml:space="preserve">혈관 포함 조직이식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절단 사지 재접합</t>
    </r>
  </si>
  <si>
    <t xml:space="preserve">I061</t>
  </si>
  <si>
    <t xml:space="preserve">I062</t>
  </si>
  <si>
    <t xml:space="preserve">I063</t>
  </si>
  <si>
    <t xml:space="preserve">I064</t>
  </si>
  <si>
    <t xml:space="preserve">I071</t>
  </si>
  <si>
    <t xml:space="preserve">I072</t>
  </si>
  <si>
    <t xml:space="preserve">I073</t>
  </si>
  <si>
    <r>
      <rPr>
        <sz val="10"/>
        <rFont val="WenQuanYi Zen Hei"/>
        <family val="2"/>
      </rPr>
      <t xml:space="preserve">성인기 척추변형척추고정술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감압술미동반</t>
    </r>
    <r>
      <rPr>
        <sz val="10"/>
        <rFont val="Arial"/>
        <family val="0"/>
        <charset val="1"/>
      </rPr>
      <t xml:space="preserve">)</t>
    </r>
  </si>
  <si>
    <t xml:space="preserve">I081</t>
  </si>
  <si>
    <t xml:space="preserve">I082</t>
  </si>
  <si>
    <t xml:space="preserve">I083</t>
  </si>
  <si>
    <t xml:space="preserve">I084</t>
  </si>
  <si>
    <t xml:space="preserve">I085</t>
  </si>
  <si>
    <t xml:space="preserve">I086</t>
  </si>
  <si>
    <t xml:space="preserve">척추 중재</t>
  </si>
  <si>
    <t xml:space="preserve">I091</t>
  </si>
  <si>
    <t xml:space="preserve">I092</t>
  </si>
  <si>
    <t xml:space="preserve">신경조절술 및척수강내약물주입펌프이식술</t>
  </si>
  <si>
    <t xml:space="preserve">I101</t>
  </si>
  <si>
    <r>
      <rPr>
        <sz val="10"/>
        <rFont val="WenQuanYi Zen Hei"/>
        <family val="2"/>
      </rPr>
      <t xml:space="preserve">통증치료용 척수자극기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약물펌프 설치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교환</t>
    </r>
  </si>
  <si>
    <t xml:space="preserve">I102</t>
  </si>
  <si>
    <t xml:space="preserve">시험거치 또는 제거술</t>
  </si>
  <si>
    <t xml:space="preserve">절단술</t>
  </si>
  <si>
    <t xml:space="preserve">I111</t>
  </si>
  <si>
    <t xml:space="preserve">주요 절단술</t>
  </si>
  <si>
    <r>
      <rPr>
        <sz val="10"/>
        <rFont val="WenQuanYi Zen Hei"/>
        <family val="2"/>
      </rPr>
      <t xml:space="preserve">팔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다리 등 주요 절단술</t>
    </r>
  </si>
  <si>
    <t xml:space="preserve">I112</t>
  </si>
  <si>
    <t xml:space="preserve">기타 절단술</t>
  </si>
  <si>
    <t xml:space="preserve">골종양의절제술</t>
  </si>
  <si>
    <t xml:space="preserve">I121</t>
  </si>
  <si>
    <r>
      <rPr>
        <sz val="10"/>
        <rFont val="WenQuanYi Zen Hei"/>
        <family val="2"/>
      </rPr>
      <t xml:space="preserve">골악성종양의 광범위절제술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재건술 동반</t>
    </r>
    <r>
      <rPr>
        <sz val="10"/>
        <rFont val="Arial"/>
        <family val="0"/>
        <charset val="1"/>
      </rPr>
      <t xml:space="preserve">)</t>
    </r>
  </si>
  <si>
    <t xml:space="preserve">I122</t>
  </si>
  <si>
    <r>
      <rPr>
        <sz val="10"/>
        <rFont val="WenQuanYi Zen Hei"/>
        <family val="2"/>
      </rPr>
      <t xml:space="preserve">골악성종양의 광범위절제술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골반골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대퇴골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하퇴골</t>
    </r>
    <r>
      <rPr>
        <sz val="10"/>
        <rFont val="Arial"/>
        <family val="0"/>
        <charset val="1"/>
      </rPr>
      <t xml:space="preserve">)</t>
    </r>
  </si>
  <si>
    <t xml:space="preserve">I123</t>
  </si>
  <si>
    <r>
      <rPr>
        <sz val="10"/>
        <rFont val="WenQuanYi Zen Hei"/>
        <family val="2"/>
      </rPr>
      <t xml:space="preserve">골악성종양의 광범위절제술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기타</t>
    </r>
    <r>
      <rPr>
        <sz val="10"/>
        <rFont val="Arial"/>
        <family val="0"/>
        <charset val="1"/>
      </rPr>
      <t xml:space="preserve">)</t>
    </r>
  </si>
  <si>
    <t xml:space="preserve">I124</t>
  </si>
  <si>
    <t xml:space="preserve">골양성종양의 소파술 또는 절제술</t>
  </si>
  <si>
    <r>
      <rPr>
        <sz val="10"/>
        <rFont val="WenQuanYi Zen Hei"/>
        <family val="2"/>
      </rPr>
      <t xml:space="preserve">뼈 양성종양의 소파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절제</t>
    </r>
  </si>
  <si>
    <t xml:space="preserve">골수염 및농양 수술</t>
  </si>
  <si>
    <t xml:space="preserve">I131</t>
  </si>
  <si>
    <r>
      <rPr>
        <sz val="10"/>
        <rFont val="WenQuanYi Zen Hei"/>
        <family val="2"/>
      </rPr>
      <t xml:space="preserve">골수염 및 농양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골반골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대퇴골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하퇴골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상완골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전완골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쇄골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</si>
  <si>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골반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대퇴 등 골수염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농양 수술</t>
    </r>
  </si>
  <si>
    <t xml:space="preserve">I132</t>
  </si>
  <si>
    <r>
      <rPr>
        <sz val="10"/>
        <rFont val="WenQuanYi Zen Hei"/>
        <family val="2"/>
      </rPr>
      <t xml:space="preserve">골수염 및 농양수술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기타</t>
    </r>
    <r>
      <rPr>
        <sz val="10"/>
        <rFont val="Arial"/>
        <family val="0"/>
        <charset val="1"/>
      </rPr>
      <t xml:space="preserve">)</t>
    </r>
  </si>
  <si>
    <t xml:space="preserve">I133</t>
  </si>
  <si>
    <t xml:space="preserve">근농양 배농술</t>
  </si>
  <si>
    <t xml:space="preserve">고관절 및대퇴부 수술</t>
  </si>
  <si>
    <t xml:space="preserve">I141</t>
  </si>
  <si>
    <t xml:space="preserve">양쪽 또는 복수 고관절 및대퇴부 수술</t>
  </si>
  <si>
    <r>
      <rPr>
        <sz val="10"/>
        <rFont val="WenQuanYi Zen Hei"/>
        <family val="2"/>
      </rPr>
      <t xml:space="preserve">양쪽 또는 복수 고관절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대퇴부 수술</t>
    </r>
  </si>
  <si>
    <t xml:space="preserve">I142</t>
  </si>
  <si>
    <t xml:space="preserve">한쪽 고관절 및 대퇴부 수술</t>
  </si>
  <si>
    <r>
      <rPr>
        <sz val="10"/>
        <rFont val="WenQuanYi Zen Hei"/>
        <family val="2"/>
      </rPr>
      <t xml:space="preserve">한쪽 고관절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대퇴부 수술</t>
    </r>
  </si>
  <si>
    <r>
      <rPr>
        <sz val="10"/>
        <rFont val="WenQuanYi Zen Hei"/>
        <family val="2"/>
      </rPr>
      <t xml:space="preserve">상완골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경골 및 비골수술</t>
    </r>
  </si>
  <si>
    <t xml:space="preserve">I160</t>
  </si>
  <si>
    <r>
      <rPr>
        <sz val="10"/>
        <rFont val="WenQuanYi Zen Hei"/>
        <family val="2"/>
      </rPr>
      <t xml:space="preserve">상완골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경골 및 비골 수술</t>
    </r>
  </si>
  <si>
    <r>
      <rPr>
        <sz val="10"/>
        <rFont val="WenQuanYi Zen Hei"/>
        <family val="2"/>
      </rPr>
      <t xml:space="preserve">팔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다리 긴뼈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상완골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경골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비골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수술</t>
    </r>
  </si>
  <si>
    <t xml:space="preserve">단단성형술</t>
  </si>
  <si>
    <t xml:space="preserve">I171</t>
  </si>
  <si>
    <r>
      <rPr>
        <sz val="10"/>
        <rFont val="WenQuanYi Zen Hei"/>
        <family val="2"/>
      </rPr>
      <t xml:space="preserve">단단성형술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수족지 제외</t>
    </r>
    <r>
      <rPr>
        <sz val="10"/>
        <rFont val="Arial"/>
        <family val="0"/>
        <charset val="1"/>
      </rPr>
      <t xml:space="preserve">)</t>
    </r>
  </si>
  <si>
    <t xml:space="preserve">I172</t>
  </si>
  <si>
    <r>
      <rPr>
        <sz val="10"/>
        <rFont val="WenQuanYi Zen Hei"/>
        <family val="2"/>
      </rPr>
      <t xml:space="preserve">단단성형술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수족지</t>
    </r>
    <r>
      <rPr>
        <sz val="10"/>
        <rFont val="Arial"/>
        <family val="0"/>
        <charset val="1"/>
      </rPr>
      <t xml:space="preserve">)</t>
    </r>
  </si>
  <si>
    <t xml:space="preserve">견부 수술</t>
  </si>
  <si>
    <t xml:space="preserve">I181</t>
  </si>
  <si>
    <t xml:space="preserve">회전근개 수술</t>
  </si>
  <si>
    <t xml:space="preserve">I182</t>
  </si>
  <si>
    <t xml:space="preserve">관절와순 수술</t>
  </si>
  <si>
    <t xml:space="preserve">I183</t>
  </si>
  <si>
    <t xml:space="preserve">복수 진단 견부 수술</t>
  </si>
  <si>
    <t xml:space="preserve">I184</t>
  </si>
  <si>
    <t xml:space="preserve">기타 견부 수술</t>
  </si>
  <si>
    <t xml:space="preserve">슬부 수술</t>
  </si>
  <si>
    <t xml:space="preserve">I191</t>
  </si>
  <si>
    <t xml:space="preserve">십자인대 수술</t>
  </si>
  <si>
    <t xml:space="preserve">I192</t>
  </si>
  <si>
    <r>
      <rPr>
        <sz val="10"/>
        <rFont val="WenQuanYi Zen Hei"/>
        <family val="2"/>
      </rPr>
      <t xml:space="preserve">반달연골 수술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양쪽</t>
    </r>
  </si>
  <si>
    <t xml:space="preserve">I193</t>
  </si>
  <si>
    <r>
      <rPr>
        <sz val="10"/>
        <rFont val="WenQuanYi Zen Hei"/>
        <family val="2"/>
      </rPr>
      <t xml:space="preserve">반달연골 수술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한쪽</t>
    </r>
  </si>
  <si>
    <t xml:space="preserve">I194</t>
  </si>
  <si>
    <t xml:space="preserve">기타 슬관절 수술</t>
  </si>
  <si>
    <t xml:space="preserve">주관절 및전완부 수술</t>
  </si>
  <si>
    <t xml:space="preserve">I200</t>
  </si>
  <si>
    <t xml:space="preserve">주관절 및 전완부 수술</t>
  </si>
  <si>
    <r>
      <rPr>
        <sz val="10"/>
        <rFont val="WenQuanYi Zen Hei"/>
        <family val="2"/>
      </rPr>
      <t xml:space="preserve">팔꿈치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아래팔 수술</t>
    </r>
  </si>
  <si>
    <t xml:space="preserve">족부 및족관절 수술</t>
  </si>
  <si>
    <t xml:space="preserve">I211</t>
  </si>
  <si>
    <t xml:space="preserve">족부 및 족관절 힘줄인대수술</t>
  </si>
  <si>
    <t xml:space="preserve">I212</t>
  </si>
  <si>
    <t xml:space="preserve">족관절 골연골 병변 수술</t>
  </si>
  <si>
    <t xml:space="preserve">I213</t>
  </si>
  <si>
    <t xml:space="preserve">기타족부 및 족관절 수술</t>
  </si>
  <si>
    <t xml:space="preserve">체내고정장치 제거술</t>
  </si>
  <si>
    <t xml:space="preserve">I220</t>
  </si>
  <si>
    <t xml:space="preserve">뼈에 넣은 금속고정물 제거</t>
  </si>
  <si>
    <t xml:space="preserve">완관절 및수부 수술</t>
  </si>
  <si>
    <t xml:space="preserve">I251</t>
  </si>
  <si>
    <t xml:space="preserve">주요 완관절 및 수부 수술</t>
  </si>
  <si>
    <t xml:space="preserve">I252</t>
  </si>
  <si>
    <t xml:space="preserve">단순 완관절 및 수부 수술</t>
  </si>
  <si>
    <t xml:space="preserve">미세혈관조직이식 또는피부이식</t>
  </si>
  <si>
    <t xml:space="preserve">I261</t>
  </si>
  <si>
    <t xml:space="preserve">미세혈관 조직이식</t>
  </si>
  <si>
    <t xml:space="preserve">미세혈관을 잇는 조직이식</t>
  </si>
  <si>
    <t xml:space="preserve">I262</t>
  </si>
  <si>
    <t xml:space="preserve">기타 피판술</t>
  </si>
  <si>
    <t xml:space="preserve">I263</t>
  </si>
  <si>
    <t xml:space="preserve">피부 및 지방 이식술</t>
  </si>
  <si>
    <t xml:space="preserve">연조직수술</t>
  </si>
  <si>
    <t xml:space="preserve">I271</t>
  </si>
  <si>
    <t xml:space="preserve">복잡한 연조직 수술</t>
  </si>
  <si>
    <t xml:space="preserve">I272</t>
  </si>
  <si>
    <t xml:space="preserve">주요 연조직 수술</t>
  </si>
  <si>
    <t xml:space="preserve">I273</t>
  </si>
  <si>
    <t xml:space="preserve">단순 연조직 수술</t>
  </si>
  <si>
    <t xml:space="preserve">기타 골절수술</t>
  </si>
  <si>
    <t xml:space="preserve">I281</t>
  </si>
  <si>
    <t xml:space="preserve">골반 및 비구 골절 수술</t>
  </si>
  <si>
    <t xml:space="preserve">I282</t>
  </si>
  <si>
    <t xml:space="preserve">대퇴부 골절 수술</t>
  </si>
  <si>
    <t xml:space="preserve">I283</t>
  </si>
  <si>
    <t xml:space="preserve">슬관절 및 하퇴골 골절수술</t>
  </si>
  <si>
    <t xml:space="preserve">I284</t>
  </si>
  <si>
    <t xml:space="preserve">족관절 및 족부 골절 수술</t>
  </si>
  <si>
    <t xml:space="preserve">I285</t>
  </si>
  <si>
    <t xml:space="preserve">견부 및 상완골 골절 수술</t>
  </si>
  <si>
    <t xml:space="preserve">I286</t>
  </si>
  <si>
    <t xml:space="preserve">전완부 골절 수술</t>
  </si>
  <si>
    <t xml:space="preserve">I287</t>
  </si>
  <si>
    <t xml:space="preserve">수부 골절 수술</t>
  </si>
  <si>
    <t xml:space="preserve">손 골절 수술</t>
  </si>
  <si>
    <t xml:space="preserve">기타결합조직 수술</t>
  </si>
  <si>
    <t xml:space="preserve">I290</t>
  </si>
  <si>
    <t xml:space="preserve">기타 결합조직 수술</t>
  </si>
  <si>
    <t xml:space="preserve">복잡인공관절치환술</t>
  </si>
  <si>
    <t xml:space="preserve">I301</t>
  </si>
  <si>
    <t xml:space="preserve">복잡 양쪽 또는 복수인공관절치환술</t>
  </si>
  <si>
    <t xml:space="preserve">I302</t>
  </si>
  <si>
    <r>
      <rPr>
        <sz val="10"/>
        <rFont val="WenQuanYi Zen Hei"/>
        <family val="2"/>
      </rPr>
      <t xml:space="preserve">복잡 인공관절전재치환술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주요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고관절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슬관절</t>
    </r>
    <r>
      <rPr>
        <sz val="10"/>
        <rFont val="Arial"/>
        <family val="0"/>
        <charset val="1"/>
      </rPr>
      <t xml:space="preserve">)</t>
    </r>
  </si>
  <si>
    <t xml:space="preserve">I303</t>
  </si>
  <si>
    <r>
      <rPr>
        <sz val="10"/>
        <rFont val="WenQuanYi Zen Hei"/>
        <family val="2"/>
      </rPr>
      <t xml:space="preserve">복잡 인공관절전재치환술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기타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어깨관절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견관절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주관절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족관절</t>
    </r>
    <r>
      <rPr>
        <sz val="10"/>
        <rFont val="Arial"/>
        <family val="0"/>
        <charset val="1"/>
      </rPr>
      <t xml:space="preserve">)</t>
    </r>
  </si>
  <si>
    <t xml:space="preserve">I304</t>
  </si>
  <si>
    <r>
      <rPr>
        <sz val="10"/>
        <rFont val="WenQuanYi Zen Hei"/>
        <family val="2"/>
      </rPr>
      <t xml:space="preserve">복잡 인공관절전치환술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주요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고관절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슬관절</t>
    </r>
    <r>
      <rPr>
        <sz val="10"/>
        <rFont val="Arial"/>
        <family val="0"/>
        <charset val="1"/>
      </rPr>
      <t xml:space="preserve">)</t>
    </r>
  </si>
  <si>
    <t xml:space="preserve">I305</t>
  </si>
  <si>
    <r>
      <rPr>
        <sz val="10"/>
        <rFont val="WenQuanYi Zen Hei"/>
        <family val="2"/>
      </rPr>
      <t xml:space="preserve">복잡 인공관절전치환술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기타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어깨관절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견관절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주관절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족관절</t>
    </r>
    <r>
      <rPr>
        <sz val="10"/>
        <rFont val="Arial"/>
        <family val="0"/>
        <charset val="1"/>
      </rPr>
      <t xml:space="preserve">)</t>
    </r>
  </si>
  <si>
    <t xml:space="preserve">I306</t>
  </si>
  <si>
    <t xml:space="preserve">복잡 인공관절부분치환술</t>
  </si>
  <si>
    <t xml:space="preserve">복잡 인공관절 부분치환</t>
  </si>
  <si>
    <t xml:space="preserve">I311</t>
  </si>
  <si>
    <t xml:space="preserve">I312</t>
  </si>
  <si>
    <t xml:space="preserve">복잡 관절수술</t>
  </si>
  <si>
    <t xml:space="preserve">I321</t>
  </si>
  <si>
    <t xml:space="preserve">복잡 사지골절정복술</t>
  </si>
  <si>
    <t xml:space="preserve">I322</t>
  </si>
  <si>
    <t xml:space="preserve">복잡 관절고정술</t>
  </si>
  <si>
    <t xml:space="preserve">I323</t>
  </si>
  <si>
    <t xml:space="preserve">복잡 사지관절절제술</t>
  </si>
  <si>
    <t xml:space="preserve">I324</t>
  </si>
  <si>
    <t xml:space="preserve">복잡 가관절수술</t>
  </si>
  <si>
    <t xml:space="preserve">I325</t>
  </si>
  <si>
    <t xml:space="preserve">복잡 반월판연골절제술</t>
  </si>
  <si>
    <t xml:space="preserve">복잡근골격계염증성 질환수술</t>
  </si>
  <si>
    <t xml:space="preserve">I331</t>
  </si>
  <si>
    <t xml:space="preserve">복잡 화농성관절염절개술</t>
  </si>
  <si>
    <t xml:space="preserve">I332</t>
  </si>
  <si>
    <t xml:space="preserve">복잡 골수염 및 농양수술</t>
  </si>
  <si>
    <t xml:space="preserve">근골격계질환의 경피적배액술</t>
  </si>
  <si>
    <t xml:space="preserve">I500</t>
  </si>
  <si>
    <t xml:space="preserve">근골격계 질환의 경피적 배액술</t>
  </si>
  <si>
    <t xml:space="preserve">근골격 농양 등 경피적 배액</t>
  </si>
  <si>
    <r>
      <rPr>
        <sz val="10"/>
        <rFont val="WenQuanYi Zen Hei"/>
        <family val="2"/>
      </rPr>
      <t xml:space="preserve">피부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피하조직 및유방 질환에대한 미세혈관조직이식</t>
    </r>
  </si>
  <si>
    <t xml:space="preserve">J010</t>
  </si>
  <si>
    <r>
      <rPr>
        <sz val="10"/>
        <rFont val="WenQuanYi Zen Hei"/>
        <family val="2"/>
      </rPr>
      <t xml:space="preserve">피부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피하조직 및 유방 질환에 대한 미세혈관 조직이식</t>
    </r>
  </si>
  <si>
    <r>
      <rPr>
        <sz val="10"/>
        <rFont val="WenQuanYi Zen Hei"/>
        <family val="2"/>
      </rPr>
      <t xml:space="preserve">피부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유방 결손의 미세혈관 조직이식</t>
    </r>
  </si>
  <si>
    <r>
      <rPr>
        <sz val="10"/>
        <rFont val="WenQuanYi Zen Hei"/>
        <family val="2"/>
      </rPr>
      <t xml:space="preserve">피판술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피부이식술 및변연절제술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피부궤양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봉소염의경우</t>
    </r>
    <r>
      <rPr>
        <sz val="10"/>
        <rFont val="Arial"/>
        <family val="0"/>
        <charset val="1"/>
      </rPr>
      <t xml:space="preserve">)</t>
    </r>
  </si>
  <si>
    <t xml:space="preserve">J021</t>
  </si>
  <si>
    <r>
      <rPr>
        <sz val="10"/>
        <rFont val="WenQuanYi Zen Hei"/>
        <family val="2"/>
      </rPr>
      <t xml:space="preserve">피판술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피부궤양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봉소염의경우</t>
    </r>
    <r>
      <rPr>
        <sz val="10"/>
        <rFont val="Arial"/>
        <family val="0"/>
        <charset val="1"/>
      </rPr>
      <t xml:space="preserve">)</t>
    </r>
  </si>
  <si>
    <t xml:space="preserve">J022</t>
  </si>
  <si>
    <r>
      <rPr>
        <sz val="10"/>
        <rFont val="WenQuanYi Zen Hei"/>
        <family val="2"/>
      </rPr>
      <t xml:space="preserve">피부 이식술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피부궤양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봉소염의 경우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</si>
  <si>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피판술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피부이식술 및변연절제술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피부궤양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봉소염 제외</t>
    </r>
    <r>
      <rPr>
        <sz val="10"/>
        <rFont val="Arial"/>
        <family val="0"/>
        <charset val="1"/>
      </rPr>
      <t xml:space="preserve">)</t>
    </r>
  </si>
  <si>
    <t xml:space="preserve">J031</t>
  </si>
  <si>
    <r>
      <rPr>
        <sz val="10"/>
        <rFont val="WenQuanYi Zen Hei"/>
        <family val="2"/>
      </rPr>
      <t xml:space="preserve">피판술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피부궤양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봉소염제외</t>
    </r>
    <r>
      <rPr>
        <sz val="10"/>
        <rFont val="Arial"/>
        <family val="0"/>
        <charset val="1"/>
      </rPr>
      <t xml:space="preserve">)</t>
    </r>
  </si>
  <si>
    <t xml:space="preserve">J032</t>
  </si>
  <si>
    <r>
      <rPr>
        <sz val="10"/>
        <rFont val="WenQuanYi Zen Hei"/>
        <family val="2"/>
      </rPr>
      <t xml:space="preserve">피부 이식술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피부궤양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봉소염 제외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</si>
  <si>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기타피부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피하조직수술</t>
    </r>
  </si>
  <si>
    <t xml:space="preserve">J041</t>
  </si>
  <si>
    <t xml:space="preserve">피부 및 연조직 악성종양 절제술</t>
  </si>
  <si>
    <r>
      <rPr>
        <sz val="10"/>
        <rFont val="WenQuanYi Zen Hei"/>
        <family val="2"/>
      </rPr>
      <t xml:space="preserve">피부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연조직의 악성종양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암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절제</t>
    </r>
  </si>
  <si>
    <t xml:space="preserve">J042</t>
  </si>
  <si>
    <t xml:space="preserve">피부 및 연조직 수술</t>
  </si>
  <si>
    <t xml:space="preserve">J043</t>
  </si>
  <si>
    <r>
      <rPr>
        <sz val="10"/>
        <rFont val="WenQuanYi Zen Hei"/>
        <family val="2"/>
      </rPr>
      <t xml:space="preserve">기타 피부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피하조직수술</t>
    </r>
  </si>
  <si>
    <t xml:space="preserve">유방재건술</t>
  </si>
  <si>
    <t xml:space="preserve">J051</t>
  </si>
  <si>
    <t xml:space="preserve">자가조직을 이용한유방재건술</t>
  </si>
  <si>
    <t xml:space="preserve">J052</t>
  </si>
  <si>
    <t xml:space="preserve">보형물을 이용한유방재건술</t>
  </si>
  <si>
    <t xml:space="preserve">주요 유방수술</t>
  </si>
  <si>
    <t xml:space="preserve">J061</t>
  </si>
  <si>
    <t xml:space="preserve">근치 유방절제술</t>
  </si>
  <si>
    <t xml:space="preserve">J062</t>
  </si>
  <si>
    <r>
      <rPr>
        <sz val="10"/>
        <rFont val="WenQuanYi Zen Hei"/>
        <family val="2"/>
      </rPr>
      <t xml:space="preserve">유방절제술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악성종양의경우</t>
    </r>
    <r>
      <rPr>
        <sz val="10"/>
        <rFont val="Arial"/>
        <family val="0"/>
        <charset val="1"/>
      </rPr>
      <t xml:space="preserve">)</t>
    </r>
  </si>
  <si>
    <t xml:space="preserve">J063</t>
  </si>
  <si>
    <r>
      <rPr>
        <sz val="10"/>
        <rFont val="WenQuanYi Zen Hei"/>
        <family val="2"/>
      </rPr>
      <t xml:space="preserve">유방절제술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악성종양제외</t>
    </r>
    <r>
      <rPr>
        <sz val="10"/>
        <rFont val="Arial"/>
        <family val="0"/>
        <charset val="1"/>
      </rPr>
      <t xml:space="preserve">)</t>
    </r>
  </si>
  <si>
    <t xml:space="preserve">양성 등 유방절제술</t>
  </si>
  <si>
    <t xml:space="preserve">단순 유방수술</t>
  </si>
  <si>
    <t xml:space="preserve">J071</t>
  </si>
  <si>
    <t xml:space="preserve">진공흡입보조장치를이용한 단순 유방 수술</t>
  </si>
  <si>
    <t xml:space="preserve">J072</t>
  </si>
  <si>
    <t xml:space="preserve">절개에 의한 단순 유방수술</t>
  </si>
  <si>
    <t xml:space="preserve">액와 수술</t>
  </si>
  <si>
    <t xml:space="preserve">J081</t>
  </si>
  <si>
    <r>
      <rPr>
        <sz val="10"/>
        <rFont val="WenQuanYi Zen Hei"/>
        <family val="2"/>
      </rPr>
      <t xml:space="preserve">액와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악성종양의 경우</t>
    </r>
    <r>
      <rPr>
        <sz val="10"/>
        <rFont val="Arial"/>
        <family val="0"/>
        <charset val="1"/>
      </rPr>
      <t xml:space="preserve">)</t>
    </r>
  </si>
  <si>
    <t xml:space="preserve">겨드랑이 악성종양 관련 수술</t>
  </si>
  <si>
    <t xml:space="preserve">J082</t>
  </si>
  <si>
    <r>
      <rPr>
        <sz val="10"/>
        <rFont val="WenQuanYi Zen Hei"/>
        <family val="2"/>
      </rPr>
      <t xml:space="preserve">액와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악성종양 제외</t>
    </r>
    <r>
      <rPr>
        <sz val="10"/>
        <rFont val="Arial"/>
        <family val="0"/>
        <charset val="1"/>
      </rPr>
      <t xml:space="preserve">)</t>
    </r>
  </si>
  <si>
    <t xml:space="preserve">기타 겨드랑이 수술</t>
  </si>
  <si>
    <t xml:space="preserve">기타 유방및 액와 수술</t>
  </si>
  <si>
    <t xml:space="preserve">J090</t>
  </si>
  <si>
    <t xml:space="preserve">기타 유방 및 액와 수술</t>
  </si>
  <si>
    <r>
      <rPr>
        <sz val="10"/>
        <rFont val="WenQuanYi Zen Hei"/>
        <family val="2"/>
      </rPr>
      <t xml:space="preserve">기타 유방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겨드랑이 수술</t>
    </r>
  </si>
  <si>
    <t xml:space="preserve">항문 주위및 모소 수술</t>
  </si>
  <si>
    <t xml:space="preserve">J100</t>
  </si>
  <si>
    <t xml:space="preserve">항문 주위 및 모소 수술</t>
  </si>
  <si>
    <r>
      <rPr>
        <sz val="10"/>
        <rFont val="WenQuanYi Zen Hei"/>
        <family val="2"/>
      </rPr>
      <t xml:space="preserve">항문 주위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모소동 수술</t>
    </r>
  </si>
  <si>
    <t xml:space="preserve">J110</t>
  </si>
  <si>
    <t xml:space="preserve">교감신경절제술</t>
  </si>
  <si>
    <t xml:space="preserve">다한증 등 교감신경 절제술</t>
  </si>
  <si>
    <r>
      <rPr>
        <sz val="10"/>
        <rFont val="WenQuanYi Zen Hei"/>
        <family val="2"/>
      </rPr>
      <t xml:space="preserve">내분비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영양 및대사장애절단술</t>
    </r>
  </si>
  <si>
    <t xml:space="preserve">K011</t>
  </si>
  <si>
    <r>
      <rPr>
        <sz val="10"/>
        <rFont val="WenQuanYi Zen Hei"/>
        <family val="2"/>
      </rPr>
      <t xml:space="preserve">내분비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영양 및 대사장애 절단술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수족부 제외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</si>
  <si>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당뇨 등 대사장애로 인한 사지 절단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손발 제외</t>
    </r>
    <r>
      <rPr>
        <sz val="10"/>
        <rFont val="Arial"/>
        <family val="0"/>
        <charset val="1"/>
      </rPr>
      <t xml:space="preserve">)</t>
    </r>
  </si>
  <si>
    <t xml:space="preserve">K012</t>
  </si>
  <si>
    <r>
      <rPr>
        <sz val="10"/>
        <rFont val="WenQuanYi Zen Hei"/>
        <family val="2"/>
      </rPr>
      <t xml:space="preserve">내분비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영양 및 대사장애 수족부 절단술</t>
    </r>
  </si>
  <si>
    <r>
      <rPr>
        <sz val="10"/>
        <rFont val="WenQuanYi Zen Hei"/>
        <family val="2"/>
      </rPr>
      <t xml:space="preserve">당뇨발 등 손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발 절단</t>
    </r>
  </si>
  <si>
    <t xml:space="preserve">뇌하수체수술</t>
  </si>
  <si>
    <t xml:space="preserve">K021</t>
  </si>
  <si>
    <t xml:space="preserve">천막상부 종양 절제술</t>
  </si>
  <si>
    <t xml:space="preserve">K023</t>
  </si>
  <si>
    <t xml:space="preserve">복잡 경비적 뇌하수체종양 절제술</t>
  </si>
  <si>
    <t xml:space="preserve">K024</t>
  </si>
  <si>
    <t xml:space="preserve">단순 경비적 뇌하수체종양 절제술</t>
  </si>
  <si>
    <t xml:space="preserve">부신 수술</t>
  </si>
  <si>
    <t xml:space="preserve">K031</t>
  </si>
  <si>
    <t xml:space="preserve">복강경을 이용한 부신수술</t>
  </si>
  <si>
    <t xml:space="preserve">K032</t>
  </si>
  <si>
    <t xml:space="preserve">개복에 의한 부신 수술</t>
  </si>
  <si>
    <r>
      <rPr>
        <sz val="10"/>
        <rFont val="WenQuanYi Zen Hei"/>
        <family val="2"/>
      </rPr>
      <t xml:space="preserve">내분비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영양 및대사장애피부이식 및상처변연절제술</t>
    </r>
  </si>
  <si>
    <t xml:space="preserve">K041</t>
  </si>
  <si>
    <r>
      <rPr>
        <sz val="10"/>
        <rFont val="WenQuanYi Zen Hei"/>
        <family val="2"/>
      </rPr>
      <t xml:space="preserve">내분비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영양 및 대사장애유리 피판술</t>
    </r>
  </si>
  <si>
    <t xml:space="preserve">K042</t>
  </si>
  <si>
    <r>
      <rPr>
        <sz val="10"/>
        <rFont val="WenQuanYi Zen Hei"/>
        <family val="2"/>
      </rPr>
      <t xml:space="preserve">내분비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영양 및 대사장애기타 피판술</t>
    </r>
  </si>
  <si>
    <t xml:space="preserve">K043</t>
  </si>
  <si>
    <r>
      <rPr>
        <sz val="10"/>
        <rFont val="WenQuanYi Zen Hei"/>
        <family val="2"/>
      </rPr>
      <t xml:space="preserve">내분비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영양 및 대사장애피부 이식술</t>
    </r>
  </si>
  <si>
    <t xml:space="preserve">부갑상선수술</t>
  </si>
  <si>
    <t xml:space="preserve">K051</t>
  </si>
  <si>
    <t xml:space="preserve">내시경을 이용한 부갑상선수술</t>
  </si>
  <si>
    <t xml:space="preserve">K052</t>
  </si>
  <si>
    <t xml:space="preserve">절개에 의한 부갑상선수술</t>
  </si>
  <si>
    <t xml:space="preserve">주요갑상선 악성종양 수술</t>
  </si>
  <si>
    <t xml:space="preserve">K063</t>
  </si>
  <si>
    <r>
      <rPr>
        <sz val="10"/>
        <rFont val="WenQuanYi Zen Hei"/>
        <family val="2"/>
      </rPr>
      <t xml:space="preserve">주요 갑상선 악성 종양수술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양쪽</t>
    </r>
    <r>
      <rPr>
        <sz val="10"/>
        <rFont val="Arial"/>
        <family val="0"/>
        <charset val="1"/>
      </rPr>
      <t xml:space="preserve">)</t>
    </r>
  </si>
  <si>
    <t xml:space="preserve">K064</t>
  </si>
  <si>
    <r>
      <rPr>
        <sz val="10"/>
        <rFont val="WenQuanYi Zen Hei"/>
        <family val="2"/>
      </rPr>
      <t xml:space="preserve">주요 갑상선 악성 종양수술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한쪽</t>
    </r>
    <r>
      <rPr>
        <sz val="10"/>
        <rFont val="Arial"/>
        <family val="0"/>
        <charset val="1"/>
      </rPr>
      <t xml:space="preserve">)</t>
    </r>
  </si>
  <si>
    <t xml:space="preserve">주요갑상선 악성종양 제외수술</t>
  </si>
  <si>
    <t xml:space="preserve">K075</t>
  </si>
  <si>
    <r>
      <rPr>
        <sz val="10"/>
        <rFont val="WenQuanYi Zen Hei"/>
        <family val="2"/>
      </rPr>
      <t xml:space="preserve">주요 갑상선 악성 종양제외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양쪽</t>
    </r>
    <r>
      <rPr>
        <sz val="10"/>
        <rFont val="Arial"/>
        <family val="0"/>
        <charset val="1"/>
      </rPr>
      <t xml:space="preserve">)</t>
    </r>
  </si>
  <si>
    <t xml:space="preserve">K076</t>
  </si>
  <si>
    <r>
      <rPr>
        <sz val="10"/>
        <rFont val="WenQuanYi Zen Hei"/>
        <family val="2"/>
      </rPr>
      <t xml:space="preserve">주요 갑상선 악성 종양제외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한쪽</t>
    </r>
    <r>
      <rPr>
        <sz val="10"/>
        <rFont val="Arial"/>
        <family val="0"/>
        <charset val="1"/>
      </rPr>
      <t xml:space="preserve">)</t>
    </r>
  </si>
  <si>
    <t xml:space="preserve">기타갑상선 수술</t>
  </si>
  <si>
    <t xml:space="preserve">K080</t>
  </si>
  <si>
    <t xml:space="preserve">기타 갑상선 수술</t>
  </si>
  <si>
    <r>
      <rPr>
        <sz val="10"/>
        <rFont val="WenQuanYi Zen Hei"/>
        <family val="2"/>
      </rPr>
      <t xml:space="preserve">기타내분비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영양및 대사장애수술</t>
    </r>
  </si>
  <si>
    <t xml:space="preserve">K091</t>
  </si>
  <si>
    <t xml:space="preserve">복강경을 이용한비만대사수술</t>
  </si>
  <si>
    <t xml:space="preserve">K092</t>
  </si>
  <si>
    <t xml:space="preserve">개복에 의한 비만대사수술</t>
  </si>
  <si>
    <t xml:space="preserve">K490</t>
  </si>
  <si>
    <r>
      <rPr>
        <sz val="10"/>
        <rFont val="WenQuanYi Zen Hei"/>
        <family val="2"/>
      </rPr>
      <t xml:space="preserve">기타 내분비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영양 및대사장애 수술</t>
    </r>
  </si>
  <si>
    <t xml:space="preserve">복막투석도관 삽입술</t>
  </si>
  <si>
    <t xml:space="preserve">L010</t>
  </si>
  <si>
    <t xml:space="preserve">복막투석 도관 삽입술</t>
  </si>
  <si>
    <r>
      <rPr>
        <sz val="10"/>
        <rFont val="WenQuanYi Zen Hei"/>
        <family val="2"/>
      </rPr>
      <t xml:space="preserve">신장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비뇨기</t>
    </r>
  </si>
  <si>
    <t xml:space="preserve">복막투석용 도관을 삽입하는 수술</t>
  </si>
  <si>
    <t xml:space="preserve">신장 및비뇨기계신생물 수술</t>
  </si>
  <si>
    <t xml:space="preserve">L021</t>
  </si>
  <si>
    <r>
      <rPr>
        <sz val="10"/>
        <rFont val="WenQuanYi Zen Hei"/>
        <family val="2"/>
      </rPr>
      <t xml:space="preserve">주요 신장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신우 및 요관신생물 수술</t>
    </r>
  </si>
  <si>
    <t xml:space="preserve">L022</t>
  </si>
  <si>
    <r>
      <rPr>
        <sz val="10"/>
        <rFont val="WenQuanYi Zen Hei"/>
        <family val="2"/>
      </rPr>
      <t xml:space="preserve">기타 신장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신우 및 요관신생물 수술</t>
    </r>
  </si>
  <si>
    <t xml:space="preserve">L023</t>
  </si>
  <si>
    <t xml:space="preserve">주요 방광 및 골반 신생물수술</t>
  </si>
  <si>
    <t xml:space="preserve">L024</t>
  </si>
  <si>
    <r>
      <rPr>
        <sz val="10"/>
        <rFont val="WenQuanYi Zen Hei"/>
        <family val="2"/>
      </rPr>
      <t xml:space="preserve">기타 방광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골반 및 요도 신생물 수술</t>
    </r>
  </si>
  <si>
    <r>
      <rPr>
        <sz val="10"/>
        <rFont val="WenQuanYi Zen Hei"/>
        <family val="2"/>
      </rPr>
      <t xml:space="preserve">기타 방광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골반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요도 신생물 수술</t>
    </r>
  </si>
  <si>
    <t xml:space="preserve">L025</t>
  </si>
  <si>
    <t xml:space="preserve">경요도 요관 및 방광신생물 수술</t>
  </si>
  <si>
    <t xml:space="preserve">L026</t>
  </si>
  <si>
    <t xml:space="preserve">전립선 신생물 수술</t>
  </si>
  <si>
    <t xml:space="preserve">L027</t>
  </si>
  <si>
    <t xml:space="preserve">복강경을 이용한 신장 및비뇨기계 신생물 수술</t>
  </si>
  <si>
    <t xml:space="preserve">신장 및신우 수술</t>
  </si>
  <si>
    <t xml:space="preserve">L031</t>
  </si>
  <si>
    <t xml:space="preserve">복강경을 이용한 신장 및신우 수술</t>
  </si>
  <si>
    <t xml:space="preserve">L032</t>
  </si>
  <si>
    <t xml:space="preserve">개복에 의한 신장 및 신우수술</t>
  </si>
  <si>
    <t xml:space="preserve">L033</t>
  </si>
  <si>
    <r>
      <rPr>
        <sz val="10"/>
        <rFont val="WenQuanYi Zen Hei"/>
        <family val="2"/>
      </rPr>
      <t xml:space="preserve">경피적 신장 및 신우수술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한쪽</t>
    </r>
  </si>
  <si>
    <t xml:space="preserve">L034</t>
  </si>
  <si>
    <r>
      <rPr>
        <sz val="10"/>
        <rFont val="WenQuanYi Zen Hei"/>
        <family val="2"/>
      </rPr>
      <t xml:space="preserve">경피적 신장 및 신우수술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양쪽</t>
    </r>
  </si>
  <si>
    <t xml:space="preserve">요관 수술</t>
  </si>
  <si>
    <t xml:space="preserve">L040</t>
  </si>
  <si>
    <t xml:space="preserve">요관에 대한 수술</t>
  </si>
  <si>
    <t xml:space="preserve">방광 수술</t>
  </si>
  <si>
    <t xml:space="preserve">L051</t>
  </si>
  <si>
    <t xml:space="preserve">개복에 의한 방광 수술</t>
  </si>
  <si>
    <t xml:space="preserve">L052</t>
  </si>
  <si>
    <t xml:space="preserve">경피적 방광 수술</t>
  </si>
  <si>
    <t xml:space="preserve">L053</t>
  </si>
  <si>
    <t xml:space="preserve">경요도 방광 수술</t>
  </si>
  <si>
    <t xml:space="preserve">전립선수술</t>
  </si>
  <si>
    <t xml:space="preserve">L060</t>
  </si>
  <si>
    <t xml:space="preserve">전립선 수술</t>
  </si>
  <si>
    <t xml:space="preserve">전립선에 대한 수술</t>
  </si>
  <si>
    <t xml:space="preserve">요도 수술</t>
  </si>
  <si>
    <t xml:space="preserve">L071</t>
  </si>
  <si>
    <t xml:space="preserve">주요 요도 수술</t>
  </si>
  <si>
    <t xml:space="preserve">L072</t>
  </si>
  <si>
    <t xml:space="preserve">요도경하 요도 수술</t>
  </si>
  <si>
    <t xml:space="preserve">L073</t>
  </si>
  <si>
    <t xml:space="preserve">기타 요도 수술</t>
  </si>
  <si>
    <t xml:space="preserve">L074</t>
  </si>
  <si>
    <t xml:space="preserve">복잡 요실금 수술</t>
  </si>
  <si>
    <t xml:space="preserve">L075</t>
  </si>
  <si>
    <t xml:space="preserve">단순 요실금 수술</t>
  </si>
  <si>
    <t xml:space="preserve">요로 결석수술</t>
  </si>
  <si>
    <t xml:space="preserve">L081</t>
  </si>
  <si>
    <t xml:space="preserve">복강경을 이용한 요로결석 수술</t>
  </si>
  <si>
    <t xml:space="preserve">L082</t>
  </si>
  <si>
    <r>
      <rPr>
        <sz val="10"/>
        <rFont val="WenQuanYi Zen Hei"/>
        <family val="2"/>
      </rPr>
      <t xml:space="preserve">신장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신우 및 요관 결석수술</t>
    </r>
  </si>
  <si>
    <t xml:space="preserve">L083</t>
  </si>
  <si>
    <t xml:space="preserve">경요도적 요관 결석 수술</t>
  </si>
  <si>
    <t xml:space="preserve">L084</t>
  </si>
  <si>
    <t xml:space="preserve">방광 및 요도 결석 수술</t>
  </si>
  <si>
    <t xml:space="preserve">L085</t>
  </si>
  <si>
    <t xml:space="preserve">연성내시경하 수술</t>
  </si>
  <si>
    <t xml:space="preserve">요로결석제거를 위한체외충격파쇄석술</t>
  </si>
  <si>
    <t xml:space="preserve">L091</t>
  </si>
  <si>
    <r>
      <rPr>
        <sz val="10"/>
        <rFont val="WenQuanYi Zen Hei"/>
        <family val="2"/>
      </rPr>
      <t xml:space="preserve">요로결석 제거를 위한체외충격파쇄석술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복잡</t>
    </r>
  </si>
  <si>
    <t xml:space="preserve">L092</t>
  </si>
  <si>
    <r>
      <rPr>
        <sz val="10"/>
        <rFont val="WenQuanYi Zen Hei"/>
        <family val="2"/>
      </rPr>
      <t xml:space="preserve">요로결석 제거를 위한체외충격파쇄석술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단순</t>
    </r>
  </si>
  <si>
    <t xml:space="preserve">신장 및비뇨기 질환의신경 자극기설치술</t>
  </si>
  <si>
    <t xml:space="preserve">L101</t>
  </si>
  <si>
    <t xml:space="preserve">신장 및 비뇨기 질환의 신경 자극기 설치술</t>
  </si>
  <si>
    <t xml:space="preserve">신경자극기 설치술</t>
  </si>
  <si>
    <t xml:space="preserve">L102</t>
  </si>
  <si>
    <t xml:space="preserve">신장 및 비뇨기 질환의 시험적 거치술</t>
  </si>
  <si>
    <t xml:space="preserve">시험적 거치술</t>
  </si>
  <si>
    <t xml:space="preserve">요로 질환수술</t>
  </si>
  <si>
    <t xml:space="preserve">L111</t>
  </si>
  <si>
    <t xml:space="preserve">경요도 요로 질환 수술</t>
  </si>
  <si>
    <t xml:space="preserve">L112</t>
  </si>
  <si>
    <t xml:space="preserve">외상 및 감염성 요로질환수술</t>
  </si>
  <si>
    <t xml:space="preserve">기타 신장및 비뇨기질환의 경피적시술</t>
  </si>
  <si>
    <t xml:space="preserve">L120</t>
  </si>
  <si>
    <t xml:space="preserve">기타 신장 및 비뇨기 질환의 경피적 시술</t>
  </si>
  <si>
    <r>
      <rPr>
        <sz val="10"/>
        <rFont val="WenQuanYi Zen Hei"/>
        <family val="2"/>
      </rPr>
      <t xml:space="preserve">기타 경피적 신장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비뇨기 시술</t>
    </r>
  </si>
  <si>
    <t xml:space="preserve">기타 신장및 비뇨기계시술</t>
  </si>
  <si>
    <t xml:space="preserve">L131</t>
  </si>
  <si>
    <t xml:space="preserve">혈액투석을 위한 단락또는 동정맥루 조성술</t>
  </si>
  <si>
    <t xml:space="preserve">L132</t>
  </si>
  <si>
    <r>
      <rPr>
        <sz val="10"/>
        <rFont val="WenQuanYi Zen Hei"/>
        <family val="2"/>
      </rPr>
      <t xml:space="preserve">혈액투석 동정맥루의경피적 수술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복잡</t>
    </r>
  </si>
  <si>
    <t xml:space="preserve">L133</t>
  </si>
  <si>
    <r>
      <rPr>
        <sz val="10"/>
        <rFont val="WenQuanYi Zen Hei"/>
        <family val="2"/>
      </rPr>
      <t xml:space="preserve">혈액투석 동정맥루의경피적 수술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단순</t>
    </r>
  </si>
  <si>
    <t xml:space="preserve">L134</t>
  </si>
  <si>
    <t xml:space="preserve">기타 신장 및 비뇨기계 시술</t>
  </si>
  <si>
    <r>
      <rPr>
        <sz val="10"/>
        <rFont val="WenQuanYi Zen Hei"/>
        <family val="2"/>
      </rPr>
      <t xml:space="preserve">기타 신장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비뇨기 시술</t>
    </r>
  </si>
  <si>
    <t xml:space="preserve">방광요도경 시술</t>
  </si>
  <si>
    <t xml:space="preserve">L510</t>
  </si>
  <si>
    <t xml:space="preserve">방광요도경을 이용한 시술</t>
  </si>
  <si>
    <t xml:space="preserve">신장 및비뇨기 질환의경피적 배액술</t>
  </si>
  <si>
    <t xml:space="preserve">L520</t>
  </si>
  <si>
    <t xml:space="preserve">신장 및 비뇨기 질환의 경피적 배액술</t>
  </si>
  <si>
    <r>
      <rPr>
        <sz val="10"/>
        <rFont val="WenQuanYi Zen Hei"/>
        <family val="2"/>
      </rPr>
      <t xml:space="preserve">신장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비뇨기 농양 등 경피적 배액</t>
    </r>
  </si>
  <si>
    <t xml:space="preserve">신장 및비뇨기 질환의경피적 경화술</t>
  </si>
  <si>
    <t xml:space="preserve">L530</t>
  </si>
  <si>
    <t xml:space="preserve">신장 및 비뇨기 질환의 경피적 경화술</t>
  </si>
  <si>
    <t xml:space="preserve">신장 낭종 등 경피적 경화술</t>
  </si>
  <si>
    <t xml:space="preserve">남성 골반수술</t>
  </si>
  <si>
    <t xml:space="preserve">M010</t>
  </si>
  <si>
    <t xml:space="preserve">남성 골반 수술</t>
  </si>
  <si>
    <t xml:space="preserve">남성생식기</t>
  </si>
  <si>
    <t xml:space="preserve">전립선적출술</t>
  </si>
  <si>
    <t xml:space="preserve">M021</t>
  </si>
  <si>
    <t xml:space="preserve">주요 전립선 적출술</t>
  </si>
  <si>
    <r>
      <rPr>
        <sz val="10"/>
        <rFont val="WenQuanYi Zen Hei"/>
        <family val="2"/>
      </rPr>
      <t xml:space="preserve">전립선을 적출하는 주요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대개 전립선암</t>
    </r>
    <r>
      <rPr>
        <sz val="10"/>
        <rFont val="Arial"/>
        <family val="0"/>
        <charset val="1"/>
      </rPr>
      <t xml:space="preserve">)</t>
    </r>
  </si>
  <si>
    <t xml:space="preserve">M022</t>
  </si>
  <si>
    <t xml:space="preserve">기타 전립선 적출술</t>
  </si>
  <si>
    <t xml:space="preserve">기타전립선 수술</t>
  </si>
  <si>
    <t xml:space="preserve">M030</t>
  </si>
  <si>
    <t xml:space="preserve">기타 전립선 수술</t>
  </si>
  <si>
    <t xml:space="preserve">음경 수술</t>
  </si>
  <si>
    <t xml:space="preserve">M041</t>
  </si>
  <si>
    <t xml:space="preserve">복잡 음경 수술</t>
  </si>
  <si>
    <t xml:space="preserve">M042</t>
  </si>
  <si>
    <t xml:space="preserve">단순 음경 수술</t>
  </si>
  <si>
    <t xml:space="preserve">M043</t>
  </si>
  <si>
    <t xml:space="preserve">페이로니 병 수술</t>
  </si>
  <si>
    <t xml:space="preserve">포경수술</t>
  </si>
  <si>
    <t xml:space="preserve">M050</t>
  </si>
  <si>
    <t xml:space="preserve">M061</t>
  </si>
  <si>
    <t xml:space="preserve">M062</t>
  </si>
  <si>
    <t xml:space="preserve">단순 요도 수술</t>
  </si>
  <si>
    <t xml:space="preserve">음낭 수술</t>
  </si>
  <si>
    <t xml:space="preserve">M071</t>
  </si>
  <si>
    <t xml:space="preserve">복잡 음낭 수술</t>
  </si>
  <si>
    <t xml:space="preserve">M072</t>
  </si>
  <si>
    <t xml:space="preserve">단순 음낭 수술</t>
  </si>
  <si>
    <t xml:space="preserve">고환 수술</t>
  </si>
  <si>
    <t xml:space="preserve">M081</t>
  </si>
  <si>
    <t xml:space="preserve">복강경을 이용한 복잡고환 수술</t>
  </si>
  <si>
    <t xml:space="preserve">M082</t>
  </si>
  <si>
    <t xml:space="preserve">개복에 의한 복잡 고환수술</t>
  </si>
  <si>
    <t xml:space="preserve">M083</t>
  </si>
  <si>
    <t xml:space="preserve">단순 고환 수술</t>
  </si>
  <si>
    <t xml:space="preserve">기타 고환수술 및생식기 적출술</t>
  </si>
  <si>
    <t xml:space="preserve">M091</t>
  </si>
  <si>
    <t xml:space="preserve">복강경을 이용한정계정맥류</t>
  </si>
  <si>
    <t xml:space="preserve">M092</t>
  </si>
  <si>
    <t xml:space="preserve">개복에 의한 정계정맥류</t>
  </si>
  <si>
    <t xml:space="preserve">M093</t>
  </si>
  <si>
    <t xml:space="preserve">고환 및 생식기 적출술</t>
  </si>
  <si>
    <r>
      <rPr>
        <sz val="10"/>
        <rFont val="WenQuanYi Zen Hei"/>
        <family val="2"/>
      </rPr>
      <t xml:space="preserve">고환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생식기 적출술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대개 악성</t>
    </r>
    <r>
      <rPr>
        <sz val="10"/>
        <rFont val="Arial"/>
        <family val="0"/>
        <charset val="1"/>
      </rPr>
      <t xml:space="preserve">)</t>
    </r>
  </si>
  <si>
    <t xml:space="preserve">기타남성생식기계시술</t>
  </si>
  <si>
    <t xml:space="preserve">M101</t>
  </si>
  <si>
    <r>
      <rPr>
        <sz val="10"/>
        <rFont val="WenQuanYi Zen Hei"/>
        <family val="2"/>
      </rPr>
      <t xml:space="preserve">기타 남성생식기계 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악성종양의 경우</t>
    </r>
    <r>
      <rPr>
        <sz val="10"/>
        <rFont val="Arial"/>
        <family val="0"/>
        <charset val="1"/>
      </rPr>
      <t xml:space="preserve">)</t>
    </r>
  </si>
  <si>
    <t xml:space="preserve">악성 관련 남성생식기 시술</t>
  </si>
  <si>
    <t xml:space="preserve">M102</t>
  </si>
  <si>
    <r>
      <rPr>
        <sz val="10"/>
        <rFont val="WenQuanYi Zen Hei"/>
        <family val="2"/>
      </rPr>
      <t xml:space="preserve">기타 남성생식기계 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악성종양 제외</t>
    </r>
    <r>
      <rPr>
        <sz val="10"/>
        <rFont val="Arial"/>
        <family val="0"/>
        <charset val="1"/>
      </rPr>
      <t xml:space="preserve">)</t>
    </r>
  </si>
  <si>
    <t xml:space="preserve">기타 남성생식기 시술</t>
  </si>
  <si>
    <t xml:space="preserve">M500</t>
  </si>
  <si>
    <r>
      <rPr>
        <sz val="10"/>
        <rFont val="WenQuanYi Zen Hei"/>
        <family val="2"/>
      </rPr>
      <t xml:space="preserve">자궁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악성종양의경우</t>
    </r>
    <r>
      <rPr>
        <sz val="10"/>
        <rFont val="Arial"/>
        <family val="0"/>
        <charset val="1"/>
      </rPr>
      <t xml:space="preserve">)</t>
    </r>
  </si>
  <si>
    <t xml:space="preserve">N011</t>
  </si>
  <si>
    <r>
      <rPr>
        <sz val="10"/>
        <rFont val="WenQuanYi Zen Hei"/>
        <family val="2"/>
      </rPr>
      <t xml:space="preserve">복강경을 이용한 자궁수술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악성종양의 경우</t>
    </r>
    <r>
      <rPr>
        <sz val="10"/>
        <rFont val="Arial"/>
        <family val="0"/>
        <charset val="1"/>
      </rPr>
      <t xml:space="preserve">)</t>
    </r>
  </si>
  <si>
    <t xml:space="preserve">여성생식기</t>
  </si>
  <si>
    <t xml:space="preserve">N012</t>
  </si>
  <si>
    <r>
      <rPr>
        <sz val="10"/>
        <rFont val="WenQuanYi Zen Hei"/>
        <family val="2"/>
      </rPr>
      <t xml:space="preserve">개복에 의한 자궁수술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악성종양의 경우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</si>
  <si>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주요자궁절제술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악성종양제외</t>
    </r>
    <r>
      <rPr>
        <sz val="10"/>
        <rFont val="Arial"/>
        <family val="0"/>
        <charset val="1"/>
      </rPr>
      <t xml:space="preserve">)</t>
    </r>
  </si>
  <si>
    <t xml:space="preserve">N021</t>
  </si>
  <si>
    <r>
      <rPr>
        <sz val="10"/>
        <rFont val="WenQuanYi Zen Hei"/>
        <family val="2"/>
      </rPr>
      <t xml:space="preserve">복강경을 이용한 주요자궁절제술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악성종양제외</t>
    </r>
    <r>
      <rPr>
        <sz val="10"/>
        <rFont val="Arial"/>
        <family val="0"/>
        <charset val="1"/>
      </rPr>
      <t xml:space="preserve">)</t>
    </r>
  </si>
  <si>
    <t xml:space="preserve">N022</t>
  </si>
  <si>
    <r>
      <rPr>
        <sz val="10"/>
        <rFont val="WenQuanYi Zen Hei"/>
        <family val="2"/>
      </rPr>
      <t xml:space="preserve">개복에 의한 주요자궁절제술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악성종양제외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</si>
  <si>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단순 자궁수술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악성종양제외</t>
    </r>
    <r>
      <rPr>
        <sz val="10"/>
        <rFont val="Arial"/>
        <family val="0"/>
        <charset val="1"/>
      </rPr>
      <t xml:space="preserve">)</t>
    </r>
  </si>
  <si>
    <t xml:space="preserve">N031</t>
  </si>
  <si>
    <r>
      <rPr>
        <sz val="10"/>
        <rFont val="WenQuanYi Zen Hei"/>
        <family val="2"/>
      </rPr>
      <t xml:space="preserve">복강경을 이용한 단순자궁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악성종양 제외</t>
    </r>
    <r>
      <rPr>
        <sz val="10"/>
        <rFont val="Arial"/>
        <family val="0"/>
        <charset val="1"/>
      </rPr>
      <t xml:space="preserve">)</t>
    </r>
  </si>
  <si>
    <t xml:space="preserve">N032</t>
  </si>
  <si>
    <r>
      <rPr>
        <sz val="10"/>
        <rFont val="WenQuanYi Zen Hei"/>
        <family val="2"/>
      </rPr>
      <t xml:space="preserve">개복에 의한 단순 자궁수술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악성종양 제외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</si>
  <si>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난소 및부속기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악성종양의경우</t>
    </r>
    <r>
      <rPr>
        <sz val="10"/>
        <rFont val="Arial"/>
        <family val="0"/>
        <charset val="1"/>
      </rPr>
      <t xml:space="preserve">)</t>
    </r>
  </si>
  <si>
    <t xml:space="preserve">N041</t>
  </si>
  <si>
    <r>
      <rPr>
        <sz val="10"/>
        <rFont val="WenQuanYi Zen Hei"/>
        <family val="2"/>
      </rPr>
      <t xml:space="preserve">복강경을 이용한 난소 및부속기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악성종양의경우</t>
    </r>
    <r>
      <rPr>
        <sz val="10"/>
        <rFont val="Arial"/>
        <family val="0"/>
        <charset val="1"/>
      </rPr>
      <t xml:space="preserve">)</t>
    </r>
  </si>
  <si>
    <t xml:space="preserve">N042</t>
  </si>
  <si>
    <r>
      <rPr>
        <sz val="10"/>
        <rFont val="WenQuanYi Zen Hei"/>
        <family val="2"/>
      </rPr>
      <t xml:space="preserve">개복에 의한 난소 및부속기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악성종양의경우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</si>
  <si>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난소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악성종양제외</t>
    </r>
    <r>
      <rPr>
        <sz val="10"/>
        <rFont val="Arial"/>
        <family val="0"/>
        <charset val="1"/>
      </rPr>
      <t xml:space="preserve">)</t>
    </r>
  </si>
  <si>
    <t xml:space="preserve">N051</t>
  </si>
  <si>
    <r>
      <rPr>
        <sz val="10"/>
        <rFont val="WenQuanYi Zen Hei"/>
        <family val="2"/>
      </rPr>
      <t xml:space="preserve">복강경을 이용한 난소수술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악성종양 제외</t>
    </r>
    <r>
      <rPr>
        <sz val="10"/>
        <rFont val="Arial"/>
        <family val="0"/>
        <charset val="1"/>
      </rPr>
      <t xml:space="preserve">)</t>
    </r>
  </si>
  <si>
    <t xml:space="preserve">N052</t>
  </si>
  <si>
    <r>
      <rPr>
        <sz val="10"/>
        <rFont val="WenQuanYi Zen Hei"/>
        <family val="2"/>
      </rPr>
      <t xml:space="preserve">개복에 의한 난소수술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악성종양 제외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</si>
  <si>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부속기수술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악성종양제외</t>
    </r>
    <r>
      <rPr>
        <sz val="10"/>
        <rFont val="Arial"/>
        <family val="0"/>
        <charset val="1"/>
      </rPr>
      <t xml:space="preserve">)</t>
    </r>
  </si>
  <si>
    <t xml:space="preserve">N061</t>
  </si>
  <si>
    <r>
      <rPr>
        <sz val="10"/>
        <rFont val="WenQuanYi Zen Hei"/>
        <family val="2"/>
      </rPr>
      <t xml:space="preserve">복강경을 이용한 부속기수술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악성종양 제외</t>
    </r>
    <r>
      <rPr>
        <sz val="10"/>
        <rFont val="Arial"/>
        <family val="0"/>
        <charset val="1"/>
      </rPr>
      <t xml:space="preserve">)</t>
    </r>
  </si>
  <si>
    <t xml:space="preserve">N062</t>
  </si>
  <si>
    <r>
      <rPr>
        <sz val="10"/>
        <rFont val="WenQuanYi Zen Hei"/>
        <family val="2"/>
      </rPr>
      <t xml:space="preserve">개복에 의한 부속기수술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악성종양 제외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</si>
  <si>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자궁경부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질 및 외음부수술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악성종양의 경우</t>
    </r>
    <r>
      <rPr>
        <sz val="10"/>
        <rFont val="Arial"/>
        <family val="0"/>
        <charset val="1"/>
      </rPr>
      <t xml:space="preserve">)</t>
    </r>
  </si>
  <si>
    <t xml:space="preserve">N071</t>
  </si>
  <si>
    <r>
      <rPr>
        <sz val="10"/>
        <rFont val="WenQuanYi Zen Hei"/>
        <family val="2"/>
      </rPr>
      <t xml:space="preserve">복강경을 이용한자궁경부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질 및 외음부수술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악성종양의 경우</t>
    </r>
    <r>
      <rPr>
        <sz val="10"/>
        <rFont val="Arial"/>
        <family val="0"/>
        <charset val="1"/>
      </rPr>
      <t xml:space="preserve">)</t>
    </r>
  </si>
  <si>
    <t xml:space="preserve">N072</t>
  </si>
  <si>
    <r>
      <rPr>
        <sz val="10"/>
        <rFont val="WenQuanYi Zen Hei"/>
        <family val="2"/>
      </rPr>
      <t xml:space="preserve">개복에 의한 자궁경부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질및 외음부수술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악성종양의 경우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</si>
  <si>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자궁경부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질 및 외음부수술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악성종양제외</t>
    </r>
    <r>
      <rPr>
        <sz val="10"/>
        <rFont val="Arial"/>
        <family val="0"/>
        <charset val="1"/>
      </rPr>
      <t xml:space="preserve">)</t>
    </r>
  </si>
  <si>
    <t xml:space="preserve">N081</t>
  </si>
  <si>
    <r>
      <rPr>
        <sz val="10"/>
        <rFont val="WenQuanYi Zen Hei"/>
        <family val="2"/>
      </rPr>
      <t xml:space="preserve">복강경을 이용한자궁경부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질 및 외음부수술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악성종양 제외</t>
    </r>
    <r>
      <rPr>
        <sz val="10"/>
        <rFont val="Arial"/>
        <family val="0"/>
        <charset val="1"/>
      </rPr>
      <t xml:space="preserve">)</t>
    </r>
  </si>
  <si>
    <t xml:space="preserve">N082</t>
  </si>
  <si>
    <r>
      <rPr>
        <sz val="10"/>
        <rFont val="WenQuanYi Zen Hei"/>
        <family val="2"/>
      </rPr>
      <t xml:space="preserve">자궁경부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질 및 외음부수술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악성종양 제외</t>
    </r>
    <r>
      <rPr>
        <sz val="10"/>
        <rFont val="Arial"/>
        <family val="0"/>
        <charset val="1"/>
      </rPr>
      <t xml:space="preserve">)</t>
    </r>
  </si>
  <si>
    <t xml:space="preserve">기타 골반수술</t>
  </si>
  <si>
    <t xml:space="preserve">N091</t>
  </si>
  <si>
    <t xml:space="preserve">복강경을 이용한 기타골반 수술</t>
  </si>
  <si>
    <t xml:space="preserve">N092</t>
  </si>
  <si>
    <t xml:space="preserve">개복에 의한 기타 골반수술</t>
  </si>
  <si>
    <t xml:space="preserve">주요여성생식기계복원술</t>
  </si>
  <si>
    <t xml:space="preserve">N101</t>
  </si>
  <si>
    <t xml:space="preserve">복강경을 이용한 주요여성생식기계 복원술</t>
  </si>
  <si>
    <t xml:space="preserve">N102</t>
  </si>
  <si>
    <t xml:space="preserve">개복에 의한 주요여성생식기계 복원술</t>
  </si>
  <si>
    <t xml:space="preserve">기타여성생식기계복원술</t>
  </si>
  <si>
    <t xml:space="preserve">N110</t>
  </si>
  <si>
    <t xml:space="preserve">기타 여성생식기계 복원술</t>
  </si>
  <si>
    <t xml:space="preserve">기타 여성생식기 복원술</t>
  </si>
  <si>
    <t xml:space="preserve">복강경수술 및 기타난관 결찰술</t>
  </si>
  <si>
    <t xml:space="preserve">N121</t>
  </si>
  <si>
    <t xml:space="preserve">복강경 수술</t>
  </si>
  <si>
    <r>
      <rPr>
        <sz val="10"/>
        <rFont val="WenQuanYi Zen Hei"/>
        <family val="2"/>
      </rPr>
      <t xml:space="preserve">복강경 수술 — 구분 이름</t>
    </r>
    <r>
      <rPr>
        <sz val="10"/>
        <rFont val="Arial"/>
        <family val="0"/>
        <charset val="1"/>
      </rPr>
      <t xml:space="preserve">(239. </t>
    </r>
    <r>
      <rPr>
        <sz val="10"/>
        <rFont val="WenQuanYi Zen Hei"/>
        <family val="2"/>
      </rPr>
      <t xml:space="preserve">복강경수술 및 기타난관 결찰술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과 달리 보장 코드는 </t>
    </r>
    <r>
      <rPr>
        <sz val="10"/>
        <rFont val="Arial"/>
        <family val="0"/>
        <charset val="1"/>
      </rPr>
      <t xml:space="preserve">N121 </t>
    </r>
    <r>
      <rPr>
        <sz val="10"/>
        <rFont val="WenQuanYi Zen Hei"/>
        <family val="2"/>
      </rPr>
      <t xml:space="preserve">하나뿐</t>
    </r>
  </si>
  <si>
    <t xml:space="preserve">자궁경수술</t>
  </si>
  <si>
    <t xml:space="preserve">N130</t>
  </si>
  <si>
    <t xml:space="preserve">자궁경 수술</t>
  </si>
  <si>
    <t xml:space="preserve">자궁경을 이용한 수술</t>
  </si>
  <si>
    <t xml:space="preserve">자궁소파술</t>
  </si>
  <si>
    <t xml:space="preserve">N141</t>
  </si>
  <si>
    <t xml:space="preserve">치료적 자궁소파술</t>
  </si>
  <si>
    <t xml:space="preserve">기타여성생식기계수술</t>
  </si>
  <si>
    <t xml:space="preserve">N161</t>
  </si>
  <si>
    <t xml:space="preserve">복강경을 이용한 기타여성생식기계 수술</t>
  </si>
  <si>
    <t xml:space="preserve">N162</t>
  </si>
  <si>
    <t xml:space="preserve">개복에 의한 기타여성생식기계 수술</t>
  </si>
  <si>
    <t xml:space="preserve">여성생식기계 경피적혈관 수술</t>
  </si>
  <si>
    <t xml:space="preserve">N180</t>
  </si>
  <si>
    <t xml:space="preserve">여성생식기계 경피적 혈관 수술</t>
  </si>
  <si>
    <t xml:space="preserve">자궁근종 색전술 등 경피적 혈관수술</t>
  </si>
  <si>
    <r>
      <rPr>
        <sz val="10"/>
        <rFont val="WenQuanYi Zen Hei"/>
        <family val="2"/>
      </rPr>
      <t xml:space="preserve">제왕절개분만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단태아</t>
    </r>
    <r>
      <rPr>
        <sz val="10"/>
        <rFont val="Arial"/>
        <family val="0"/>
        <charset val="1"/>
      </rPr>
      <t xml:space="preserve">)</t>
    </r>
  </si>
  <si>
    <t xml:space="preserve">O011</t>
  </si>
  <si>
    <r>
      <rPr>
        <sz val="10"/>
        <rFont val="WenQuanYi Zen Hei"/>
        <family val="2"/>
      </rPr>
      <t xml:space="preserve">일반제왕절개분만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단태아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</si>
  <si>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산과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임신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분만</t>
    </r>
    <r>
      <rPr>
        <sz val="10"/>
        <rFont val="Arial"/>
        <family val="0"/>
        <charset val="1"/>
      </rPr>
      <t xml:space="preserve">)</t>
    </r>
  </si>
  <si>
    <t xml:space="preserve">O012</t>
  </si>
  <si>
    <r>
      <rPr>
        <sz val="10"/>
        <rFont val="WenQuanYi Zen Hei"/>
        <family val="2"/>
      </rPr>
      <t xml:space="preserve">고위험제왕절개분만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단태아</t>
    </r>
    <r>
      <rPr>
        <sz val="10"/>
        <rFont val="Arial"/>
        <family val="0"/>
        <charset val="1"/>
      </rPr>
      <t xml:space="preserve">)</t>
    </r>
  </si>
  <si>
    <t xml:space="preserve">O013</t>
  </si>
  <si>
    <r>
      <rPr>
        <sz val="10"/>
        <rFont val="WenQuanYi Zen Hei"/>
        <family val="2"/>
      </rPr>
      <t xml:space="preserve">질식분만 시도 후제왕절개분만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단태아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</si>
  <si>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제왕절개분만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다태아</t>
    </r>
    <r>
      <rPr>
        <sz val="10"/>
        <rFont val="Arial"/>
        <family val="0"/>
        <charset val="1"/>
      </rPr>
      <t xml:space="preserve">)</t>
    </r>
  </si>
  <si>
    <t xml:space="preserve">O022</t>
  </si>
  <si>
    <r>
      <rPr>
        <sz val="10"/>
        <rFont val="WenQuanYi Zen Hei"/>
        <family val="2"/>
      </rPr>
      <t xml:space="preserve">질식분만 시도 후제왕절개분만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다태아</t>
    </r>
    <r>
      <rPr>
        <sz val="10"/>
        <rFont val="Arial"/>
        <family val="0"/>
        <charset val="1"/>
      </rPr>
      <t xml:space="preserve">)</t>
    </r>
  </si>
  <si>
    <t xml:space="preserve">O023</t>
  </si>
  <si>
    <r>
      <rPr>
        <sz val="10"/>
        <rFont val="WenQuanYi Zen Hei"/>
        <family val="2"/>
      </rPr>
      <t xml:space="preserve">일반제왕절개분만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다태아</t>
    </r>
    <r>
      <rPr>
        <sz val="10"/>
        <rFont val="Arial"/>
        <family val="0"/>
        <charset val="1"/>
      </rPr>
      <t xml:space="preserve">)</t>
    </r>
  </si>
  <si>
    <t xml:space="preserve">O024</t>
  </si>
  <si>
    <r>
      <rPr>
        <sz val="10"/>
        <rFont val="WenQuanYi Zen Hei"/>
        <family val="2"/>
      </rPr>
      <t xml:space="preserve">고위험제왕절개분만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다태아</t>
    </r>
    <r>
      <rPr>
        <sz val="10"/>
        <rFont val="Arial"/>
        <family val="0"/>
        <charset val="1"/>
      </rPr>
      <t xml:space="preserve">)</t>
    </r>
  </si>
  <si>
    <t xml:space="preserve">자궁외임신 주요수술</t>
  </si>
  <si>
    <t xml:space="preserve">O081</t>
  </si>
  <si>
    <t xml:space="preserve">복강경을 이용한 자궁외임신 주요 수술</t>
  </si>
  <si>
    <t xml:space="preserve">O082</t>
  </si>
  <si>
    <t xml:space="preserve">개복에 의한 자궁외 임신주요 수술</t>
  </si>
  <si>
    <t xml:space="preserve">자궁외임신 기타수술</t>
  </si>
  <si>
    <t xml:space="preserve">O091</t>
  </si>
  <si>
    <t xml:space="preserve">복강경을 이용한 자궁외임신 기타 수술</t>
  </si>
  <si>
    <t xml:space="preserve">O092</t>
  </si>
  <si>
    <t xml:space="preserve">개복에 의한 자궁외 임신기타 수술</t>
  </si>
  <si>
    <t xml:space="preserve">자궁경관봉축술</t>
  </si>
  <si>
    <t xml:space="preserve">O102</t>
  </si>
  <si>
    <t xml:space="preserve">치료적 자궁경관봉축술</t>
  </si>
  <si>
    <t xml:space="preserve">조산 예방 자궁경관봉축술</t>
  </si>
  <si>
    <r>
      <rPr>
        <sz val="10"/>
        <rFont val="WenQuanYi Zen Hei"/>
        <family val="2"/>
      </rPr>
      <t xml:space="preserve">분만 및유산 후관련장애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수술시행</t>
    </r>
    <r>
      <rPr>
        <sz val="10"/>
        <rFont val="Arial"/>
        <family val="0"/>
        <charset val="1"/>
      </rPr>
      <t xml:space="preserve">)</t>
    </r>
  </si>
  <si>
    <t xml:space="preserve">O110</t>
  </si>
  <si>
    <r>
      <rPr>
        <sz val="10"/>
        <rFont val="WenQuanYi Zen Hei"/>
        <family val="2"/>
      </rPr>
      <t xml:space="preserve">분만 및 유산 후 관련장애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수술 시행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</si>
  <si>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분만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유산 후 관련장애 수술</t>
    </r>
  </si>
  <si>
    <t xml:space="preserve">자궁소파술 및흡인소파술</t>
  </si>
  <si>
    <t xml:space="preserve">O120</t>
  </si>
  <si>
    <t xml:space="preserve">자궁소파술 및 흡인소파술</t>
  </si>
  <si>
    <r>
      <rPr>
        <sz val="10"/>
        <rFont val="WenQuanYi Zen Hei"/>
        <family val="2"/>
      </rPr>
      <t xml:space="preserve">유산 등 자궁소파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흡인소파술</t>
    </r>
  </si>
  <si>
    <t xml:space="preserve">분만 및유산 관련자궁적출술</t>
  </si>
  <si>
    <t xml:space="preserve">O130</t>
  </si>
  <si>
    <t xml:space="preserve">분만 및 유산 관련 자궁적출술</t>
  </si>
  <si>
    <r>
      <rPr>
        <sz val="10"/>
        <rFont val="WenQuanYi Zen Hei"/>
        <family val="2"/>
      </rPr>
      <t xml:space="preserve">분만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유산 관련 자궁적출술</t>
    </r>
  </si>
  <si>
    <t xml:space="preserve">비장절제술</t>
  </si>
  <si>
    <t xml:space="preserve">Q012</t>
  </si>
  <si>
    <t xml:space="preserve">성인의복강경을이용한비장절제술</t>
  </si>
  <si>
    <t xml:space="preserve">비장</t>
  </si>
  <si>
    <t xml:space="preserve">Q013</t>
  </si>
  <si>
    <t xml:space="preserve">성인의개복에의한비장절제술</t>
  </si>
  <si>
    <r>
      <rPr>
        <sz val="10"/>
        <rFont val="WenQuanYi Zen Hei"/>
        <family val="2"/>
      </rPr>
      <t xml:space="preserve">림프종 및백혈병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주요수술 시행</t>
    </r>
    <r>
      <rPr>
        <sz val="10"/>
        <rFont val="Arial"/>
        <family val="0"/>
        <charset val="1"/>
      </rPr>
      <t xml:space="preserve">)</t>
    </r>
  </si>
  <si>
    <t xml:space="preserve">R010</t>
  </si>
  <si>
    <r>
      <rPr>
        <sz val="10"/>
        <rFont val="WenQuanYi Zen Hei"/>
        <family val="2"/>
      </rPr>
      <t xml:space="preserve">림프종 및 백혈병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주요수술 시행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</si>
  <si>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림프종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혈액</t>
    </r>
  </si>
  <si>
    <r>
      <rPr>
        <sz val="10"/>
        <rFont val="WenQuanYi Zen Hei"/>
        <family val="2"/>
      </rPr>
      <t xml:space="preserve">림프종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백혈병 관련 주요 수술</t>
    </r>
  </si>
  <si>
    <r>
      <rPr>
        <sz val="10"/>
        <rFont val="WenQuanYi Zen Hei"/>
        <family val="2"/>
      </rPr>
      <t xml:space="preserve">기타신생물질환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주요수술 시행</t>
    </r>
    <r>
      <rPr>
        <sz val="10"/>
        <rFont val="Arial"/>
        <family val="0"/>
        <charset val="1"/>
      </rPr>
      <t xml:space="preserve">)</t>
    </r>
  </si>
  <si>
    <t xml:space="preserve">R020</t>
  </si>
  <si>
    <r>
      <rPr>
        <sz val="10"/>
        <rFont val="WenQuanYi Zen Hei"/>
        <family val="2"/>
      </rPr>
      <t xml:space="preserve">기타 신생물 질환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주요수술 시행</t>
    </r>
    <r>
      <rPr>
        <sz val="10"/>
        <rFont val="Arial"/>
        <family val="0"/>
        <charset val="1"/>
      </rPr>
      <t xml:space="preserve">)</t>
    </r>
  </si>
  <si>
    <t xml:space="preserve">기타 신생물 관련 주요 수술</t>
  </si>
  <si>
    <t xml:space="preserve">다발성중요 외상치료목적의개두술</t>
  </si>
  <si>
    <t xml:space="preserve">W010</t>
  </si>
  <si>
    <t xml:space="preserve">다발성 중요 외상 치료목적의 개두술</t>
  </si>
  <si>
    <t xml:space="preserve">다발성 외상</t>
  </si>
  <si>
    <t xml:space="preserve">다발성 중증외상의 치료 목적 개두술</t>
  </si>
  <si>
    <t xml:space="preserve">다발성중요 외상치료목적의근골격계주요 수술</t>
  </si>
  <si>
    <t xml:space="preserve">W020</t>
  </si>
  <si>
    <t xml:space="preserve">다발성 중요 외상 치료목적의 근골격계 주요 시술</t>
  </si>
  <si>
    <t xml:space="preserve">다발성 중증외상의 근골격계 주요 수술</t>
  </si>
  <si>
    <t xml:space="preserve">다발성중요 외상치료목적의복부 수술</t>
  </si>
  <si>
    <t xml:space="preserve">W030</t>
  </si>
  <si>
    <t xml:space="preserve">다발성 중요 외상 치료목적의 복부 수술</t>
  </si>
  <si>
    <t xml:space="preserve">다발성 중증외상의 복부 수술</t>
  </si>
  <si>
    <t xml:space="preserve">다발성중요 외상치료목적의기타 수술</t>
  </si>
  <si>
    <t xml:space="preserve">W040</t>
  </si>
  <si>
    <t xml:space="preserve">다발성 중요 외상 치료목적의 기타 수술</t>
  </si>
  <si>
    <t xml:space="preserve">다발성 중증외상의 기타 수술</t>
  </si>
  <si>
    <t xml:space="preserve">하지손상의미세혈관조직이식 및피부이식</t>
  </si>
  <si>
    <t xml:space="preserve">X011</t>
  </si>
  <si>
    <t xml:space="preserve">하지 손상의 미세혈관 조직이식</t>
  </si>
  <si>
    <r>
      <rPr>
        <sz val="10"/>
        <rFont val="WenQuanYi Zen Hei"/>
        <family val="2"/>
      </rPr>
      <t xml:space="preserve">손상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외상</t>
    </r>
    <r>
      <rPr>
        <sz val="10"/>
        <rFont val="Arial"/>
        <family val="0"/>
        <charset val="1"/>
      </rPr>
      <t xml:space="preserve">)</t>
    </r>
  </si>
  <si>
    <t xml:space="preserve">X012</t>
  </si>
  <si>
    <t xml:space="preserve">하지 손상의 국소 피판 및 피부이식</t>
  </si>
  <si>
    <r>
      <rPr>
        <sz val="10"/>
        <rFont val="WenQuanYi Zen Hei"/>
        <family val="2"/>
      </rPr>
      <t xml:space="preserve">하지 손상의 국소피판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피부이식</t>
    </r>
  </si>
  <si>
    <t xml:space="preserve">수부손상의미세혈관조직이식 및피부이식</t>
  </si>
  <si>
    <t xml:space="preserve">X021</t>
  </si>
  <si>
    <t xml:space="preserve">수부 손상의 미세혈관 조직이식</t>
  </si>
  <si>
    <t xml:space="preserve">손 손상의 미세혈관 조직이식</t>
  </si>
  <si>
    <t xml:space="preserve">X022</t>
  </si>
  <si>
    <t xml:space="preserve">수부 손상의 국소 피판 및 피부이식</t>
  </si>
  <si>
    <r>
      <rPr>
        <sz val="10"/>
        <rFont val="WenQuanYi Zen Hei"/>
        <family val="2"/>
      </rPr>
      <t xml:space="preserve">손 손상의 국소피판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피부이식</t>
    </r>
  </si>
  <si>
    <t xml:space="preserve">기타손상의미세혈관조직이식 및피부이식</t>
  </si>
  <si>
    <t xml:space="preserve">X030</t>
  </si>
  <si>
    <t xml:space="preserve">기타 손상의 미세혈관 조직이식 및 피부이식</t>
  </si>
  <si>
    <r>
      <rPr>
        <sz val="10"/>
        <rFont val="WenQuanYi Zen Hei"/>
        <family val="2"/>
      </rPr>
      <t xml:space="preserve">기타 손상의 조직이식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피부이식</t>
    </r>
  </si>
  <si>
    <t xml:space="preserve">하지손상의 기타수술</t>
  </si>
  <si>
    <t xml:space="preserve">X041</t>
  </si>
  <si>
    <t xml:space="preserve">하지 손상의 골 및 관절 수술</t>
  </si>
  <si>
    <r>
      <rPr>
        <sz val="10"/>
        <rFont val="WenQuanYi Zen Hei"/>
        <family val="2"/>
      </rPr>
      <t xml:space="preserve">하지 손상의 뼈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관절 수술</t>
    </r>
  </si>
  <si>
    <t xml:space="preserve">X042</t>
  </si>
  <si>
    <t xml:space="preserve">하지 손상의 기타 수술</t>
  </si>
  <si>
    <t xml:space="preserve">수부손상의 기타수술</t>
  </si>
  <si>
    <t xml:space="preserve">X051</t>
  </si>
  <si>
    <t xml:space="preserve">수부 손상의 골 및 관절 수술</t>
  </si>
  <si>
    <r>
      <rPr>
        <sz val="10"/>
        <rFont val="WenQuanYi Zen Hei"/>
        <family val="2"/>
      </rPr>
      <t xml:space="preserve">손 손상의 뼈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관절 수술</t>
    </r>
  </si>
  <si>
    <t xml:space="preserve">X052</t>
  </si>
  <si>
    <t xml:space="preserve">수부 손상의 기타 수술</t>
  </si>
  <si>
    <t xml:space="preserve">손 손상의 기타 수술</t>
  </si>
  <si>
    <t xml:space="preserve">기타손상의 수술</t>
  </si>
  <si>
    <t xml:space="preserve">X060</t>
  </si>
  <si>
    <t xml:space="preserve">기타 손상의 수술</t>
  </si>
  <si>
    <t xml:space="preserve">기타 손상 수술</t>
  </si>
  <si>
    <r>
      <rPr>
        <sz val="10"/>
        <rFont val="WenQuanYi Zen Hei"/>
        <family val="2"/>
      </rPr>
      <t xml:space="preserve">중증 화상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피부 이식동반</t>
    </r>
    <r>
      <rPr>
        <sz val="10"/>
        <rFont val="Arial"/>
        <family val="0"/>
        <charset val="1"/>
      </rPr>
      <t xml:space="preserve">)</t>
    </r>
  </si>
  <si>
    <t xml:space="preserve">Y010</t>
  </si>
  <si>
    <r>
      <rPr>
        <sz val="10"/>
        <rFont val="WenQuanYi Zen Hei"/>
        <family val="2"/>
      </rPr>
      <t xml:space="preserve">중증 화상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피부 이식 동반</t>
    </r>
    <r>
      <rPr>
        <sz val="10"/>
        <rFont val="Arial"/>
        <family val="0"/>
        <charset val="1"/>
      </rPr>
      <t xml:space="preserve">)</t>
    </r>
  </si>
  <si>
    <t xml:space="preserve">화상</t>
  </si>
  <si>
    <t xml:space="preserve">중증 화상에서 피부이식을 동반한 수술</t>
  </si>
  <si>
    <r>
      <rPr>
        <sz val="10"/>
        <rFont val="WenQuanYi Zen Hei"/>
        <family val="2"/>
      </rPr>
      <t xml:space="preserve">중등도화상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피부이식혹은흡입손상을동반</t>
    </r>
    <r>
      <rPr>
        <sz val="10"/>
        <rFont val="Arial"/>
        <family val="0"/>
        <charset val="1"/>
      </rPr>
      <t xml:space="preserve">)</t>
    </r>
  </si>
  <si>
    <t xml:space="preserve">Y020</t>
  </si>
  <si>
    <r>
      <rPr>
        <sz val="10"/>
        <rFont val="WenQuanYi Zen Hei"/>
        <family val="2"/>
      </rPr>
      <t xml:space="preserve">중등도 화상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피부이식 혹은 흡입손상 동반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</si>
  <si>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중등도 화상 수술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피부이식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흡입손상 동반</t>
    </r>
    <r>
      <rPr>
        <sz val="10"/>
        <rFont val="Arial"/>
        <family val="0"/>
        <charset val="1"/>
      </rPr>
      <t xml:space="preserve">)</t>
    </r>
  </si>
  <si>
    <r>
      <rPr>
        <i val="true"/>
        <sz val="10"/>
        <color rgb="FF46536B"/>
        <rFont val="Arial"/>
        <family val="0"/>
        <charset val="1"/>
      </rPr>
      <t xml:space="preserve">131</t>
    </r>
    <r>
      <rPr>
        <i val="true"/>
        <sz val="10"/>
        <color rgb="FF46536B"/>
        <rFont val="WenQuanYi Zen Hei"/>
        <family val="2"/>
      </rPr>
      <t xml:space="preserve">대질병수술비 — 질병코드</t>
    </r>
    <r>
      <rPr>
        <i val="true"/>
        <sz val="10"/>
        <color rgb="FF46536B"/>
        <rFont val="Arial"/>
        <family val="0"/>
        <charset val="1"/>
      </rPr>
      <t xml:space="preserve">(KCD) </t>
    </r>
    <r>
      <rPr>
        <i val="true"/>
        <sz val="10"/>
        <color rgb="FF46536B"/>
        <rFont val="WenQuanYi Zen Hei"/>
        <family val="2"/>
      </rPr>
      <t xml:space="preserve">기준</t>
    </r>
    <r>
      <rPr>
        <i val="true"/>
        <sz val="10"/>
        <color rgb="FF46536B"/>
        <rFont val="Arial"/>
        <family val="0"/>
        <charset val="1"/>
      </rPr>
      <t xml:space="preserve">, </t>
    </r>
    <r>
      <rPr>
        <i val="true"/>
        <sz val="10"/>
        <color rgb="FF46536B"/>
        <rFont val="WenQuanYi Zen Hei"/>
        <family val="2"/>
      </rPr>
      <t xml:space="preserve">지정 질병으로 수술해야 지급</t>
    </r>
    <r>
      <rPr>
        <i val="true"/>
        <sz val="10"/>
        <color rgb="FF46536B"/>
        <rFont val="Arial"/>
        <family val="0"/>
        <charset val="1"/>
      </rPr>
      <t xml:space="preserve">(</t>
    </r>
    <r>
      <rPr>
        <i val="true"/>
        <sz val="10"/>
        <color rgb="FF46536B"/>
        <rFont val="WenQuanYi Zen Hei"/>
        <family val="2"/>
      </rPr>
      <t xml:space="preserve">암 미보장</t>
    </r>
    <r>
      <rPr>
        <i val="true"/>
        <sz val="10"/>
        <color rgb="FF46536B"/>
        <rFont val="Arial"/>
        <family val="0"/>
        <charset val="1"/>
      </rPr>
      <t xml:space="preserve">). 130</t>
    </r>
    <r>
      <rPr>
        <i val="true"/>
        <sz val="10"/>
        <color rgb="FF46536B"/>
        <rFont val="WenQuanYi Zen Hei"/>
        <family val="2"/>
      </rPr>
      <t xml:space="preserve">대 </t>
    </r>
    <r>
      <rPr>
        <i val="true"/>
        <sz val="10"/>
        <color rgb="FF46536B"/>
        <rFont val="Arial"/>
        <family val="0"/>
        <charset val="1"/>
      </rPr>
      <t xml:space="preserve">= 131</t>
    </r>
    <r>
      <rPr>
        <i val="true"/>
        <sz val="10"/>
        <color rgb="FF46536B"/>
        <rFont val="WenQuanYi Zen Hei"/>
        <family val="2"/>
      </rPr>
      <t xml:space="preserve">대 − 추간판장애</t>
    </r>
    <r>
      <rPr>
        <i val="true"/>
        <sz val="10"/>
        <color rgb="FF46536B"/>
        <rFont val="Arial"/>
        <family val="0"/>
        <charset val="1"/>
      </rPr>
      <t xml:space="preserve">(M50 </t>
    </r>
    <r>
      <rPr>
        <i val="true"/>
        <sz val="10"/>
        <color rgb="FF46536B"/>
        <rFont val="WenQuanYi Zen Hei"/>
        <family val="2"/>
      </rPr>
      <t xml:space="preserve">경추 </t>
    </r>
    <r>
      <rPr>
        <i val="true"/>
        <sz val="10"/>
        <color rgb="FF46536B"/>
        <rFont val="Arial"/>
        <family val="0"/>
        <charset val="1"/>
      </rPr>
      <t xml:space="preserve">· M51 </t>
    </r>
    <r>
      <rPr>
        <i val="true"/>
        <sz val="10"/>
        <color rgb="FF46536B"/>
        <rFont val="WenQuanYi Zen Hei"/>
        <family val="2"/>
      </rPr>
      <t xml:space="preserve">기타</t>
    </r>
    <r>
      <rPr>
        <i val="true"/>
        <sz val="10"/>
        <color rgb="FF46536B"/>
        <rFont val="Arial"/>
        <family val="0"/>
        <charset val="1"/>
      </rPr>
      <t xml:space="preserve">). </t>
    </r>
    <r>
      <rPr>
        <i val="true"/>
        <sz val="10"/>
        <color rgb="FF46536B"/>
        <rFont val="WenQuanYi Zen Hei"/>
        <family val="2"/>
      </rPr>
      <t xml:space="preserve">다빈도</t>
    </r>
    <r>
      <rPr>
        <i val="true"/>
        <sz val="10"/>
        <color rgb="FF46536B"/>
        <rFont val="Arial"/>
        <family val="0"/>
        <charset val="1"/>
      </rPr>
      <t xml:space="preserve">62</t>
    </r>
    <r>
      <rPr>
        <i val="true"/>
        <sz val="10"/>
        <color rgb="FF46536B"/>
        <rFont val="WenQuanYi Zen Hei"/>
        <family val="2"/>
      </rPr>
      <t xml:space="preserve">대 ↔ </t>
    </r>
    <r>
      <rPr>
        <i val="true"/>
        <sz val="10"/>
        <color rgb="FF46536B"/>
        <rFont val="Arial"/>
        <family val="0"/>
        <charset val="1"/>
      </rPr>
      <t xml:space="preserve">130</t>
    </r>
    <r>
      <rPr>
        <i val="true"/>
        <sz val="10"/>
        <color rgb="FF46536B"/>
        <rFont val="WenQuanYi Zen Hei"/>
        <family val="2"/>
      </rPr>
      <t xml:space="preserve">대는 다빈도</t>
    </r>
    <r>
      <rPr>
        <i val="true"/>
        <sz val="10"/>
        <color rgb="FF46536B"/>
        <rFont val="Arial"/>
        <family val="0"/>
        <charset val="1"/>
      </rPr>
      <t xml:space="preserve">61</t>
    </r>
    <r>
      <rPr>
        <i val="true"/>
        <sz val="10"/>
        <color rgb="FF46536B"/>
        <rFont val="WenQuanYi Zen Hei"/>
        <family val="2"/>
      </rPr>
      <t xml:space="preserve">대</t>
    </r>
  </si>
  <si>
    <t xml:space="preserve">보장군</t>
  </si>
  <si>
    <r>
      <rPr>
        <b val="true"/>
        <sz val="11"/>
        <color rgb="FFFFFFFF"/>
        <rFont val="WenQuanYi Zen Hei"/>
        <family val="2"/>
      </rPr>
      <t xml:space="preserve">대상질병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약관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</si>
  <si>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KCD</t>
  </si>
  <si>
    <t xml:space="preserve">신체계통</t>
  </si>
  <si>
    <t xml:space="preserve">심장질환</t>
  </si>
  <si>
    <t xml:space="preserve">급성 류마티스열</t>
  </si>
  <si>
    <t xml:space="preserve">I00∼I02</t>
  </si>
  <si>
    <t xml:space="preserve">만성 류마티스심장질환</t>
  </si>
  <si>
    <t xml:space="preserve">I05∼I09</t>
  </si>
  <si>
    <t xml:space="preserve">허혈심장질환</t>
  </si>
  <si>
    <t xml:space="preserve">I20∼I25</t>
  </si>
  <si>
    <t xml:space="preserve">폐성 심장병 및 폐순환의 질환</t>
  </si>
  <si>
    <t xml:space="preserve">I26∼I28</t>
  </si>
  <si>
    <t xml:space="preserve">기타 형태의 심장병</t>
  </si>
  <si>
    <t xml:space="preserve">I30∼I52</t>
  </si>
  <si>
    <r>
      <rPr>
        <sz val="10"/>
        <rFont val="WenQuanYi Zen Hei"/>
        <family val="2"/>
      </rPr>
      <t xml:space="preserve">수막알균성 심근염</t>
    </r>
    <r>
      <rPr>
        <sz val="10"/>
        <rFont val="Arial"/>
        <family val="0"/>
        <charset val="1"/>
      </rPr>
      <t xml:space="preserve">(I41.0*)</t>
    </r>
  </si>
  <si>
    <t xml:space="preserve">A39.5†</t>
  </si>
  <si>
    <t xml:space="preserve">기타</t>
  </si>
  <si>
    <r>
      <rPr>
        <sz val="10"/>
        <rFont val="WenQuanYi Zen Hei"/>
        <family val="2"/>
      </rPr>
      <t xml:space="preserve">수막알균성 심내막염</t>
    </r>
    <r>
      <rPr>
        <sz val="10"/>
        <rFont val="Arial"/>
        <family val="0"/>
        <charset val="1"/>
      </rPr>
      <t xml:space="preserve">(I39.8*)</t>
    </r>
  </si>
  <si>
    <r>
      <rPr>
        <sz val="10"/>
        <rFont val="WenQuanYi Zen Hei"/>
        <family val="2"/>
      </rPr>
      <t xml:space="preserve">수막알균성 심장막염</t>
    </r>
    <r>
      <rPr>
        <sz val="10"/>
        <rFont val="Arial"/>
        <family val="0"/>
        <charset val="1"/>
      </rPr>
      <t xml:space="preserve">(I32.0*)</t>
    </r>
  </si>
  <si>
    <r>
      <rPr>
        <sz val="10"/>
        <rFont val="WenQuanYi Zen Hei"/>
        <family val="2"/>
      </rPr>
      <t xml:space="preserve">수막알균성 심장염</t>
    </r>
    <r>
      <rPr>
        <sz val="10"/>
        <rFont val="Arial"/>
        <family val="0"/>
        <charset val="1"/>
      </rPr>
      <t xml:space="preserve">(I52.0*)</t>
    </r>
  </si>
  <si>
    <r>
      <rPr>
        <sz val="10"/>
        <rFont val="WenQuanYi Zen Hei"/>
        <family val="2"/>
      </rPr>
      <t xml:space="preserve">칸디다심내막염</t>
    </r>
    <r>
      <rPr>
        <sz val="10"/>
        <rFont val="Arial"/>
        <family val="0"/>
        <charset val="1"/>
      </rPr>
      <t xml:space="preserve">(I39.8*)</t>
    </r>
  </si>
  <si>
    <t xml:space="preserve">B37.6†</t>
  </si>
  <si>
    <t xml:space="preserve">뇌혈관질환</t>
  </si>
  <si>
    <t xml:space="preserve">거미막하출혈</t>
  </si>
  <si>
    <t xml:space="preserve">I60</t>
  </si>
  <si>
    <t xml:space="preserve">뇌내출혈</t>
  </si>
  <si>
    <t xml:space="preserve">I61</t>
  </si>
  <si>
    <t xml:space="preserve">기타 비외상성 두개내출혈</t>
  </si>
  <si>
    <t xml:space="preserve">I62</t>
  </si>
  <si>
    <t xml:space="preserve">뇌경색증</t>
  </si>
  <si>
    <t xml:space="preserve">I63</t>
  </si>
  <si>
    <t xml:space="preserve">출혈 또는 경색증으로 명시되지 않는 뇌졸중</t>
  </si>
  <si>
    <t xml:space="preserve">I64</t>
  </si>
  <si>
    <t xml:space="preserve">뇌경색증을 유발하지 않은 뇌전동맥의 폐쇄 및 협착</t>
  </si>
  <si>
    <t xml:space="preserve">I65</t>
  </si>
  <si>
    <t xml:space="preserve">뇌경색증을 유발하지 않은 대뇌동맥의 폐쇄 및 협착</t>
  </si>
  <si>
    <t xml:space="preserve">I66</t>
  </si>
  <si>
    <t xml:space="preserve">기타 뇌혈관질환</t>
  </si>
  <si>
    <t xml:space="preserve">I67</t>
  </si>
  <si>
    <t xml:space="preserve">달리 분류된 질환에서의 뇌혈관장애</t>
  </si>
  <si>
    <t xml:space="preserve">I68</t>
  </si>
  <si>
    <t xml:space="preserve">뇌혈관질환의 후유증</t>
  </si>
  <si>
    <t xml:space="preserve">I69</t>
  </si>
  <si>
    <r>
      <rPr>
        <sz val="10"/>
        <rFont val="WenQuanYi Zen Hei"/>
        <family val="2"/>
      </rPr>
      <t xml:space="preserve">특정</t>
    </r>
    <r>
      <rPr>
        <sz val="10"/>
        <rFont val="Arial"/>
        <family val="0"/>
        <charset val="1"/>
      </rPr>
      <t xml:space="preserve">31</t>
    </r>
    <r>
      <rPr>
        <sz val="10"/>
        <rFont val="WenQuanYi Zen Hei"/>
        <family val="2"/>
      </rPr>
      <t xml:space="preserve">대질병 </t>
    </r>
    <r>
      <rPr>
        <sz val="10"/>
        <rFont val="Arial"/>
        <family val="0"/>
        <charset val="1"/>
      </rPr>
      <t xml:space="preserve">(4</t>
    </r>
    <r>
      <rPr>
        <sz val="10"/>
        <rFont val="WenQuanYi Zen Hei"/>
        <family val="2"/>
      </rPr>
      <t xml:space="preserve">대 추가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</si>
  <si>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크로이츠펠트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야콥병</t>
    </r>
  </si>
  <si>
    <t xml:space="preserve">A81.0</t>
  </si>
  <si>
    <r>
      <rPr>
        <sz val="10"/>
        <rFont val="WenQuanYi Zen Hei"/>
        <family val="2"/>
      </rPr>
      <t xml:space="preserve">뇌의 특정염증성질환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엔테로바이러스뇌염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아데노바이러스뇌염 제외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</si>
  <si>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A83-A86 (A85.0†, A85.1† </t>
    </r>
    <r>
      <rPr>
        <sz val="10"/>
        <rFont val="WenQuanYi Zen Hei"/>
        <family val="2"/>
      </rPr>
      <t xml:space="preserve">제외</t>
    </r>
    <r>
      <rPr>
        <sz val="10"/>
        <rFont val="Arial"/>
        <family val="0"/>
        <charset val="1"/>
      </rPr>
      <t xml:space="preserve">)</t>
    </r>
  </si>
  <si>
    <t xml:space="preserve">바이러스간염</t>
  </si>
  <si>
    <t xml:space="preserve">B15∼B19</t>
  </si>
  <si>
    <t xml:space="preserve">간의질환</t>
  </si>
  <si>
    <t xml:space="preserve">K70∼K77</t>
  </si>
  <si>
    <r>
      <rPr>
        <sz val="10"/>
        <rFont val="WenQuanYi Zen Hei"/>
        <family val="2"/>
      </rPr>
      <t xml:space="preserve">거대세포바이러스간염</t>
    </r>
    <r>
      <rPr>
        <sz val="10"/>
        <rFont val="Arial"/>
        <family val="0"/>
        <charset val="1"/>
      </rPr>
      <t xml:space="preserve">(K77.0*)</t>
    </r>
  </si>
  <si>
    <t xml:space="preserve">B25.1†</t>
  </si>
  <si>
    <r>
      <rPr>
        <sz val="10"/>
        <rFont val="WenQuanYi Zen Hei"/>
        <family val="2"/>
      </rPr>
      <t xml:space="preserve">톡소포자충간염</t>
    </r>
    <r>
      <rPr>
        <sz val="10"/>
        <rFont val="Arial"/>
        <family val="0"/>
        <charset val="1"/>
      </rPr>
      <t xml:space="preserve">(K77.0*)</t>
    </r>
  </si>
  <si>
    <t xml:space="preserve">B58.1†</t>
  </si>
  <si>
    <r>
      <rPr>
        <sz val="10"/>
        <rFont val="WenQuanYi Zen Hei"/>
        <family val="2"/>
      </rPr>
      <t xml:space="preserve">본태성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원발성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고혈압</t>
    </r>
  </si>
  <si>
    <t xml:space="preserve">I10</t>
  </si>
  <si>
    <t xml:space="preserve">고혈압성 심장병</t>
  </si>
  <si>
    <t xml:space="preserve">I11</t>
  </si>
  <si>
    <t xml:space="preserve">고혈압성 신장병</t>
  </si>
  <si>
    <t xml:space="preserve">I12</t>
  </si>
  <si>
    <t xml:space="preserve">고혈압성 심장 및 신장병</t>
  </si>
  <si>
    <t xml:space="preserve">I13</t>
  </si>
  <si>
    <t xml:space="preserve">이차성 고혈압</t>
  </si>
  <si>
    <t xml:space="preserve">I15</t>
  </si>
  <si>
    <r>
      <rPr>
        <sz val="10"/>
        <rFont val="WenQuanYi Zen Hei"/>
        <family val="2"/>
      </rPr>
      <t xml:space="preserve">고혈압성 망막병증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이외의 배경 망막병증 및 망막혈관변화는 제외</t>
    </r>
    <r>
      <rPr>
        <sz val="10"/>
        <rFont val="Arial"/>
        <family val="0"/>
        <charset val="1"/>
      </rPr>
      <t xml:space="preserve">)</t>
    </r>
  </si>
  <si>
    <t xml:space="preserve">H35.0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</si>
  <si>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형 당뇨병</t>
    </r>
  </si>
  <si>
    <t xml:space="preserve">E10</t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</si>
  <si>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형 당뇨병</t>
    </r>
  </si>
  <si>
    <t xml:space="preserve">E11</t>
  </si>
  <si>
    <r>
      <rPr>
        <sz val="10"/>
        <rFont val="WenQuanYi Zen Hei"/>
        <family val="2"/>
      </rPr>
      <t xml:space="preserve">영양실조 </t>
    </r>
    <r>
      <rPr>
        <sz val="10"/>
        <rFont val="Arial"/>
        <family val="0"/>
        <charset val="1"/>
      </rPr>
      <t xml:space="preserve">- </t>
    </r>
    <r>
      <rPr>
        <sz val="10"/>
        <rFont val="WenQuanYi Zen Hei"/>
        <family val="2"/>
      </rPr>
      <t xml:space="preserve">관련 당뇨병</t>
    </r>
  </si>
  <si>
    <t xml:space="preserve">E12</t>
  </si>
  <si>
    <t xml:space="preserve">기타 명시된 당뇨병</t>
  </si>
  <si>
    <t xml:space="preserve">E13</t>
  </si>
  <si>
    <t xml:space="preserve">상세불명의 당뇨병</t>
  </si>
  <si>
    <t xml:space="preserve">E14</t>
  </si>
  <si>
    <t xml:space="preserve">당뇨병성 단일신경병증</t>
  </si>
  <si>
    <t xml:space="preserve">G59.0*</t>
  </si>
  <si>
    <r>
      <rPr>
        <sz val="10"/>
        <rFont val="WenQuanYi Zen Hei"/>
        <family val="2"/>
      </rPr>
      <t xml:space="preserve">신경계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뇌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척추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신경</t>
    </r>
    <r>
      <rPr>
        <sz val="10"/>
        <rFont val="Arial"/>
        <family val="0"/>
        <charset val="1"/>
      </rPr>
      <t xml:space="preserve">)</t>
    </r>
  </si>
  <si>
    <t xml:space="preserve">당뇨병성 다발신경병증</t>
  </si>
  <si>
    <t xml:space="preserve">G63.2*</t>
  </si>
  <si>
    <t xml:space="preserve">당뇨병성 백내장</t>
  </si>
  <si>
    <t xml:space="preserve">H28.0*</t>
  </si>
  <si>
    <t xml:space="preserve">당뇨병성 망막병증</t>
  </si>
  <si>
    <t xml:space="preserve">H36.0*</t>
  </si>
  <si>
    <t xml:space="preserve">당뇨병성 관절병증</t>
  </si>
  <si>
    <t xml:space="preserve">M14.2*</t>
  </si>
  <si>
    <t xml:space="preserve">당뇨병에서의 사구체장애</t>
  </si>
  <si>
    <t xml:space="preserve">N08.3*</t>
  </si>
  <si>
    <r>
      <rPr>
        <sz val="10"/>
        <rFont val="WenQuanYi Zen Hei"/>
        <family val="2"/>
      </rPr>
      <t xml:space="preserve">신장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비뇨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생식기</t>
    </r>
  </si>
  <si>
    <t xml:space="preserve">조로증</t>
  </si>
  <si>
    <t xml:space="preserve">E34.8</t>
  </si>
  <si>
    <t xml:space="preserve">급성인지 만성인지 명시되지 않은 기관지염</t>
  </si>
  <si>
    <t xml:space="preserve">J40</t>
  </si>
  <si>
    <t xml:space="preserve">단순성 및 점액화농성 만성 기관 지염</t>
  </si>
  <si>
    <t xml:space="preserve">J41</t>
  </si>
  <si>
    <t xml:space="preserve">상세불명의 만성 기관지염</t>
  </si>
  <si>
    <t xml:space="preserve">J42</t>
  </si>
  <si>
    <t xml:space="preserve">천식</t>
  </si>
  <si>
    <t xml:space="preserve">J45</t>
  </si>
  <si>
    <t xml:space="preserve">천식지속상태</t>
  </si>
  <si>
    <t xml:space="preserve">J46</t>
  </si>
  <si>
    <t xml:space="preserve">위궤양</t>
  </si>
  <si>
    <t xml:space="preserve">K25</t>
  </si>
  <si>
    <t xml:space="preserve">십이지장궤양</t>
  </si>
  <si>
    <t xml:space="preserve">K26</t>
  </si>
  <si>
    <t xml:space="preserve">상세불명 부위의 소화성 궤양</t>
  </si>
  <si>
    <t xml:space="preserve">K27</t>
  </si>
  <si>
    <t xml:space="preserve">결핵</t>
  </si>
  <si>
    <t xml:space="preserve">A15-A19</t>
  </si>
  <si>
    <t xml:space="preserve">결핵의 후유증</t>
  </si>
  <si>
    <t xml:space="preserve">B90</t>
  </si>
  <si>
    <r>
      <rPr>
        <sz val="10"/>
        <rFont val="WenQuanYi Zen Hei"/>
        <family val="2"/>
      </rPr>
      <t xml:space="preserve">결핵성 복막염</t>
    </r>
    <r>
      <rPr>
        <sz val="10"/>
        <rFont val="Arial"/>
        <family val="0"/>
        <charset val="1"/>
      </rPr>
      <t xml:space="preserve">(A18.30+)</t>
    </r>
  </si>
  <si>
    <t xml:space="preserve">K67.3*</t>
  </si>
  <si>
    <r>
      <rPr>
        <sz val="10"/>
        <rFont val="WenQuanYi Zen Hei"/>
        <family val="2"/>
      </rPr>
      <t xml:space="preserve">장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복막 및 장간막 림프절의 결핵성 장애</t>
    </r>
    <r>
      <rPr>
        <sz val="10"/>
        <rFont val="Arial"/>
        <family val="0"/>
        <charset val="1"/>
      </rPr>
      <t xml:space="preserve">(A18.3-*)</t>
    </r>
  </si>
  <si>
    <t xml:space="preserve">K93.0*</t>
  </si>
  <si>
    <r>
      <rPr>
        <sz val="10"/>
        <rFont val="WenQuanYi Zen Hei"/>
        <family val="2"/>
      </rPr>
      <t xml:space="preserve">기타 관절의 결핵성 관절염 </t>
    </r>
    <r>
      <rPr>
        <sz val="10"/>
        <rFont val="Arial"/>
        <family val="0"/>
        <charset val="1"/>
      </rPr>
      <t xml:space="preserve">(A18.01+)</t>
    </r>
  </si>
  <si>
    <t xml:space="preserve">M01.1*</t>
  </si>
  <si>
    <r>
      <rPr>
        <sz val="10"/>
        <rFont val="WenQuanYi Zen Hei"/>
        <family val="2"/>
      </rPr>
      <t xml:space="preserve">척추의 결핵</t>
    </r>
    <r>
      <rPr>
        <sz val="10"/>
        <rFont val="Arial"/>
        <family val="0"/>
        <charset val="1"/>
      </rPr>
      <t xml:space="preserve">(A18.00+)</t>
    </r>
  </si>
  <si>
    <t xml:space="preserve">M49.0*</t>
  </si>
  <si>
    <r>
      <rPr>
        <sz val="10"/>
        <rFont val="WenQuanYi Zen Hei"/>
        <family val="2"/>
      </rPr>
      <t xml:space="preserve">뼈의 결핵</t>
    </r>
    <r>
      <rPr>
        <sz val="10"/>
        <rFont val="Arial"/>
        <family val="0"/>
        <charset val="1"/>
      </rPr>
      <t xml:space="preserve">(A18.02+)</t>
    </r>
  </si>
  <si>
    <t xml:space="preserve">M90.0*</t>
  </si>
  <si>
    <r>
      <rPr>
        <sz val="10"/>
        <rFont val="WenQuanYi Zen Hei"/>
        <family val="2"/>
      </rPr>
      <t xml:space="preserve">방광의 결핵</t>
    </r>
    <r>
      <rPr>
        <sz val="10"/>
        <rFont val="Arial"/>
        <family val="0"/>
        <charset val="1"/>
      </rPr>
      <t xml:space="preserve">(A18.11+)</t>
    </r>
  </si>
  <si>
    <t xml:space="preserve">N33.0*</t>
  </si>
  <si>
    <r>
      <rPr>
        <sz val="10"/>
        <rFont val="WenQuanYi Zen Hei"/>
        <family val="2"/>
      </rPr>
      <t xml:space="preserve">자궁경부의 결핵</t>
    </r>
    <r>
      <rPr>
        <sz val="10"/>
        <rFont val="Arial"/>
        <family val="0"/>
        <charset val="1"/>
      </rPr>
      <t xml:space="preserve">(A18.17+)</t>
    </r>
  </si>
  <si>
    <t xml:space="preserve">N74.0*</t>
  </si>
  <si>
    <r>
      <rPr>
        <sz val="10"/>
        <rFont val="WenQuanYi Zen Hei"/>
        <family val="2"/>
      </rPr>
      <t xml:space="preserve">여성생식기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산과</t>
    </r>
  </si>
  <si>
    <r>
      <rPr>
        <sz val="10"/>
        <rFont val="WenQuanYi Zen Hei"/>
        <family val="2"/>
      </rPr>
      <t xml:space="preserve">결핵성 여성골반염증질환</t>
    </r>
    <r>
      <rPr>
        <sz val="10"/>
        <rFont val="Arial"/>
        <family val="0"/>
        <charset val="1"/>
      </rPr>
      <t xml:space="preserve">(A18.17+)</t>
    </r>
  </si>
  <si>
    <t xml:space="preserve">N74.1*</t>
  </si>
  <si>
    <t xml:space="preserve">연쇄알균패혈증</t>
  </si>
  <si>
    <t xml:space="preserve">A40</t>
  </si>
  <si>
    <t xml:space="preserve">기타 패혈증</t>
  </si>
  <si>
    <t xml:space="preserve">A41</t>
  </si>
  <si>
    <t xml:space="preserve">달리 분류되지 않은 세균성 수막염</t>
  </si>
  <si>
    <t xml:space="preserve">G00</t>
  </si>
  <si>
    <t xml:space="preserve">달리 분류된 세균성 질환에서의 수막염</t>
  </si>
  <si>
    <t xml:space="preserve">G01</t>
  </si>
  <si>
    <r>
      <rPr>
        <sz val="10"/>
        <rFont val="WenQuanYi Zen Hei"/>
        <family val="2"/>
      </rPr>
      <t xml:space="preserve">수막알균수막염</t>
    </r>
    <r>
      <rPr>
        <sz val="10"/>
        <rFont val="Arial"/>
        <family val="0"/>
        <charset val="1"/>
      </rPr>
      <t xml:space="preserve">(G01*)</t>
    </r>
  </si>
  <si>
    <t xml:space="preserve">A39.0†</t>
  </si>
  <si>
    <t xml:space="preserve">달리 분류된 기타 감염성 및 기생 충 질환에서의 수막염</t>
  </si>
  <si>
    <t xml:space="preserve">G02</t>
  </si>
  <si>
    <r>
      <rPr>
        <sz val="10"/>
        <rFont val="WenQuanYi Zen Hei"/>
        <family val="2"/>
      </rPr>
      <t xml:space="preserve">아데노바이러스수막염 </t>
    </r>
    <r>
      <rPr>
        <sz val="10"/>
        <rFont val="Arial"/>
        <family val="0"/>
        <charset val="1"/>
      </rPr>
      <t xml:space="preserve">(G02.0*)</t>
    </r>
  </si>
  <si>
    <t xml:space="preserve">A87.1†</t>
  </si>
  <si>
    <r>
      <rPr>
        <sz val="10"/>
        <rFont val="WenQuanYi Zen Hei"/>
        <family val="2"/>
      </rPr>
      <t xml:space="preserve">엔테로바이러스수막염 </t>
    </r>
    <r>
      <rPr>
        <sz val="10"/>
        <rFont val="Arial"/>
        <family val="0"/>
        <charset val="1"/>
      </rPr>
      <t xml:space="preserve">(G02.0*)</t>
    </r>
  </si>
  <si>
    <t xml:space="preserve">A87.0†</t>
  </si>
  <si>
    <r>
      <rPr>
        <sz val="10"/>
        <rFont val="WenQuanYi Zen Hei"/>
        <family val="2"/>
      </rPr>
      <t xml:space="preserve">헤르페스바이러스수막염 </t>
    </r>
    <r>
      <rPr>
        <sz val="10"/>
        <rFont val="Arial"/>
        <family val="0"/>
        <charset val="1"/>
      </rPr>
      <t xml:space="preserve">(G02.0*)</t>
    </r>
  </si>
  <si>
    <t xml:space="preserve">B00.3†</t>
  </si>
  <si>
    <r>
      <rPr>
        <sz val="10"/>
        <rFont val="WenQuanYi Zen Hei"/>
        <family val="2"/>
      </rPr>
      <t xml:space="preserve">수두수막염</t>
    </r>
    <r>
      <rPr>
        <sz val="10"/>
        <rFont val="Arial"/>
        <family val="0"/>
        <charset val="1"/>
      </rPr>
      <t xml:space="preserve">(G02.0*)</t>
    </r>
  </si>
  <si>
    <t xml:space="preserve">B01.0†</t>
  </si>
  <si>
    <r>
      <rPr>
        <sz val="10"/>
        <rFont val="WenQuanYi Zen Hei"/>
        <family val="2"/>
      </rPr>
      <t xml:space="preserve">대상포진수막염</t>
    </r>
    <r>
      <rPr>
        <sz val="10"/>
        <rFont val="Arial"/>
        <family val="0"/>
        <charset val="1"/>
      </rPr>
      <t xml:space="preserve">(G02.0*)</t>
    </r>
  </si>
  <si>
    <t xml:space="preserve">B02.1†</t>
  </si>
  <si>
    <r>
      <rPr>
        <sz val="10"/>
        <rFont val="WenQuanYi Zen Hei"/>
        <family val="2"/>
      </rPr>
      <t xml:space="preserve">수막염이 합병된 홍역 </t>
    </r>
    <r>
      <rPr>
        <sz val="10"/>
        <rFont val="Arial"/>
        <family val="0"/>
        <charset val="1"/>
      </rPr>
      <t xml:space="preserve">(G02.0*)</t>
    </r>
  </si>
  <si>
    <t xml:space="preserve">B05.1†</t>
  </si>
  <si>
    <r>
      <rPr>
        <sz val="10"/>
        <rFont val="WenQuanYi Zen Hei"/>
        <family val="2"/>
      </rPr>
      <t xml:space="preserve">볼거리수막염</t>
    </r>
    <r>
      <rPr>
        <sz val="10"/>
        <rFont val="Arial"/>
        <family val="0"/>
        <charset val="1"/>
      </rPr>
      <t xml:space="preserve">(G02.0*)</t>
    </r>
  </si>
  <si>
    <t xml:space="preserve">B26.1†</t>
  </si>
  <si>
    <r>
      <rPr>
        <sz val="10"/>
        <rFont val="WenQuanYi Zen Hei"/>
        <family val="2"/>
      </rPr>
      <t xml:space="preserve">칸디다수막염</t>
    </r>
    <r>
      <rPr>
        <sz val="10"/>
        <rFont val="Arial"/>
        <family val="0"/>
        <charset val="1"/>
      </rPr>
      <t xml:space="preserve">(G02.1*)</t>
    </r>
  </si>
  <si>
    <t xml:space="preserve">B37.5†</t>
  </si>
  <si>
    <r>
      <rPr>
        <sz val="10"/>
        <rFont val="WenQuanYi Zen Hei"/>
        <family val="2"/>
      </rPr>
      <t xml:space="preserve">콕시디오이데스진균수막염 </t>
    </r>
    <r>
      <rPr>
        <sz val="10"/>
        <rFont val="Arial"/>
        <family val="0"/>
        <charset val="1"/>
      </rPr>
      <t xml:space="preserve">(G02.1*)</t>
    </r>
  </si>
  <si>
    <t xml:space="preserve">B38.4†</t>
  </si>
  <si>
    <t xml:space="preserve">기타 및 상세불명의 원인에 의한 수막염</t>
  </si>
  <si>
    <t xml:space="preserve">G03</t>
  </si>
  <si>
    <r>
      <rPr>
        <sz val="10"/>
        <rFont val="WenQuanYi Zen Hei"/>
        <family val="2"/>
      </rPr>
      <t xml:space="preserve">뇌염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척수염 및 뇌척수염</t>
    </r>
  </si>
  <si>
    <t xml:space="preserve">G04</t>
  </si>
  <si>
    <r>
      <rPr>
        <sz val="10"/>
        <rFont val="WenQuanYi Zen Hei"/>
        <family val="2"/>
      </rPr>
      <t xml:space="preserve">달리 분류된 질환에서의 뇌염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척 수염 및 뇌척수염</t>
    </r>
  </si>
  <si>
    <t xml:space="preserve">G05</t>
  </si>
  <si>
    <r>
      <rPr>
        <sz val="10"/>
        <rFont val="WenQuanYi Zen Hei"/>
        <family val="2"/>
      </rPr>
      <t xml:space="preserve">아데노바이러스뇌염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척수염 또 는 뇌척수염</t>
    </r>
    <r>
      <rPr>
        <sz val="10"/>
        <rFont val="Arial"/>
        <family val="0"/>
        <charset val="1"/>
      </rPr>
      <t xml:space="preserve">(G05.1*)</t>
    </r>
  </si>
  <si>
    <t xml:space="preserve">A85.1†</t>
  </si>
  <si>
    <r>
      <rPr>
        <sz val="10"/>
        <rFont val="WenQuanYi Zen Hei"/>
        <family val="2"/>
      </rPr>
      <t xml:space="preserve">엔테로바이러스뇌염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척수염 또 는 뇌척수염</t>
    </r>
    <r>
      <rPr>
        <sz val="10"/>
        <rFont val="Arial"/>
        <family val="0"/>
        <charset val="1"/>
      </rPr>
      <t xml:space="preserve">(G05.1*)</t>
    </r>
  </si>
  <si>
    <t xml:space="preserve">A85.0†</t>
  </si>
  <si>
    <r>
      <rPr>
        <sz val="10"/>
        <rFont val="WenQuanYi Zen Hei"/>
        <family val="2"/>
      </rPr>
      <t xml:space="preserve">헤르페스바이러스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척수염 또는 뇌척수염뇌염 </t>
    </r>
    <r>
      <rPr>
        <sz val="10"/>
        <rFont val="Arial"/>
        <family val="0"/>
        <charset val="1"/>
      </rPr>
      <t xml:space="preserve">(G05.1*)</t>
    </r>
  </si>
  <si>
    <t xml:space="preserve">B00.4†</t>
  </si>
  <si>
    <r>
      <rPr>
        <sz val="10"/>
        <rFont val="WenQuanYi Zen Hei"/>
        <family val="2"/>
      </rPr>
      <t xml:space="preserve">수두후에서의 뇌염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척수염 또 는 뇌척수염</t>
    </r>
    <r>
      <rPr>
        <sz val="10"/>
        <rFont val="Arial"/>
        <family val="0"/>
        <charset val="1"/>
      </rPr>
      <t xml:space="preserve">(G05.1*)</t>
    </r>
  </si>
  <si>
    <t xml:space="preserve">B01.1†</t>
  </si>
  <si>
    <r>
      <rPr>
        <sz val="10"/>
        <rFont val="WenQuanYi Zen Hei"/>
        <family val="2"/>
      </rPr>
      <t xml:space="preserve">대상포진에서의 뇌염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척수염 또는 뇌척수염</t>
    </r>
    <r>
      <rPr>
        <sz val="10"/>
        <rFont val="Arial"/>
        <family val="0"/>
        <charset val="1"/>
      </rPr>
      <t xml:space="preserve">(G05.1*)</t>
    </r>
  </si>
  <si>
    <t xml:space="preserve">B02.0†</t>
  </si>
  <si>
    <r>
      <rPr>
        <sz val="10"/>
        <rFont val="WenQuanYi Zen Hei"/>
        <family val="2"/>
      </rPr>
      <t xml:space="preserve">홍역에서의 뇌염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척수염 또는 뇌척수염</t>
    </r>
    <r>
      <rPr>
        <sz val="10"/>
        <rFont val="Arial"/>
        <family val="0"/>
        <charset val="1"/>
      </rPr>
      <t xml:space="preserve">(G05.1*)</t>
    </r>
  </si>
  <si>
    <t xml:space="preserve">B05.0†</t>
  </si>
  <si>
    <r>
      <rPr>
        <sz val="10"/>
        <rFont val="WenQuanYi Zen Hei"/>
        <family val="2"/>
      </rPr>
      <t xml:space="preserve">볼거리에서의 뇌염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척수염 또 는 뇌척수염</t>
    </r>
    <r>
      <rPr>
        <sz val="10"/>
        <rFont val="Arial"/>
        <family val="0"/>
        <charset val="1"/>
      </rPr>
      <t xml:space="preserve">(G05.1*)</t>
    </r>
  </si>
  <si>
    <t xml:space="preserve">B26.2†</t>
  </si>
  <si>
    <t xml:space="preserve">두개내 및 척추내 농양 및 육아종</t>
  </si>
  <si>
    <t xml:space="preserve">G06</t>
  </si>
  <si>
    <t xml:space="preserve">달리 분류된 질환에서의 두개내 및 척추내 농양 및 육아종</t>
  </si>
  <si>
    <t xml:space="preserve">G07</t>
  </si>
  <si>
    <r>
      <rPr>
        <sz val="10"/>
        <rFont val="WenQuanYi Zen Hei"/>
        <family val="2"/>
      </rPr>
      <t xml:space="preserve">아메바성 뇌의 농양</t>
    </r>
    <r>
      <rPr>
        <sz val="10"/>
        <rFont val="Arial"/>
        <family val="0"/>
        <charset val="1"/>
      </rPr>
      <t xml:space="preserve">(G07*)</t>
    </r>
  </si>
  <si>
    <t xml:space="preserve">A06.6†</t>
  </si>
  <si>
    <t xml:space="preserve">두개내 및 척추내 정맥염 및 혈전 정맥염</t>
  </si>
  <si>
    <t xml:space="preserve">G08</t>
  </si>
  <si>
    <t xml:space="preserve">중추신경계통의 염증성 질환의 후유증</t>
  </si>
  <si>
    <t xml:space="preserve">G09</t>
  </si>
  <si>
    <t xml:space="preserve">파킨슨병</t>
  </si>
  <si>
    <t xml:space="preserve">G20</t>
  </si>
  <si>
    <t xml:space="preserve">이차성 파키슨증</t>
  </si>
  <si>
    <t xml:space="preserve">G21</t>
  </si>
  <si>
    <t xml:space="preserve">다발경화증</t>
  </si>
  <si>
    <t xml:space="preserve">G35</t>
  </si>
  <si>
    <t xml:space="preserve">뇌전증</t>
  </si>
  <si>
    <t xml:space="preserve">G40</t>
  </si>
  <si>
    <t xml:space="preserve">뇌전증지속상태</t>
  </si>
  <si>
    <t xml:space="preserve">G41</t>
  </si>
  <si>
    <t xml:space="preserve">중증근무력증 및 기타 근신경장애</t>
  </si>
  <si>
    <t xml:space="preserve">G70</t>
  </si>
  <si>
    <t xml:space="preserve">뇌성마비</t>
  </si>
  <si>
    <t xml:space="preserve">G80</t>
  </si>
  <si>
    <t xml:space="preserve">편마비</t>
  </si>
  <si>
    <t xml:space="preserve">G81</t>
  </si>
  <si>
    <t xml:space="preserve">하반신마비 및 사지마비</t>
  </si>
  <si>
    <t xml:space="preserve">G82</t>
  </si>
  <si>
    <t xml:space="preserve">기타 마비증후군</t>
  </si>
  <si>
    <t xml:space="preserve">G83</t>
  </si>
  <si>
    <t xml:space="preserve">자율신경계통의 장애</t>
  </si>
  <si>
    <t xml:space="preserve">G90</t>
  </si>
  <si>
    <t xml:space="preserve">수두증</t>
  </si>
  <si>
    <t xml:space="preserve">G91</t>
  </si>
  <si>
    <t xml:space="preserve">녹내장</t>
  </si>
  <si>
    <t xml:space="preserve">H40</t>
  </si>
  <si>
    <t xml:space="preserve">달리 분류된 질환에서의 녹내장</t>
  </si>
  <si>
    <t xml:space="preserve">H42</t>
  </si>
  <si>
    <t xml:space="preserve">죽상경화증</t>
  </si>
  <si>
    <t xml:space="preserve">I70</t>
  </si>
  <si>
    <t xml:space="preserve">대동맥동맥류 및 박리</t>
  </si>
  <si>
    <t xml:space="preserve">I71</t>
  </si>
  <si>
    <t xml:space="preserve">기타 동맥류 및 박리</t>
  </si>
  <si>
    <t xml:space="preserve">I72</t>
  </si>
  <si>
    <t xml:space="preserve">달리 분류되지 않은 바이러스폐렴</t>
  </si>
  <si>
    <t xml:space="preserve">J12</t>
  </si>
  <si>
    <t xml:space="preserve">폐렴연쇄알균에 의한 폐렴</t>
  </si>
  <si>
    <t xml:space="preserve">J13</t>
  </si>
  <si>
    <t xml:space="preserve">인플루엔자균에 의한 폐렴</t>
  </si>
  <si>
    <t xml:space="preserve">J14</t>
  </si>
  <si>
    <t xml:space="preserve">달리 분류되지 않은 세균성 폐렴</t>
  </si>
  <si>
    <t xml:space="preserve">J15</t>
  </si>
  <si>
    <t xml:space="preserve">달리 분류되지 않은 기타 감염성 병원체에 의한 폐렴</t>
  </si>
  <si>
    <t xml:space="preserve">J16</t>
  </si>
  <si>
    <t xml:space="preserve">달리 분류된 질환에서의 폐렴</t>
  </si>
  <si>
    <t xml:space="preserve">J17</t>
  </si>
  <si>
    <t xml:space="preserve">상세불명 병원체의 폐렴</t>
  </si>
  <si>
    <t xml:space="preserve">J18</t>
  </si>
  <si>
    <t xml:space="preserve">레지오넬라병</t>
  </si>
  <si>
    <t xml:space="preserve">A48.1</t>
  </si>
  <si>
    <r>
      <rPr>
        <sz val="10"/>
        <rFont val="WenQuanYi Zen Hei"/>
        <family val="2"/>
      </rPr>
      <t xml:space="preserve">수두폐렴</t>
    </r>
    <r>
      <rPr>
        <sz val="10"/>
        <rFont val="Arial"/>
        <family val="0"/>
        <charset val="1"/>
      </rPr>
      <t xml:space="preserve">(J17.1*)</t>
    </r>
  </si>
  <si>
    <t xml:space="preserve">B01.2†</t>
  </si>
  <si>
    <r>
      <rPr>
        <sz val="10"/>
        <rFont val="WenQuanYi Zen Hei"/>
        <family val="2"/>
      </rPr>
      <t xml:space="preserve">폐렴이 합병된 홍역</t>
    </r>
    <r>
      <rPr>
        <sz val="10"/>
        <rFont val="Arial"/>
        <family val="0"/>
        <charset val="1"/>
      </rPr>
      <t xml:space="preserve">(J17.1*)</t>
    </r>
  </si>
  <si>
    <t xml:space="preserve">B05.2†</t>
  </si>
  <si>
    <r>
      <rPr>
        <sz val="10"/>
        <rFont val="WenQuanYi Zen Hei"/>
        <family val="2"/>
      </rPr>
      <t xml:space="preserve">거대세포바이러스병에서의 폐렴 </t>
    </r>
    <r>
      <rPr>
        <sz val="10"/>
        <rFont val="Arial"/>
        <family val="0"/>
        <charset val="1"/>
      </rPr>
      <t xml:space="preserve">(J17.1*)</t>
    </r>
  </si>
  <si>
    <t xml:space="preserve">B25.0†</t>
  </si>
  <si>
    <r>
      <rPr>
        <sz val="10"/>
        <rFont val="WenQuanYi Zen Hei"/>
        <family val="2"/>
      </rPr>
      <t xml:space="preserve">톡소포자충증에서의 폐렴 </t>
    </r>
    <r>
      <rPr>
        <sz val="10"/>
        <rFont val="Arial"/>
        <family val="0"/>
        <charset val="1"/>
      </rPr>
      <t xml:space="preserve">(J17.3*)</t>
    </r>
  </si>
  <si>
    <t xml:space="preserve">B58.3†</t>
  </si>
  <si>
    <t xml:space="preserve">폐기종</t>
  </si>
  <si>
    <t xml:space="preserve">J43</t>
  </si>
  <si>
    <t xml:space="preserve">기타 만성 폐쇄성 폐질환</t>
  </si>
  <si>
    <t xml:space="preserve">J44</t>
  </si>
  <si>
    <t xml:space="preserve">기관지확장증</t>
  </si>
  <si>
    <t xml:space="preserve">J47</t>
  </si>
  <si>
    <t xml:space="preserve">하기도의 화농성 및 괴사성 병태</t>
  </si>
  <si>
    <t xml:space="preserve">J85~J86</t>
  </si>
  <si>
    <t xml:space="preserve">흉막의 기타 질환</t>
  </si>
  <si>
    <t xml:space="preserve">J90~J94</t>
  </si>
  <si>
    <t xml:space="preserve">외부요인에 의한 폐질환</t>
  </si>
  <si>
    <t xml:space="preserve">J60~J70</t>
  </si>
  <si>
    <t xml:space="preserve">폐부종</t>
  </si>
  <si>
    <t xml:space="preserve">J81</t>
  </si>
  <si>
    <t xml:space="preserve">달리 분류되지 않은 폐호산구증가</t>
  </si>
  <si>
    <t xml:space="preserve">J82</t>
  </si>
  <si>
    <t xml:space="preserve">기타 간질성 폐질환</t>
  </si>
  <si>
    <t xml:space="preserve">J84</t>
  </si>
  <si>
    <t xml:space="preserve">급성 췌장염</t>
  </si>
  <si>
    <t xml:space="preserve">K85</t>
  </si>
  <si>
    <t xml:space="preserve">췌장의 기타 질환</t>
  </si>
  <si>
    <t xml:space="preserve">K86</t>
  </si>
  <si>
    <r>
      <rPr>
        <sz val="10"/>
        <rFont val="WenQuanYi Zen Hei"/>
        <family val="2"/>
      </rPr>
      <t xml:space="preserve">달리 분류된 질환에서의 담낭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담도 및 췌장의 장애</t>
    </r>
  </si>
  <si>
    <t xml:space="preserve">K87</t>
  </si>
  <si>
    <r>
      <rPr>
        <sz val="10"/>
        <rFont val="WenQuanYi Zen Hei"/>
        <family val="2"/>
      </rPr>
      <t xml:space="preserve">거대세포바이러스췌장염 </t>
    </r>
    <r>
      <rPr>
        <sz val="10"/>
        <rFont val="Arial"/>
        <family val="0"/>
        <charset val="1"/>
      </rPr>
      <t xml:space="preserve">(K87.1*)</t>
    </r>
  </si>
  <si>
    <t xml:space="preserve">B25.2+</t>
  </si>
  <si>
    <r>
      <rPr>
        <sz val="10"/>
        <rFont val="WenQuanYi Zen Hei"/>
        <family val="2"/>
      </rPr>
      <t xml:space="preserve">볼거리췌장염</t>
    </r>
    <r>
      <rPr>
        <sz val="10"/>
        <rFont val="Arial"/>
        <family val="0"/>
        <charset val="1"/>
      </rPr>
      <t xml:space="preserve">(K87.1*)</t>
    </r>
  </si>
  <si>
    <t xml:space="preserve">B26.3+</t>
  </si>
  <si>
    <t xml:space="preserve">신부전</t>
  </si>
  <si>
    <t xml:space="preserve">N17-N19</t>
  </si>
  <si>
    <r>
      <rPr>
        <sz val="10"/>
        <rFont val="WenQuanYi Zen Hei"/>
        <family val="2"/>
      </rPr>
      <t xml:space="preserve">다빈도</t>
    </r>
    <r>
      <rPr>
        <sz val="10"/>
        <rFont val="Arial"/>
        <family val="0"/>
        <charset val="1"/>
      </rPr>
      <t xml:space="preserve">62</t>
    </r>
    <r>
      <rPr>
        <sz val="10"/>
        <rFont val="WenQuanYi Zen Hei"/>
        <family val="2"/>
      </rPr>
      <t xml:space="preserve">대질병</t>
    </r>
  </si>
  <si>
    <t xml:space="preserve">주침샘의 양성신생물</t>
  </si>
  <si>
    <t xml:space="preserve">D11</t>
  </si>
  <si>
    <r>
      <rPr>
        <sz val="10"/>
        <rFont val="WenQuanYi Zen Hei"/>
        <family val="2"/>
      </rPr>
      <t xml:space="preserve">이비인후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청각기</t>
    </r>
  </si>
  <si>
    <t xml:space="preserve">기타 및 부위불명 소화계 통의 양성 신생물</t>
  </si>
  <si>
    <t xml:space="preserve">D13</t>
  </si>
  <si>
    <t xml:space="preserve">중이 및 호흡계통의 양성 신생물</t>
  </si>
  <si>
    <t xml:space="preserve">D14</t>
  </si>
  <si>
    <t xml:space="preserve">기타 및 상세불명의 흉곽 내기관의 양성 신생물</t>
  </si>
  <si>
    <t xml:space="preserve">D15</t>
  </si>
  <si>
    <t xml:space="preserve">골 및 관절연골의 양성 신 생물</t>
  </si>
  <si>
    <t xml:space="preserve">D16</t>
  </si>
  <si>
    <t xml:space="preserve">중피조직의 양성 신생물</t>
  </si>
  <si>
    <t xml:space="preserve">D19</t>
  </si>
  <si>
    <t xml:space="preserve">후복막 및 복막 연조직의 양성 신생물</t>
  </si>
  <si>
    <t xml:space="preserve">D20</t>
  </si>
  <si>
    <t xml:space="preserve">결합조직 및 기타 연조직 의 기타 양성 신생물</t>
  </si>
  <si>
    <t xml:space="preserve">D21</t>
  </si>
  <si>
    <t xml:space="preserve">자궁의 평활근종</t>
  </si>
  <si>
    <t xml:space="preserve">D25</t>
  </si>
  <si>
    <t xml:space="preserve">자궁의 기타 양성 신생물</t>
  </si>
  <si>
    <t xml:space="preserve">D26</t>
  </si>
  <si>
    <t xml:space="preserve">난소의 양성 신생물</t>
  </si>
  <si>
    <t xml:space="preserve">D27</t>
  </si>
  <si>
    <t xml:space="preserve">기타 및 상세불명의 여성 생식기관의 양성 신생물</t>
  </si>
  <si>
    <t xml:space="preserve">D28</t>
  </si>
  <si>
    <t xml:space="preserve">남성생식기관의 양성 신생 물</t>
  </si>
  <si>
    <t xml:space="preserve">D29</t>
  </si>
  <si>
    <t xml:space="preserve">비뇨기관의 양성 신생물</t>
  </si>
  <si>
    <t xml:space="preserve">D30</t>
  </si>
  <si>
    <t xml:space="preserve">눈 및 부속기관의 양성종양</t>
  </si>
  <si>
    <t xml:space="preserve">D31</t>
  </si>
  <si>
    <t xml:space="preserve">수막의 양성신생물</t>
  </si>
  <si>
    <t xml:space="preserve">D32</t>
  </si>
  <si>
    <t xml:space="preserve">뇌 및 중추신경계통의 양성신생물</t>
  </si>
  <si>
    <t xml:space="preserve">D33</t>
  </si>
  <si>
    <t xml:space="preserve">갑상선 및 내분비선의 양성신생물</t>
  </si>
  <si>
    <t xml:space="preserve">D34</t>
  </si>
  <si>
    <t xml:space="preserve">기타 및 상세불명의 내분 비선의 양성 신생물</t>
  </si>
  <si>
    <t xml:space="preserve">D35</t>
  </si>
  <si>
    <r>
      <rPr>
        <sz val="10"/>
        <rFont val="WenQuanYi Zen Hei"/>
        <family val="2"/>
      </rPr>
      <t xml:space="preserve">용혈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요독증후군</t>
    </r>
  </si>
  <si>
    <t xml:space="preserve">D59.3</t>
  </si>
  <si>
    <t xml:space="preserve">비장의 질환</t>
  </si>
  <si>
    <t xml:space="preserve">D73</t>
  </si>
  <si>
    <t xml:space="preserve">갑상선의 장애</t>
  </si>
  <si>
    <t xml:space="preserve">E00-E07</t>
  </si>
  <si>
    <r>
      <rPr>
        <sz val="10"/>
        <rFont val="WenQuanYi Zen Hei"/>
        <family val="2"/>
      </rPr>
      <t xml:space="preserve">갑상선이상성 안구돌출 </t>
    </r>
    <r>
      <rPr>
        <sz val="10"/>
        <rFont val="Arial"/>
        <family val="0"/>
        <charset val="1"/>
      </rPr>
      <t xml:space="preserve">(E05.0+)</t>
    </r>
  </si>
  <si>
    <t xml:space="preserve">H06.2*</t>
  </si>
  <si>
    <t xml:space="preserve">처치후 갑상선기능저하증 방사선조사후 갑상선기능저하증 수술후 갑상선기능저하증</t>
  </si>
  <si>
    <t xml:space="preserve">E89.0</t>
  </si>
  <si>
    <t xml:space="preserve">부갑상선기능저하증</t>
  </si>
  <si>
    <t xml:space="preserve">E20</t>
  </si>
  <si>
    <t xml:space="preserve">부갑상선기능항진증 및 부갑상선의 기타 장애</t>
  </si>
  <si>
    <t xml:space="preserve">E21</t>
  </si>
  <si>
    <t xml:space="preserve">뇌하수체의 기능항진</t>
  </si>
  <si>
    <t xml:space="preserve">E22</t>
  </si>
  <si>
    <t xml:space="preserve">뇌하수체의 기능저하 및 기타 장애</t>
  </si>
  <si>
    <t xml:space="preserve">E23</t>
  </si>
  <si>
    <t xml:space="preserve">쿠싱증후군</t>
  </si>
  <si>
    <t xml:space="preserve">E24</t>
  </si>
  <si>
    <t xml:space="preserve">부신생식기장애</t>
  </si>
  <si>
    <t xml:space="preserve">E25</t>
  </si>
  <si>
    <t xml:space="preserve">고알도스테론증</t>
  </si>
  <si>
    <t xml:space="preserve">E26</t>
  </si>
  <si>
    <t xml:space="preserve">부신의 기타 장애</t>
  </si>
  <si>
    <t xml:space="preserve">E27</t>
  </si>
  <si>
    <r>
      <rPr>
        <sz val="10"/>
        <rFont val="WenQuanYi Zen Hei"/>
        <family val="2"/>
      </rPr>
      <t xml:space="preserve">폐색혈전혈관염</t>
    </r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버거병</t>
    </r>
    <r>
      <rPr>
        <sz val="10"/>
        <rFont val="Arial"/>
        <family val="0"/>
        <charset val="1"/>
      </rPr>
      <t xml:space="preserve">]</t>
    </r>
  </si>
  <si>
    <t xml:space="preserve">I73.1</t>
  </si>
  <si>
    <t xml:space="preserve">동맥색전증 및 혈전증</t>
  </si>
  <si>
    <t xml:space="preserve">I74</t>
  </si>
  <si>
    <t xml:space="preserve">동맥 및 세동맥의 기타 장애</t>
  </si>
  <si>
    <t xml:space="preserve">I77</t>
  </si>
  <si>
    <t xml:space="preserve">문맥혈전증</t>
  </si>
  <si>
    <t xml:space="preserve">I81</t>
  </si>
  <si>
    <t xml:space="preserve">비특이성 림프절염</t>
  </si>
  <si>
    <t xml:space="preserve">I88</t>
  </si>
  <si>
    <t xml:space="preserve">림프관 및 림프절의 기타 비감염성 장애</t>
  </si>
  <si>
    <t xml:space="preserve">I89</t>
  </si>
  <si>
    <t xml:space="preserve">달리 분류된 질환에서의 출혈을 동반하지 않은 식도정맥류</t>
  </si>
  <si>
    <t xml:space="preserve">I98.2</t>
  </si>
  <si>
    <t xml:space="preserve">달리 분류된 질환에서의 출혈을 동반한 식도정맥류</t>
  </si>
  <si>
    <t xml:space="preserve">I98.3</t>
  </si>
  <si>
    <t xml:space="preserve">급성 상기도감염</t>
  </si>
  <si>
    <t xml:space="preserve">J00-J06</t>
  </si>
  <si>
    <t xml:space="preserve">확인된 동물매개 또는 범 유행 인플루엔자바이러스 에 의한 인플루엔자</t>
  </si>
  <si>
    <t xml:space="preserve">J09</t>
  </si>
  <si>
    <t xml:space="preserve">확인된 계절성 인플루엔자 바이러스에 의한 인플루엔 자</t>
  </si>
  <si>
    <t xml:space="preserve">J10</t>
  </si>
  <si>
    <t xml:space="preserve">바이러스가 확인되지 않은 인플루엔자</t>
  </si>
  <si>
    <t xml:space="preserve">J11</t>
  </si>
  <si>
    <t xml:space="preserve">상세불명의 급성 하기도감염</t>
  </si>
  <si>
    <t xml:space="preserve">J22</t>
  </si>
  <si>
    <t xml:space="preserve">만성 부비동염</t>
  </si>
  <si>
    <t xml:space="preserve">J32</t>
  </si>
  <si>
    <t xml:space="preserve">편도염</t>
  </si>
  <si>
    <t xml:space="preserve">편도 및 아데노이드의 만성 질환</t>
  </si>
  <si>
    <t xml:space="preserve">J35</t>
  </si>
  <si>
    <t xml:space="preserve">편도주위농양</t>
  </si>
  <si>
    <t xml:space="preserve">J36</t>
  </si>
  <si>
    <t xml:space="preserve">만성 후두염 및 후두기관염</t>
  </si>
  <si>
    <t xml:space="preserve">J37</t>
  </si>
  <si>
    <t xml:space="preserve">달리 분류되지 않은 성대 및 후두의 질환</t>
  </si>
  <si>
    <t xml:space="preserve">J38</t>
  </si>
  <si>
    <t xml:space="preserve">상기도의 기타 질환</t>
  </si>
  <si>
    <t xml:space="preserve">J39</t>
  </si>
  <si>
    <t xml:space="preserve">성인호흡곤란증후군</t>
  </si>
  <si>
    <t xml:space="preserve">J80</t>
  </si>
  <si>
    <t xml:space="preserve">외이의 질환</t>
  </si>
  <si>
    <t xml:space="preserve">H60~H62</t>
  </si>
  <si>
    <t xml:space="preserve">중이 및 유돌의 질환</t>
  </si>
  <si>
    <t xml:space="preserve">H65-H75</t>
  </si>
  <si>
    <r>
      <rPr>
        <sz val="10"/>
        <rFont val="WenQuanYi Zen Hei"/>
        <family val="2"/>
      </rPr>
      <t xml:space="preserve">중이염이 합병된 홍역 </t>
    </r>
    <r>
      <rPr>
        <sz val="10"/>
        <rFont val="Arial"/>
        <family val="0"/>
        <charset val="1"/>
      </rPr>
      <t xml:space="preserve">(H67.1*)</t>
    </r>
  </si>
  <si>
    <t xml:space="preserve">B05.3+</t>
  </si>
  <si>
    <r>
      <rPr>
        <sz val="10"/>
        <rFont val="WenQuanYi Zen Hei"/>
        <family val="2"/>
      </rPr>
      <t xml:space="preserve">홍역후 중이염 </t>
    </r>
    <r>
      <rPr>
        <sz val="10"/>
        <rFont val="Arial"/>
        <family val="0"/>
        <charset val="1"/>
      </rPr>
      <t xml:space="preserve">(H67.1*)</t>
    </r>
  </si>
  <si>
    <t xml:space="preserve">내이의 질환</t>
  </si>
  <si>
    <t xml:space="preserve">H80-H83</t>
  </si>
  <si>
    <t xml:space="preserve">귀의 기타장애</t>
  </si>
  <si>
    <t xml:space="preserve">H90-H95</t>
  </si>
  <si>
    <t xml:space="preserve">황반 및 후극부의 변성</t>
  </si>
  <si>
    <t xml:space="preserve">H35.3</t>
  </si>
  <si>
    <r>
      <rPr>
        <sz val="10"/>
        <rFont val="WenQuanYi Zen Hei"/>
        <family val="2"/>
      </rPr>
      <t xml:space="preserve">공막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각막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홍채 및 섬모체의 장애</t>
    </r>
  </si>
  <si>
    <t xml:space="preserve">H15-H22</t>
  </si>
  <si>
    <r>
      <rPr>
        <sz val="10"/>
        <rFont val="WenQuanYi Zen Hei"/>
        <family val="2"/>
      </rPr>
      <t xml:space="preserve">홍채섬모체염</t>
    </r>
    <r>
      <rPr>
        <sz val="10"/>
        <rFont val="Arial"/>
        <family val="0"/>
        <charset val="1"/>
      </rPr>
      <t xml:space="preserve">(H22.0*)</t>
    </r>
  </si>
  <si>
    <t xml:space="preserve">B00.50+</t>
  </si>
  <si>
    <r>
      <rPr>
        <sz val="10"/>
        <rFont val="WenQuanYi Zen Hei"/>
        <family val="2"/>
      </rPr>
      <t xml:space="preserve">홍채염</t>
    </r>
    <r>
      <rPr>
        <sz val="10"/>
        <rFont val="Arial"/>
        <family val="0"/>
        <charset val="1"/>
      </rPr>
      <t xml:space="preserve">(H22.0*)</t>
    </r>
  </si>
  <si>
    <r>
      <rPr>
        <sz val="10"/>
        <rFont val="WenQuanYi Zen Hei"/>
        <family val="2"/>
      </rPr>
      <t xml:space="preserve">전방포도막염</t>
    </r>
    <r>
      <rPr>
        <sz val="10"/>
        <rFont val="Arial"/>
        <family val="0"/>
        <charset val="1"/>
      </rPr>
      <t xml:space="preserve">(H22.0*)</t>
    </r>
  </si>
  <si>
    <r>
      <rPr>
        <sz val="10"/>
        <rFont val="WenQuanYi Zen Hei"/>
        <family val="2"/>
      </rPr>
      <t xml:space="preserve">각막염</t>
    </r>
    <r>
      <rPr>
        <sz val="10"/>
        <rFont val="Arial"/>
        <family val="0"/>
        <charset val="1"/>
      </rPr>
      <t xml:space="preserve">(H19.1*)</t>
    </r>
  </si>
  <si>
    <t xml:space="preserve">B00.51+</t>
  </si>
  <si>
    <r>
      <rPr>
        <sz val="10"/>
        <rFont val="WenQuanYi Zen Hei"/>
        <family val="2"/>
      </rPr>
      <t xml:space="preserve">각막결막염</t>
    </r>
    <r>
      <rPr>
        <sz val="10"/>
        <rFont val="Arial"/>
        <family val="0"/>
        <charset val="1"/>
      </rPr>
      <t xml:space="preserve">(H19.1*)</t>
    </r>
  </si>
  <si>
    <r>
      <rPr>
        <sz val="10"/>
        <rFont val="WenQuanYi Zen Hei"/>
        <family val="2"/>
      </rPr>
      <t xml:space="preserve">각막상피염</t>
    </r>
    <r>
      <rPr>
        <sz val="10"/>
        <rFont val="Arial"/>
        <family val="0"/>
        <charset val="1"/>
      </rPr>
      <t xml:space="preserve">(H19.1*)</t>
    </r>
  </si>
  <si>
    <r>
      <rPr>
        <sz val="10"/>
        <rFont val="WenQuanYi Zen Hei"/>
        <family val="2"/>
      </rPr>
      <t xml:space="preserve">간질각막염</t>
    </r>
    <r>
      <rPr>
        <sz val="10"/>
        <rFont val="Arial"/>
        <family val="0"/>
        <charset val="1"/>
      </rPr>
      <t xml:space="preserve">(H19.1*)</t>
    </r>
  </si>
  <si>
    <r>
      <rPr>
        <sz val="10"/>
        <rFont val="WenQuanYi Zen Hei"/>
        <family val="2"/>
      </rPr>
      <t xml:space="preserve">각막내피염</t>
    </r>
    <r>
      <rPr>
        <sz val="10"/>
        <rFont val="Arial"/>
        <family val="0"/>
        <charset val="1"/>
      </rPr>
      <t xml:space="preserve">(H19.1*)</t>
    </r>
  </si>
  <si>
    <r>
      <rPr>
        <sz val="10"/>
        <rFont val="WenQuanYi Zen Hei"/>
        <family val="2"/>
      </rPr>
      <t xml:space="preserve">아데노바이러스에 의한 각막결막염</t>
    </r>
    <r>
      <rPr>
        <sz val="10"/>
        <rFont val="Arial"/>
        <family val="0"/>
        <charset val="1"/>
      </rPr>
      <t xml:space="preserve">(H19.2*)</t>
    </r>
  </si>
  <si>
    <t xml:space="preserve">B30.0+</t>
  </si>
  <si>
    <r>
      <rPr>
        <sz val="10"/>
        <rFont val="WenQuanYi Zen Hei"/>
        <family val="2"/>
      </rPr>
      <t xml:space="preserve">유행성 각막결막염 </t>
    </r>
    <r>
      <rPr>
        <sz val="10"/>
        <rFont val="Arial"/>
        <family val="0"/>
        <charset val="1"/>
      </rPr>
      <t xml:space="preserve">(H19.2*)</t>
    </r>
  </si>
  <si>
    <r>
      <rPr>
        <sz val="10"/>
        <rFont val="WenQuanYi Zen Hei"/>
        <family val="2"/>
      </rPr>
      <t xml:space="preserve">조선소눈병</t>
    </r>
    <r>
      <rPr>
        <sz val="10"/>
        <rFont val="Arial"/>
        <family val="0"/>
        <charset val="1"/>
      </rPr>
      <t xml:space="preserve">(H19.2*)</t>
    </r>
  </si>
  <si>
    <r>
      <rPr>
        <sz val="10"/>
        <rFont val="WenQuanYi Zen Hei"/>
        <family val="2"/>
      </rPr>
      <t xml:space="preserve">맥락막 및 망막의 장애 — 단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아래 질병은 제외 ① 배경망막병증 및 망막혈관변화 중 고혈압성 망막병증</t>
    </r>
    <r>
      <rPr>
        <sz val="10"/>
        <rFont val="Arial"/>
        <family val="0"/>
        <charset val="1"/>
      </rPr>
      <t xml:space="preserve">(H35.0 </t>
    </r>
    <r>
      <rPr>
        <sz val="10"/>
        <rFont val="WenQuanYi Zen Hei"/>
        <family val="2"/>
      </rPr>
      <t xml:space="preserve">중 해당 상병 → 특정</t>
    </r>
    <r>
      <rPr>
        <sz val="10"/>
        <rFont val="Arial"/>
        <family val="0"/>
        <charset val="1"/>
      </rPr>
      <t xml:space="preserve">31</t>
    </r>
    <r>
      <rPr>
        <sz val="10"/>
        <rFont val="WenQuanYi Zen Hei"/>
        <family val="2"/>
      </rPr>
      <t xml:space="preserve">대</t>
    </r>
    <r>
      <rPr>
        <sz val="10"/>
        <rFont val="Arial"/>
        <family val="0"/>
        <charset val="1"/>
      </rPr>
      <t xml:space="preserve">) ② </t>
    </r>
    <r>
      <rPr>
        <sz val="10"/>
        <rFont val="WenQuanYi Zen Hei"/>
        <family val="2"/>
      </rPr>
      <t xml:space="preserve">황반 및 후극부의 변성</t>
    </r>
    <r>
      <rPr>
        <sz val="10"/>
        <rFont val="Arial"/>
        <family val="0"/>
        <charset val="1"/>
      </rPr>
      <t xml:space="preserve">(H35.3 → </t>
    </r>
    <r>
      <rPr>
        <sz val="10"/>
        <rFont val="WenQuanYi Zen Hei"/>
        <family val="2"/>
      </rPr>
      <t xml:space="preserve">위 「황반 및 후극부의 변성」 줄로 보장</t>
    </r>
    <r>
      <rPr>
        <sz val="10"/>
        <rFont val="Arial"/>
        <family val="0"/>
        <charset val="1"/>
      </rPr>
      <t xml:space="preserve">) ③ </t>
    </r>
    <r>
      <rPr>
        <sz val="10"/>
        <rFont val="WenQuanYi Zen Hei"/>
        <family val="2"/>
      </rPr>
      <t xml:space="preserve">당뇨병의 망막병증</t>
    </r>
    <r>
      <rPr>
        <sz val="10"/>
        <rFont val="Arial"/>
        <family val="0"/>
        <charset val="1"/>
      </rPr>
      <t xml:space="preserve">(H36.0 → </t>
    </r>
    <r>
      <rPr>
        <sz val="10"/>
        <rFont val="WenQuanYi Zen Hei"/>
        <family val="2"/>
      </rPr>
      <t xml:space="preserve">특정</t>
    </r>
    <r>
      <rPr>
        <sz val="10"/>
        <rFont val="Arial"/>
        <family val="0"/>
        <charset val="1"/>
      </rPr>
      <t xml:space="preserve">31</t>
    </r>
    <r>
      <rPr>
        <sz val="10"/>
        <rFont val="WenQuanYi Zen Hei"/>
        <family val="2"/>
      </rPr>
      <t xml:space="preserve">대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</si>
  <si>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H30-H36 (H35.0 </t>
    </r>
    <r>
      <rPr>
        <sz val="10"/>
        <rFont val="WenQuanYi Zen Hei"/>
        <family val="2"/>
      </rPr>
      <t xml:space="preserve">일부 </t>
    </r>
    <r>
      <rPr>
        <sz val="10"/>
        <rFont val="Arial"/>
        <family val="0"/>
        <charset val="1"/>
      </rPr>
      <t xml:space="preserve">· H35.3 · H36.0 </t>
    </r>
    <r>
      <rPr>
        <sz val="10"/>
        <rFont val="WenQuanYi Zen Hei"/>
        <family val="2"/>
      </rPr>
      <t xml:space="preserve">제외</t>
    </r>
    <r>
      <rPr>
        <sz val="10"/>
        <rFont val="Arial"/>
        <family val="0"/>
        <charset val="1"/>
      </rPr>
      <t xml:space="preserve">)</t>
    </r>
  </si>
  <si>
    <t xml:space="preserve">시신경 및 시각경로의 장애</t>
  </si>
  <si>
    <t xml:space="preserve">H46-H48</t>
  </si>
  <si>
    <t xml:space="preserve">미만성 층판성 각막염</t>
  </si>
  <si>
    <t xml:space="preserve">H59.8</t>
  </si>
  <si>
    <t xml:space="preserve">급성 신염증후군</t>
  </si>
  <si>
    <t xml:space="preserve">N00</t>
  </si>
  <si>
    <t xml:space="preserve">급속 진행성 신염증후군</t>
  </si>
  <si>
    <t xml:space="preserve">N01</t>
  </si>
  <si>
    <t xml:space="preserve">재발성 및 지속성 혈뇨</t>
  </si>
  <si>
    <t xml:space="preserve">N02</t>
  </si>
  <si>
    <t xml:space="preserve">만성 신염증후군</t>
  </si>
  <si>
    <t xml:space="preserve">N03</t>
  </si>
  <si>
    <t xml:space="preserve">신증후군</t>
  </si>
  <si>
    <t xml:space="preserve">N04</t>
  </si>
  <si>
    <t xml:space="preserve">상세불명의 신염증후군</t>
  </si>
  <si>
    <t xml:space="preserve">N05</t>
  </si>
  <si>
    <t xml:space="preserve">명시된 형태학적 병변을 동반한 고립된 단백뇨</t>
  </si>
  <si>
    <t xml:space="preserve">N06</t>
  </si>
  <si>
    <t xml:space="preserve">달리 분류되지 않은 유전 성 신장병증</t>
  </si>
  <si>
    <t xml:space="preserve">N07</t>
  </si>
  <si>
    <r>
      <rPr>
        <sz val="10"/>
        <rFont val="WenQuanYi Zen Hei"/>
        <family val="2"/>
      </rPr>
      <t xml:space="preserve">달리 분류된 질환에서의 사구체장애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당뇨병에서의 사구체장애 제외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</si>
  <si>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N08 (N08.3</t>
    </r>
    <r>
      <rPr>
        <sz val="10"/>
        <rFont val="WenQuanYi Zen Hei"/>
        <family val="2"/>
      </rPr>
      <t xml:space="preserve">제외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</si>
  <si>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급성 세뇨관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간질신장염</t>
    </r>
  </si>
  <si>
    <t xml:space="preserve">N10</t>
  </si>
  <si>
    <r>
      <rPr>
        <sz val="10"/>
        <rFont val="WenQuanYi Zen Hei"/>
        <family val="2"/>
      </rPr>
      <t xml:space="preserve">만성 세뇨관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간질신장염</t>
    </r>
  </si>
  <si>
    <t xml:space="preserve">N11</t>
  </si>
  <si>
    <r>
      <rPr>
        <sz val="10"/>
        <rFont val="WenQuanYi Zen Hei"/>
        <family val="2"/>
      </rPr>
      <t xml:space="preserve">급성 또는 만성으로 명시되지 않은 세뇨관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간질신장염</t>
    </r>
  </si>
  <si>
    <t xml:space="preserve">N12</t>
  </si>
  <si>
    <t xml:space="preserve">폐색성 및 역류성 요로병 증</t>
  </si>
  <si>
    <t xml:space="preserve">N13</t>
  </si>
  <si>
    <r>
      <rPr>
        <sz val="10"/>
        <rFont val="WenQuanYi Zen Hei"/>
        <family val="2"/>
      </rPr>
      <t xml:space="preserve">약물 및 중금속 유발 세뇨 관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간질 및 세뇨관 병태</t>
    </r>
  </si>
  <si>
    <t xml:space="preserve">N14</t>
  </si>
  <si>
    <r>
      <rPr>
        <sz val="10"/>
        <rFont val="WenQuanYi Zen Hei"/>
        <family val="2"/>
      </rPr>
      <t xml:space="preserve">기타 신세뇨관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간질질환</t>
    </r>
  </si>
  <si>
    <t xml:space="preserve">N15</t>
  </si>
  <si>
    <r>
      <rPr>
        <sz val="10"/>
        <rFont val="WenQuanYi Zen Hei"/>
        <family val="2"/>
      </rPr>
      <t xml:space="preserve">달리 분류된 질환에서의 신세뇨관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간질장애</t>
    </r>
  </si>
  <si>
    <t xml:space="preserve">N16</t>
  </si>
  <si>
    <t xml:space="preserve">방광의 결석</t>
  </si>
  <si>
    <t xml:space="preserve">N21.0</t>
  </si>
  <si>
    <t xml:space="preserve">신세뇨관기능손상으로 인 한 장애</t>
  </si>
  <si>
    <t xml:space="preserve">N25</t>
  </si>
  <si>
    <t xml:space="preserve">상세불명의 신장위축</t>
  </si>
  <si>
    <t xml:space="preserve">N26</t>
  </si>
  <si>
    <t xml:space="preserve">원인불명의 작은 신장</t>
  </si>
  <si>
    <t xml:space="preserve">N27</t>
  </si>
  <si>
    <t xml:space="preserve">달리 분류되지 않은 신장 및 요관의 기타 장애</t>
  </si>
  <si>
    <t xml:space="preserve">N28</t>
  </si>
  <si>
    <t xml:space="preserve">달리 분류된 질환에서의 신장 및 요관의 기타 장애</t>
  </si>
  <si>
    <t xml:space="preserve">N29</t>
  </si>
  <si>
    <t xml:space="preserve">방광염</t>
  </si>
  <si>
    <t xml:space="preserve">N30</t>
  </si>
  <si>
    <t xml:space="preserve">달리 분류되지 않은 방광 의 신경근육기능장애</t>
  </si>
  <si>
    <t xml:space="preserve">N31</t>
  </si>
  <si>
    <t xml:space="preserve">방광의 기타 장애</t>
  </si>
  <si>
    <t xml:space="preserve">N32</t>
  </si>
  <si>
    <t xml:space="preserve">달리 분류된 질환에서의 방광장애</t>
  </si>
  <si>
    <t xml:space="preserve">N33</t>
  </si>
  <si>
    <t xml:space="preserve">달리 분류된 질환에서의 요도장애</t>
  </si>
  <si>
    <t xml:space="preserve">N37</t>
  </si>
  <si>
    <r>
      <rPr>
        <sz val="10"/>
        <rFont val="WenQuanYi Zen Hei"/>
        <family val="2"/>
      </rPr>
      <t xml:space="preserve">칸디다요도염</t>
    </r>
    <r>
      <rPr>
        <sz val="10"/>
        <rFont val="Arial"/>
        <family val="0"/>
        <charset val="1"/>
      </rPr>
      <t xml:space="preserve">(N37.0*)</t>
    </r>
  </si>
  <si>
    <t xml:space="preserve">B37.40+</t>
  </si>
  <si>
    <r>
      <rPr>
        <sz val="10"/>
        <rFont val="WenQuanYi Zen Hei"/>
        <family val="2"/>
      </rPr>
      <t xml:space="preserve">비뇨계통의 기타 장애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방광의 결핵</t>
    </r>
    <r>
      <rPr>
        <sz val="10"/>
        <rFont val="Arial"/>
        <family val="0"/>
        <charset val="1"/>
      </rPr>
      <t xml:space="preserve">(A18.11†)</t>
    </r>
    <r>
      <rPr>
        <sz val="10"/>
        <rFont val="WenQuanYi Zen Hei"/>
        <family val="2"/>
      </rPr>
      <t xml:space="preserve">제외</t>
    </r>
    <r>
      <rPr>
        <sz val="10"/>
        <rFont val="Arial"/>
        <family val="0"/>
        <charset val="1"/>
      </rPr>
      <t xml:space="preserve">) (</t>
    </r>
    <r>
      <rPr>
        <sz val="10"/>
        <rFont val="WenQuanYi Zen Hei"/>
        <family val="2"/>
      </rPr>
      <t xml:space="preserve">스트레스요실금 제외</t>
    </r>
    <r>
      <rPr>
        <sz val="10"/>
        <rFont val="Arial"/>
        <family val="0"/>
        <charset val="1"/>
      </rPr>
      <t xml:space="preserve">) (</t>
    </r>
    <r>
      <rPr>
        <sz val="10"/>
        <rFont val="WenQuanYi Zen Hei"/>
        <family val="2"/>
      </rPr>
      <t xml:space="preserve">기타 명시된 요실금 제외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</si>
  <si>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N39 (N33.0</t>
    </r>
    <r>
      <rPr>
        <sz val="10"/>
        <rFont val="WenQuanYi Zen Hei"/>
        <family val="2"/>
      </rPr>
      <t xml:space="preserve">제외</t>
    </r>
    <r>
      <rPr>
        <sz val="10"/>
        <rFont val="Arial"/>
        <family val="0"/>
        <charset val="1"/>
      </rPr>
      <t xml:space="preserve">) (N39.3</t>
    </r>
    <r>
      <rPr>
        <sz val="10"/>
        <rFont val="WenQuanYi Zen Hei"/>
        <family val="2"/>
      </rPr>
      <t xml:space="preserve">제외</t>
    </r>
    <r>
      <rPr>
        <sz val="10"/>
        <rFont val="Arial"/>
        <family val="0"/>
        <charset val="1"/>
      </rPr>
      <t xml:space="preserve">) (N39.4</t>
    </r>
    <r>
      <rPr>
        <sz val="10"/>
        <rFont val="WenQuanYi Zen Hei"/>
        <family val="2"/>
      </rPr>
      <t xml:space="preserve">제외</t>
    </r>
    <r>
      <rPr>
        <sz val="10"/>
        <rFont val="Arial"/>
        <family val="0"/>
        <charset val="1"/>
      </rPr>
      <t xml:space="preserve">)</t>
    </r>
  </si>
  <si>
    <t xml:space="preserve">요도염 및 요도증후군</t>
  </si>
  <si>
    <t xml:space="preserve">N34</t>
  </si>
  <si>
    <t xml:space="preserve">요도협착</t>
  </si>
  <si>
    <t xml:space="preserve">N35</t>
  </si>
  <si>
    <t xml:space="preserve">요도의 기타 장애</t>
  </si>
  <si>
    <t xml:space="preserve">N36</t>
  </si>
  <si>
    <t xml:space="preserve">유방의장애</t>
  </si>
  <si>
    <t xml:space="preserve">양성 유방형성이상</t>
  </si>
  <si>
    <t xml:space="preserve">N60</t>
  </si>
  <si>
    <t xml:space="preserve">유방의 염증성 장애</t>
  </si>
  <si>
    <t xml:space="preserve">N61</t>
  </si>
  <si>
    <t xml:space="preserve">유방의 비대</t>
  </si>
  <si>
    <t xml:space="preserve">N62</t>
  </si>
  <si>
    <t xml:space="preserve">유방의 상세불명의 덩이</t>
  </si>
  <si>
    <t xml:space="preserve">N63</t>
  </si>
  <si>
    <t xml:space="preserve">유방의 기타 장애</t>
  </si>
  <si>
    <t xml:space="preserve">N64</t>
  </si>
  <si>
    <t xml:space="preserve">침샘의 질환</t>
  </si>
  <si>
    <t xml:space="preserve">K11</t>
  </si>
  <si>
    <t xml:space="preserve">식도염</t>
  </si>
  <si>
    <t xml:space="preserve">K20</t>
  </si>
  <si>
    <r>
      <rPr>
        <sz val="10"/>
        <rFont val="WenQuanYi Zen Hei"/>
        <family val="2"/>
      </rPr>
      <t xml:space="preserve">위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식도역류병</t>
    </r>
  </si>
  <si>
    <t xml:space="preserve">K21</t>
  </si>
  <si>
    <t xml:space="preserve">식도의 기타 질환</t>
  </si>
  <si>
    <t xml:space="preserve">K22</t>
  </si>
  <si>
    <r>
      <rPr>
        <sz val="10"/>
        <rFont val="WenQuanYi Zen Hei"/>
        <family val="2"/>
      </rPr>
      <t xml:space="preserve">달리 분류된 질환에서의 식도의 장애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식도의 결핵</t>
    </r>
    <r>
      <rPr>
        <sz val="10"/>
        <rFont val="Arial"/>
        <family val="0"/>
        <charset val="1"/>
      </rPr>
      <t xml:space="preserve">(A18.82†) </t>
    </r>
    <r>
      <rPr>
        <sz val="10"/>
        <rFont val="WenQuanYi Zen Hei"/>
        <family val="2"/>
      </rPr>
      <t xml:space="preserve">제외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</si>
  <si>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K23 (K23.0</t>
    </r>
    <r>
      <rPr>
        <sz val="10"/>
        <rFont val="WenQuanYi Zen Hei"/>
        <family val="2"/>
      </rPr>
      <t xml:space="preserve">제외</t>
    </r>
    <r>
      <rPr>
        <sz val="10"/>
        <rFont val="Arial"/>
        <family val="0"/>
        <charset val="1"/>
      </rPr>
      <t xml:space="preserve">)</t>
    </r>
  </si>
  <si>
    <t xml:space="preserve">위공장궤양</t>
  </si>
  <si>
    <t xml:space="preserve">K28</t>
  </si>
  <si>
    <t xml:space="preserve">위염 및 십이지장염</t>
  </si>
  <si>
    <t xml:space="preserve">K29</t>
  </si>
  <si>
    <t xml:space="preserve">기능성 소화불량</t>
  </si>
  <si>
    <t xml:space="preserve">K30</t>
  </si>
  <si>
    <t xml:space="preserve">사타구니탈장</t>
  </si>
  <si>
    <t xml:space="preserve">K40</t>
  </si>
  <si>
    <t xml:space="preserve">대퇴탈장</t>
  </si>
  <si>
    <t xml:space="preserve">K41</t>
  </si>
  <si>
    <t xml:space="preserve">배꼽탈장</t>
  </si>
  <si>
    <t xml:space="preserve">K42</t>
  </si>
  <si>
    <t xml:space="preserve">복벽탈장</t>
  </si>
  <si>
    <t xml:space="preserve">K43</t>
  </si>
  <si>
    <t xml:space="preserve">횡격막탈장</t>
  </si>
  <si>
    <t xml:space="preserve">K44</t>
  </si>
  <si>
    <t xml:space="preserve">기타 복부탈장</t>
  </si>
  <si>
    <t xml:space="preserve">K45</t>
  </si>
  <si>
    <t xml:space="preserve">상세불명의 복부탈장</t>
  </si>
  <si>
    <t xml:space="preserve">K46</t>
  </si>
  <si>
    <r>
      <rPr>
        <sz val="10"/>
        <rFont val="WenQuanYi Zen Hei"/>
        <family val="2"/>
      </rPr>
      <t xml:space="preserve">크론병</t>
    </r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국소성 장염</t>
    </r>
    <r>
      <rPr>
        <sz val="10"/>
        <rFont val="Arial"/>
        <family val="0"/>
        <charset val="1"/>
      </rPr>
      <t xml:space="preserve">]</t>
    </r>
  </si>
  <si>
    <t xml:space="preserve">K50</t>
  </si>
  <si>
    <t xml:space="preserve">궤양성 대장염</t>
  </si>
  <si>
    <t xml:space="preserve">K51</t>
  </si>
  <si>
    <t xml:space="preserve">기타 비감염성 위장염 및 결장염</t>
  </si>
  <si>
    <t xml:space="preserve">K52</t>
  </si>
  <si>
    <t xml:space="preserve">장의 혈관장애</t>
  </si>
  <si>
    <t xml:space="preserve">K55</t>
  </si>
  <si>
    <t xml:space="preserve">탈장이 없는 마비성 장폐 색증 및 장폐색</t>
  </si>
  <si>
    <t xml:space="preserve">K56</t>
  </si>
  <si>
    <t xml:space="preserve">장의 게실병</t>
  </si>
  <si>
    <t xml:space="preserve">K57</t>
  </si>
  <si>
    <r>
      <rPr>
        <sz val="10"/>
        <rFont val="WenQuanYi Zen Hei"/>
        <family val="2"/>
      </rPr>
      <t xml:space="preserve">복막의 질환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결핵성 복막염</t>
    </r>
    <r>
      <rPr>
        <sz val="10"/>
        <rFont val="Arial"/>
        <family val="0"/>
        <charset val="1"/>
      </rPr>
      <t xml:space="preserve">(A18.30†) </t>
    </r>
    <r>
      <rPr>
        <sz val="10"/>
        <rFont val="WenQuanYi Zen Hei"/>
        <family val="2"/>
      </rPr>
      <t xml:space="preserve">제외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</si>
  <si>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K65-K67 (K67.3</t>
    </r>
    <r>
      <rPr>
        <sz val="10"/>
        <rFont val="WenQuanYi Zen Hei"/>
        <family val="2"/>
      </rPr>
      <t xml:space="preserve">제외</t>
    </r>
    <r>
      <rPr>
        <sz val="10"/>
        <rFont val="Arial"/>
        <family val="0"/>
        <charset val="1"/>
      </rPr>
      <t xml:space="preserve">)</t>
    </r>
  </si>
  <si>
    <t xml:space="preserve">담석증</t>
  </si>
  <si>
    <t xml:space="preserve">K80</t>
  </si>
  <si>
    <t xml:space="preserve">담낭염</t>
  </si>
  <si>
    <t xml:space="preserve">K81</t>
  </si>
  <si>
    <t xml:space="preserve">담낭의 기타 질환</t>
  </si>
  <si>
    <t xml:space="preserve">K82</t>
  </si>
  <si>
    <t xml:space="preserve">담도의 기타 질환</t>
  </si>
  <si>
    <t xml:space="preserve">K83</t>
  </si>
  <si>
    <t xml:space="preserve">장흡수장애</t>
  </si>
  <si>
    <t xml:space="preserve">K90</t>
  </si>
  <si>
    <t xml:space="preserve">결절성 다발동맥염 및 관 련 병태</t>
  </si>
  <si>
    <t xml:space="preserve">M30</t>
  </si>
  <si>
    <t xml:space="preserve">기타 괴사성 혈관병증</t>
  </si>
  <si>
    <t xml:space="preserve">M31</t>
  </si>
  <si>
    <t xml:space="preserve">결합조직의 기타 전신침범</t>
  </si>
  <si>
    <t xml:space="preserve">M35</t>
  </si>
  <si>
    <r>
      <rPr>
        <sz val="10"/>
        <rFont val="WenQuanYi Zen Hei"/>
        <family val="2"/>
      </rPr>
      <t xml:space="preserve">각막결막염을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를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동반한 쉐그렌증후군</t>
    </r>
    <r>
      <rPr>
        <sz val="10"/>
        <rFont val="Arial"/>
        <family val="0"/>
        <charset val="1"/>
      </rPr>
      <t xml:space="preserve">(M35.0+)</t>
    </r>
  </si>
  <si>
    <t xml:space="preserve">H19.3*</t>
  </si>
  <si>
    <t xml:space="preserve">척주후만증 및 척주전만증</t>
  </si>
  <si>
    <t xml:space="preserve">M40</t>
  </si>
  <si>
    <t xml:space="preserve">척주측만증</t>
  </si>
  <si>
    <t xml:space="preserve">M41</t>
  </si>
  <si>
    <t xml:space="preserve">척추골연골증</t>
  </si>
  <si>
    <t xml:space="preserve">M42</t>
  </si>
  <si>
    <t xml:space="preserve">기타 변형성 등병증</t>
  </si>
  <si>
    <t xml:space="preserve">M43</t>
  </si>
  <si>
    <t xml:space="preserve">강직척추염</t>
  </si>
  <si>
    <t xml:space="preserve">M45</t>
  </si>
  <si>
    <t xml:space="preserve">기타 염증성 척추병증</t>
  </si>
  <si>
    <t xml:space="preserve">M46</t>
  </si>
  <si>
    <t xml:space="preserve">척추증</t>
  </si>
  <si>
    <t xml:space="preserve">M47</t>
  </si>
  <si>
    <t xml:space="preserve">기타 척추병증</t>
  </si>
  <si>
    <t xml:space="preserve">M48</t>
  </si>
  <si>
    <t xml:space="preserve">경추간판장애</t>
  </si>
  <si>
    <t xml:space="preserve">M50</t>
  </si>
  <si>
    <t xml:space="preserve">기타 추간판장애</t>
  </si>
  <si>
    <t xml:space="preserve">M51</t>
  </si>
  <si>
    <t xml:space="preserve">병적 골절을 동반한 골다공증</t>
  </si>
  <si>
    <t xml:space="preserve">M80</t>
  </si>
  <si>
    <t xml:space="preserve">병적 골절이 없는 골다공증</t>
  </si>
  <si>
    <t xml:space="preserve">M81</t>
  </si>
  <si>
    <t xml:space="preserve">달리 분류된 질환에서의 골다공증</t>
  </si>
  <si>
    <t xml:space="preserve">M82</t>
  </si>
  <si>
    <t xml:space="preserve">골연속성의 장애</t>
  </si>
  <si>
    <t xml:space="preserve">M84</t>
  </si>
  <si>
    <t xml:space="preserve">삼차신경의 장애</t>
  </si>
  <si>
    <t xml:space="preserve">G50</t>
  </si>
  <si>
    <t xml:space="preserve">안면신경장애</t>
  </si>
  <si>
    <t xml:space="preserve">G51</t>
  </si>
  <si>
    <t xml:space="preserve">기타 뇌신경의 장애</t>
  </si>
  <si>
    <t xml:space="preserve">G52</t>
  </si>
  <si>
    <t xml:space="preserve">팔의 단일신경병증</t>
  </si>
  <si>
    <t xml:space="preserve">G56</t>
  </si>
  <si>
    <t xml:space="preserve">다리의 단일신경병증</t>
  </si>
  <si>
    <t xml:space="preserve">G57</t>
  </si>
  <si>
    <t xml:space="preserve">기타 단일신경병증</t>
  </si>
  <si>
    <t xml:space="preserve">G58</t>
  </si>
  <si>
    <r>
      <rPr>
        <sz val="10"/>
        <rFont val="WenQuanYi Zen Hei"/>
        <family val="2"/>
      </rPr>
      <t xml:space="preserve">달리 분류된 질환에서의 단일신경병증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당뇨병성 단일신경병증 제외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</si>
  <si>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G59 (G59.0</t>
    </r>
    <r>
      <rPr>
        <sz val="10"/>
        <rFont val="WenQuanYi Zen Hei"/>
        <family val="2"/>
      </rPr>
      <t xml:space="preserve">제외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</si>
  <si>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특정다빈도</t>
    </r>
    <r>
      <rPr>
        <sz val="10"/>
        <rFont val="Arial"/>
        <family val="0"/>
        <charset val="1"/>
      </rPr>
      <t xml:space="preserve">29</t>
    </r>
    <r>
      <rPr>
        <sz val="10"/>
        <rFont val="WenQuanYi Zen Hei"/>
        <family val="2"/>
      </rPr>
      <t xml:space="preserve">대질병 </t>
    </r>
    <r>
      <rPr>
        <sz val="10"/>
        <rFont val="Arial"/>
        <family val="0"/>
        <charset val="1"/>
      </rPr>
      <t xml:space="preserve">(29</t>
    </r>
    <r>
      <rPr>
        <sz val="10"/>
        <rFont val="WenQuanYi Zen Hei"/>
        <family val="2"/>
      </rPr>
      <t xml:space="preserve">대 추가</t>
    </r>
    <r>
      <rPr>
        <sz val="10"/>
        <rFont val="Arial"/>
        <family val="0"/>
        <charset val="1"/>
      </rPr>
      <t xml:space="preserve">)</t>
    </r>
  </si>
  <si>
    <t xml:space="preserve">혀의 질환</t>
  </si>
  <si>
    <t xml:space="preserve">K14</t>
  </si>
  <si>
    <t xml:space="preserve">유방의 양성 신생물</t>
  </si>
  <si>
    <t xml:space="preserve">D24</t>
  </si>
  <si>
    <t xml:space="preserve">다낭성 난소증후군</t>
  </si>
  <si>
    <t xml:space="preserve">E28.2</t>
  </si>
  <si>
    <t xml:space="preserve">수면무호흡</t>
  </si>
  <si>
    <t xml:space="preserve">G47.3</t>
  </si>
  <si>
    <t xml:space="preserve">신생물질환에서의 신경근 및 신경총 압박</t>
  </si>
  <si>
    <t xml:space="preserve">G55.0</t>
  </si>
  <si>
    <t xml:space="preserve">추간판 장애에서의 신경근 및 신경총 압박</t>
  </si>
  <si>
    <t xml:space="preserve">G55.1</t>
  </si>
  <si>
    <t xml:space="preserve">척추증에서의 신경근 및 신경총 압박</t>
  </si>
  <si>
    <t xml:space="preserve">G55.2</t>
  </si>
  <si>
    <t xml:space="preserve">기타 등병증에서의 신경근 및 신경총 압박</t>
  </si>
  <si>
    <t xml:space="preserve">G55.3</t>
  </si>
  <si>
    <t xml:space="preserve">안와의 장애</t>
  </si>
  <si>
    <t xml:space="preserve">H05</t>
  </si>
  <si>
    <t xml:space="preserve">결막의 장애</t>
  </si>
  <si>
    <t xml:space="preserve">H10-H13</t>
  </si>
  <si>
    <t xml:space="preserve">정맥염 및 혈전정맥염</t>
  </si>
  <si>
    <t xml:space="preserve">I80</t>
  </si>
  <si>
    <t xml:space="preserve">기타 정맥의 색전증 및 혈전증</t>
  </si>
  <si>
    <t xml:space="preserve">I82</t>
  </si>
  <si>
    <t xml:space="preserve">식도정맥류</t>
  </si>
  <si>
    <t xml:space="preserve">I85</t>
  </si>
  <si>
    <t xml:space="preserve">음낭정맥류</t>
  </si>
  <si>
    <t xml:space="preserve">I86.1</t>
  </si>
  <si>
    <t xml:space="preserve">급성 기관지염</t>
  </si>
  <si>
    <t xml:space="preserve">J20</t>
  </si>
  <si>
    <t xml:space="preserve">급성 세기관지염</t>
  </si>
  <si>
    <t xml:space="preserve">J21</t>
  </si>
  <si>
    <t xml:space="preserve">위 및 십이지장의 기타 질환</t>
  </si>
  <si>
    <t xml:space="preserve">K31</t>
  </si>
  <si>
    <t xml:space="preserve">과민대장증후군</t>
  </si>
  <si>
    <t xml:space="preserve">K58</t>
  </si>
  <si>
    <t xml:space="preserve">기타 기능성 장장애</t>
  </si>
  <si>
    <t xml:space="preserve">K59</t>
  </si>
  <si>
    <t xml:space="preserve">항문 및 직장부의 열창 및 누공</t>
  </si>
  <si>
    <t xml:space="preserve">K60</t>
  </si>
  <si>
    <t xml:space="preserve">항문 및 직장부의 농양</t>
  </si>
  <si>
    <t xml:space="preserve">K61</t>
  </si>
  <si>
    <t xml:space="preserve">소화계통의 기타 질환</t>
  </si>
  <si>
    <t xml:space="preserve">K92</t>
  </si>
  <si>
    <r>
      <rPr>
        <sz val="10"/>
        <rFont val="WenQuanYi Zen Hei"/>
        <family val="2"/>
      </rPr>
      <t xml:space="preserve">달리 분류된 질환에서의 기타 소화기관장애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장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복막 및 장간막림프절의 결핵성 장애</t>
    </r>
    <r>
      <rPr>
        <sz val="10"/>
        <rFont val="Arial"/>
        <family val="0"/>
        <charset val="1"/>
      </rPr>
      <t xml:space="preserve">(A18.3-*) </t>
    </r>
    <r>
      <rPr>
        <sz val="10"/>
        <rFont val="WenQuanYi Zen Hei"/>
        <family val="2"/>
      </rPr>
      <t xml:space="preserve">제외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</si>
  <si>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K93 (K93.0*</t>
    </r>
    <r>
      <rPr>
        <sz val="10"/>
        <rFont val="WenQuanYi Zen Hei"/>
        <family val="2"/>
      </rPr>
      <t xml:space="preserve">제외</t>
    </r>
    <r>
      <rPr>
        <sz val="10"/>
        <rFont val="Arial"/>
        <family val="0"/>
        <charset val="1"/>
      </rPr>
      <t xml:space="preserve">)</t>
    </r>
  </si>
  <si>
    <t xml:space="preserve">전산홍반루푸스</t>
  </si>
  <si>
    <t xml:space="preserve">M32</t>
  </si>
  <si>
    <t xml:space="preserve">피부다발근염</t>
  </si>
  <si>
    <t xml:space="preserve">M33</t>
  </si>
  <si>
    <t xml:space="preserve">전신경화증</t>
  </si>
  <si>
    <t xml:space="preserve">M34</t>
  </si>
  <si>
    <r>
      <rPr>
        <sz val="10"/>
        <rFont val="WenQuanYi Zen Hei"/>
        <family val="2"/>
      </rPr>
      <t xml:space="preserve">달리 분류된 질환에서의 척추병증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척추의 결핵</t>
    </r>
    <r>
      <rPr>
        <sz val="10"/>
        <rFont val="Arial"/>
        <family val="0"/>
        <charset val="1"/>
      </rPr>
      <t xml:space="preserve">(A18.00†) </t>
    </r>
    <r>
      <rPr>
        <sz val="10"/>
        <rFont val="WenQuanYi Zen Hei"/>
        <family val="2"/>
      </rPr>
      <t xml:space="preserve">제외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</si>
  <si>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M49 (M49.0*</t>
    </r>
    <r>
      <rPr>
        <sz val="10"/>
        <rFont val="WenQuanYi Zen Hei"/>
        <family val="2"/>
      </rPr>
      <t xml:space="preserve">제외</t>
    </r>
    <r>
      <rPr>
        <sz val="10"/>
        <rFont val="Arial"/>
        <family val="0"/>
        <charset val="1"/>
      </rPr>
      <t xml:space="preserve">)</t>
    </r>
  </si>
  <si>
    <t xml:space="preserve">달리 분류되지 않은 기타 등병증</t>
  </si>
  <si>
    <t xml:space="preserve">M53</t>
  </si>
  <si>
    <t xml:space="preserve">등통증</t>
  </si>
  <si>
    <t xml:space="preserve">M54</t>
  </si>
  <si>
    <t xml:space="preserve">근육 장애</t>
  </si>
  <si>
    <t xml:space="preserve">M60~M63</t>
  </si>
  <si>
    <t xml:space="preserve">기타 연조직장애</t>
  </si>
  <si>
    <r>
      <rPr>
        <sz val="10"/>
        <rFont val="Arial"/>
        <family val="0"/>
        <charset val="1"/>
      </rPr>
      <t xml:space="preserve">M70~M79 (M74, M78</t>
    </r>
    <r>
      <rPr>
        <sz val="10"/>
        <rFont val="WenQuanYi Zen Hei"/>
        <family val="2"/>
      </rPr>
      <t xml:space="preserve">제외</t>
    </r>
    <r>
      <rPr>
        <sz val="10"/>
        <rFont val="Arial"/>
        <family val="0"/>
        <charset val="1"/>
      </rPr>
      <t xml:space="preserve">)</t>
    </r>
  </si>
  <si>
    <t xml:space="preserve">골수염</t>
  </si>
  <si>
    <t xml:space="preserve">M86</t>
  </si>
  <si>
    <t xml:space="preserve">골괴사</t>
  </si>
  <si>
    <t xml:space="preserve">M87</t>
  </si>
  <si>
    <t xml:space="preserve">뼈의 파젯병</t>
  </si>
  <si>
    <t xml:space="preserve">M88</t>
  </si>
  <si>
    <t xml:space="preserve">뼈의 기타 장애</t>
  </si>
  <si>
    <t xml:space="preserve">M89</t>
  </si>
  <si>
    <t xml:space="preserve">연골병증</t>
  </si>
  <si>
    <t xml:space="preserve">M91-M94</t>
  </si>
  <si>
    <t xml:space="preserve">상세불명의 신장 급통증</t>
  </si>
  <si>
    <t xml:space="preserve">N23</t>
  </si>
  <si>
    <t xml:space="preserve">다한증</t>
  </si>
  <si>
    <t xml:space="preserve">R61</t>
  </si>
  <si>
    <t xml:space="preserve">후각특정질환</t>
  </si>
  <si>
    <t xml:space="preserve">혈관운동성 및 알레르기성 비염</t>
  </si>
  <si>
    <t xml:space="preserve">J30</t>
  </si>
  <si>
    <r>
      <rPr>
        <sz val="10"/>
        <rFont val="WenQuanYi Zen Hei"/>
        <family val="2"/>
      </rPr>
      <t xml:space="preserve">만성 비염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비인두염 및 인두염</t>
    </r>
  </si>
  <si>
    <t xml:space="preserve">J31</t>
  </si>
  <si>
    <t xml:space="preserve">코폴립</t>
  </si>
  <si>
    <t xml:space="preserve">J33</t>
  </si>
  <si>
    <t xml:space="preserve">코 및 비동의 기타 장애</t>
  </si>
  <si>
    <t xml:space="preserve">J34</t>
  </si>
  <si>
    <t xml:space="preserve">관절염․생식기질환</t>
  </si>
  <si>
    <r>
      <rPr>
        <sz val="10"/>
        <rFont val="WenQuanYi Zen Hei"/>
        <family val="2"/>
      </rPr>
      <t xml:space="preserve">감염성 관절병증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결핵관절염</t>
    </r>
    <r>
      <rPr>
        <sz val="10"/>
        <rFont val="Arial"/>
        <family val="0"/>
        <charset val="1"/>
      </rPr>
      <t xml:space="preserve">(A18.01†) </t>
    </r>
    <r>
      <rPr>
        <sz val="10"/>
        <rFont val="WenQuanYi Zen Hei"/>
        <family val="2"/>
      </rPr>
      <t xml:space="preserve">제외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</si>
  <si>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M00~M03 (M01.1</t>
    </r>
    <r>
      <rPr>
        <sz val="10"/>
        <rFont val="WenQuanYi Zen Hei"/>
        <family val="2"/>
      </rPr>
      <t xml:space="preserve">제외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</si>
  <si>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염증성 다발관절병증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당뇨병성 관절병증 제외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</si>
  <si>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M05~M14 (M14.2</t>
    </r>
    <r>
      <rPr>
        <sz val="10"/>
        <rFont val="WenQuanYi Zen Hei"/>
        <family val="2"/>
      </rPr>
      <t xml:space="preserve">제외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</si>
  <si>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류마티스폐질환</t>
    </r>
    <r>
      <rPr>
        <sz val="10"/>
        <rFont val="Arial"/>
        <family val="0"/>
        <charset val="1"/>
      </rPr>
      <t xml:space="preserve">(M05.1†)</t>
    </r>
  </si>
  <si>
    <t xml:space="preserve">J99.0*</t>
  </si>
  <si>
    <t xml:space="preserve">관절증</t>
  </si>
  <si>
    <t xml:space="preserve">M15~M19</t>
  </si>
  <si>
    <t xml:space="preserve">기타 관절장애</t>
  </si>
  <si>
    <t xml:space="preserve">M20~M25</t>
  </si>
  <si>
    <r>
      <rPr>
        <sz val="10"/>
        <rFont val="WenQuanYi Zen Hei"/>
        <family val="2"/>
      </rPr>
      <t xml:space="preserve">남성생식기관의 질환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남성 불임 제외</t>
    </r>
    <r>
      <rPr>
        <sz val="10"/>
        <rFont val="Arial"/>
        <family val="0"/>
        <charset val="1"/>
      </rPr>
      <t xml:space="preserve">)</t>
    </r>
  </si>
  <si>
    <t xml:space="preserve">N40~N45, N47~N51</t>
  </si>
  <si>
    <r>
      <rPr>
        <sz val="10"/>
        <rFont val="WenQuanYi Zen Hei"/>
        <family val="2"/>
      </rPr>
      <t xml:space="preserve">편모충성 전립선염</t>
    </r>
    <r>
      <rPr>
        <sz val="10"/>
        <rFont val="Arial"/>
        <family val="0"/>
        <charset val="1"/>
      </rPr>
      <t xml:space="preserve">(N51.0*)</t>
    </r>
  </si>
  <si>
    <t xml:space="preserve">A59.08†</t>
  </si>
  <si>
    <r>
      <rPr>
        <sz val="10"/>
        <rFont val="WenQuanYi Zen Hei"/>
        <family val="2"/>
      </rPr>
      <t xml:space="preserve">볼거리고환염</t>
    </r>
    <r>
      <rPr>
        <sz val="10"/>
        <rFont val="Arial"/>
        <family val="0"/>
        <charset val="1"/>
      </rPr>
      <t xml:space="preserve">(N51.1*)</t>
    </r>
  </si>
  <si>
    <t xml:space="preserve">B26.0†</t>
  </si>
  <si>
    <r>
      <rPr>
        <sz val="10"/>
        <rFont val="WenQuanYi Zen Hei"/>
        <family val="2"/>
      </rPr>
      <t xml:space="preserve">여성골반내기관의 염증성 질환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자궁경부의 결핵감염</t>
    </r>
    <r>
      <rPr>
        <sz val="10"/>
        <rFont val="Arial"/>
        <family val="0"/>
        <charset val="1"/>
      </rPr>
      <t xml:space="preserve">(A18.17†) </t>
    </r>
    <r>
      <rPr>
        <sz val="10"/>
        <rFont val="WenQuanYi Zen Hei"/>
        <family val="2"/>
      </rPr>
      <t xml:space="preserve">제외</t>
    </r>
    <r>
      <rPr>
        <sz val="10"/>
        <rFont val="Arial"/>
        <family val="0"/>
        <charset val="1"/>
      </rPr>
      <t xml:space="preserve">) (</t>
    </r>
    <r>
      <rPr>
        <sz val="10"/>
        <rFont val="WenQuanYi Zen Hei"/>
        <family val="2"/>
      </rPr>
      <t xml:space="preserve">여성 결핵성 골반염증질환</t>
    </r>
    <r>
      <rPr>
        <sz val="10"/>
        <rFont val="Arial"/>
        <family val="0"/>
        <charset val="1"/>
      </rPr>
      <t xml:space="preserve">(A18.17†) </t>
    </r>
    <r>
      <rPr>
        <sz val="10"/>
        <rFont val="WenQuanYi Zen Hei"/>
        <family val="2"/>
      </rPr>
      <t xml:space="preserve">제외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</si>
  <si>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N70~N77 (N74.0</t>
    </r>
    <r>
      <rPr>
        <sz val="10"/>
        <rFont val="WenQuanYi Zen Hei"/>
        <family val="2"/>
      </rPr>
      <t xml:space="preserve">제외</t>
    </r>
    <r>
      <rPr>
        <sz val="10"/>
        <rFont val="Arial"/>
        <family val="0"/>
        <charset val="1"/>
      </rPr>
      <t xml:space="preserve">) (N74.1</t>
    </r>
    <r>
      <rPr>
        <sz val="10"/>
        <rFont val="WenQuanYi Zen Hei"/>
        <family val="2"/>
      </rPr>
      <t xml:space="preserve">제외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</si>
  <si>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여성 생식관의 비염증성 장애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습관적 유산자 제외</t>
    </r>
    <r>
      <rPr>
        <sz val="10"/>
        <rFont val="Arial"/>
        <family val="0"/>
        <charset val="1"/>
      </rPr>
      <t xml:space="preserve">) (</t>
    </r>
    <r>
      <rPr>
        <sz val="10"/>
        <rFont val="WenQuanYi Zen Hei"/>
        <family val="2"/>
      </rPr>
      <t xml:space="preserve">여성불임 제외</t>
    </r>
    <r>
      <rPr>
        <sz val="10"/>
        <rFont val="Arial"/>
        <family val="0"/>
        <charset val="1"/>
      </rPr>
      <t xml:space="preserve">) (</t>
    </r>
    <r>
      <rPr>
        <sz val="10"/>
        <rFont val="WenQuanYi Zen Hei"/>
        <family val="2"/>
      </rPr>
      <t xml:space="preserve">인공수정과 관련된 합병증 제외</t>
    </r>
    <r>
      <rPr>
        <sz val="10"/>
        <rFont val="Arial"/>
        <family val="0"/>
        <charset val="1"/>
      </rPr>
      <t xml:space="preserve">)</t>
    </r>
  </si>
  <si>
    <t xml:space="preserve">N80~N95</t>
  </si>
  <si>
    <t xml:space="preserve">달리 분류되지 않은 비뇨생식계통의 처치후 장애</t>
  </si>
  <si>
    <t xml:space="preserve">N99</t>
  </si>
  <si>
    <t xml:space="preserve">치핵</t>
  </si>
  <si>
    <r>
      <rPr>
        <sz val="10"/>
        <rFont val="WenQuanYi Zen Hei"/>
        <family val="2"/>
      </rPr>
      <t xml:space="preserve">포함 </t>
    </r>
    <r>
      <rPr>
        <sz val="10"/>
        <rFont val="Arial"/>
        <family val="0"/>
        <charset val="1"/>
      </rPr>
      <t xml:space="preserve">- </t>
    </r>
    <r>
      <rPr>
        <sz val="10"/>
        <rFont val="WenQuanYi Zen Hei"/>
        <family val="2"/>
      </rPr>
      <t xml:space="preserve">치질 제외 </t>
    </r>
    <r>
      <rPr>
        <sz val="10"/>
        <rFont val="Arial"/>
        <family val="0"/>
        <charset val="1"/>
      </rPr>
      <t xml:space="preserve">- </t>
    </r>
    <r>
      <rPr>
        <sz val="10"/>
        <rFont val="WenQuanYi Zen Hei"/>
        <family val="2"/>
      </rPr>
      <t xml:space="preserve">합병증 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합병된 출산 및 산후기</t>
    </r>
    <r>
      <rPr>
        <sz val="10"/>
        <rFont val="Arial"/>
        <family val="0"/>
        <charset val="1"/>
      </rPr>
      <t xml:space="preserve">(O87.2), </t>
    </r>
    <r>
      <rPr>
        <sz val="10"/>
        <rFont val="WenQuanYi Zen Hei"/>
        <family val="2"/>
      </rPr>
      <t xml:space="preserve">합병된 임신</t>
    </r>
    <r>
      <rPr>
        <sz val="10"/>
        <rFont val="Arial"/>
        <family val="0"/>
        <charset val="1"/>
      </rPr>
      <t xml:space="preserve">(O22.4)</t>
    </r>
  </si>
  <si>
    <t xml:space="preserve">K64</t>
  </si>
  <si>
    <t xml:space="preserve">백내장</t>
  </si>
  <si>
    <t xml:space="preserve">노년성 백내장</t>
  </si>
  <si>
    <t xml:space="preserve">H25</t>
  </si>
  <si>
    <t xml:space="preserve">기타 백내장</t>
  </si>
  <si>
    <t xml:space="preserve">H26</t>
  </si>
  <si>
    <t xml:space="preserve">수정체의 기타 장애</t>
  </si>
  <si>
    <t xml:space="preserve">H27</t>
  </si>
  <si>
    <r>
      <rPr>
        <i val="true"/>
        <sz val="10"/>
        <color rgb="FF46536B"/>
        <rFont val="WenQuanYi Zen Hei"/>
        <family val="2"/>
      </rPr>
      <t xml:space="preserve">특약 마스터</t>
    </r>
    <r>
      <rPr>
        <i val="true"/>
        <sz val="10"/>
        <color rgb="FF46536B"/>
        <rFont val="Arial"/>
        <family val="0"/>
        <charset val="1"/>
      </rPr>
      <t xml:space="preserve">(</t>
    </r>
    <r>
      <rPr>
        <i val="true"/>
        <sz val="10"/>
        <color rgb="FF46536B"/>
        <rFont val="WenQuanYi Zen Hei"/>
        <family val="2"/>
      </rPr>
      <t xml:space="preserve">영업지원도구 케</t>
    </r>
    <r>
      <rPr>
        <i val="true"/>
        <sz val="10"/>
        <color rgb="FF46536B"/>
        <rFont val="Arial"/>
        <family val="0"/>
        <charset val="1"/>
      </rPr>
      <t xml:space="preserve">219 · </t>
    </r>
    <r>
      <rPr>
        <i val="true"/>
        <sz val="10"/>
        <color rgb="FF46536B"/>
        <rFont val="WenQuanYi Zen Hei"/>
        <family val="2"/>
      </rPr>
      <t xml:space="preserve">통</t>
    </r>
    <r>
      <rPr>
        <i val="true"/>
        <sz val="10"/>
        <color rgb="FF46536B"/>
        <rFont val="Arial"/>
        <family val="0"/>
        <charset val="1"/>
      </rPr>
      <t xml:space="preserve">123) </t>
    </r>
    <r>
      <rPr>
        <i val="true"/>
        <sz val="10"/>
        <color rgb="FF46536B"/>
        <rFont val="WenQuanYi Zen Hei"/>
        <family val="2"/>
      </rPr>
      <t xml:space="preserve">기준 </t>
    </r>
    <r>
      <rPr>
        <i val="true"/>
        <sz val="10"/>
        <color rgb="FF46536B"/>
        <rFont val="Arial"/>
        <family val="0"/>
        <charset val="1"/>
      </rPr>
      <t xml:space="preserve">KCD </t>
    </r>
    <r>
      <rPr>
        <i val="true"/>
        <sz val="10"/>
        <color rgb="FF46536B"/>
        <rFont val="WenQuanYi Zen Hei"/>
        <family val="2"/>
      </rPr>
      <t xml:space="preserve">목록</t>
    </r>
    <r>
      <rPr>
        <i val="true"/>
        <sz val="10"/>
        <color rgb="FF46536B"/>
        <rFont val="Arial"/>
        <family val="0"/>
        <charset val="1"/>
      </rPr>
      <t xml:space="preserve">. </t>
    </r>
    <r>
      <rPr>
        <i val="true"/>
        <sz val="10"/>
        <color rgb="FF46536B"/>
        <rFont val="WenQuanYi Zen Hei"/>
        <family val="2"/>
      </rPr>
      <t xml:space="preserve">「제외」는 해당 세부보장에서 빼는 코드 — 다른 세부보장</t>
    </r>
    <r>
      <rPr>
        <i val="true"/>
        <sz val="10"/>
        <color rgb="FF46536B"/>
        <rFont val="Arial"/>
        <family val="0"/>
        <charset val="1"/>
      </rPr>
      <t xml:space="preserve">(</t>
    </r>
    <r>
      <rPr>
        <i val="true"/>
        <sz val="10"/>
        <color rgb="FF46536B"/>
        <rFont val="WenQuanYi Zen Hei"/>
        <family val="2"/>
      </rPr>
      <t xml:space="preserve">예 </t>
    </r>
    <r>
      <rPr>
        <i val="true"/>
        <sz val="10"/>
        <color rgb="FF46536B"/>
        <rFont val="Arial"/>
        <family val="0"/>
        <charset val="1"/>
      </rPr>
      <t xml:space="preserve">: </t>
    </r>
    <r>
      <rPr>
        <i val="true"/>
        <sz val="10"/>
        <color rgb="FF46536B"/>
        <rFont val="WenQuanYi Zen Hei"/>
        <family val="2"/>
      </rPr>
      <t xml:space="preserve">특정</t>
    </r>
    <r>
      <rPr>
        <i val="true"/>
        <sz val="10"/>
        <color rgb="FF46536B"/>
        <rFont val="Arial"/>
        <family val="0"/>
        <charset val="1"/>
      </rPr>
      <t xml:space="preserve">31</t>
    </r>
    <r>
      <rPr>
        <i val="true"/>
        <sz val="10"/>
        <color rgb="FF46536B"/>
        <rFont val="WenQuanYi Zen Hei"/>
        <family val="2"/>
      </rPr>
      <t xml:space="preserve">대</t>
    </r>
    <r>
      <rPr>
        <i val="true"/>
        <sz val="10"/>
        <color rgb="FF46536B"/>
        <rFont val="Arial"/>
        <family val="0"/>
        <charset val="1"/>
      </rPr>
      <t xml:space="preserve">)</t>
    </r>
    <r>
      <rPr>
        <i val="true"/>
        <sz val="10"/>
        <color rgb="FF46536B"/>
        <rFont val="WenQuanYi Zen Hei"/>
        <family val="2"/>
      </rPr>
      <t xml:space="preserve">에서 보장될 수 있음</t>
    </r>
    <r>
      <rPr>
        <i val="true"/>
        <sz val="10"/>
        <color rgb="FF46536B"/>
        <rFont val="Arial"/>
        <family val="0"/>
        <charset val="1"/>
      </rPr>
      <t xml:space="preserve">. 130</t>
    </r>
    <r>
      <rPr>
        <i val="true"/>
        <sz val="10"/>
        <color rgb="FF46536B"/>
        <rFont val="WenQuanYi Zen Hei"/>
        <family val="2"/>
      </rPr>
      <t xml:space="preserve">대 미보장 </t>
    </r>
    <r>
      <rPr>
        <i val="true"/>
        <sz val="10"/>
        <color rgb="FF46536B"/>
        <rFont val="Arial"/>
        <family val="0"/>
        <charset val="1"/>
      </rPr>
      <t xml:space="preserve">= M50 · M51</t>
    </r>
  </si>
  <si>
    <t xml:space="preserve">세부보장</t>
  </si>
  <si>
    <t xml:space="preserve">질병명</t>
  </si>
  <si>
    <r>
      <rPr>
        <b val="true"/>
        <sz val="11"/>
        <color rgb="FFFFFFFF"/>
        <rFont val="Arial"/>
        <family val="0"/>
        <charset val="1"/>
      </rPr>
      <t xml:space="preserve">131</t>
    </r>
    <r>
      <rPr>
        <b val="true"/>
        <sz val="11"/>
        <color rgb="FFFFFFFF"/>
        <rFont val="WenQuanYi Zen Hei"/>
        <family val="2"/>
      </rPr>
      <t xml:space="preserve">대</t>
    </r>
  </si>
  <si>
    <r>
      <rPr>
        <b val="true"/>
        <sz val="11"/>
        <color rgb="FFFFFFFF"/>
        <rFont val="Arial"/>
        <family val="0"/>
        <charset val="1"/>
      </rPr>
      <t xml:space="preserve">130</t>
    </r>
    <r>
      <rPr>
        <b val="true"/>
        <sz val="11"/>
        <color rgb="FFFFFFFF"/>
        <rFont val="WenQuanYi Zen Hei"/>
        <family val="2"/>
      </rPr>
      <t xml:space="preserve">대</t>
    </r>
  </si>
  <si>
    <t xml:space="preserve">거미막하 출혈</t>
  </si>
  <si>
    <t xml:space="preserve">보장</t>
  </si>
  <si>
    <t xml:space="preserve">뇌내 출혈</t>
  </si>
  <si>
    <t xml:space="preserve">기타 비외상성 머리내 출혈</t>
  </si>
  <si>
    <t xml:space="preserve">출혈 또는 경색증으로 명시되지 않은 뇌졸중</t>
  </si>
  <si>
    <t xml:space="preserve">I00</t>
  </si>
  <si>
    <t xml:space="preserve">심장침범에 대한 언급이 없는 류마티스열</t>
  </si>
  <si>
    <t xml:space="preserve">I01</t>
  </si>
  <si>
    <t xml:space="preserve">심장 침범이 있는 류마티스열</t>
  </si>
  <si>
    <t xml:space="preserve">I02</t>
  </si>
  <si>
    <t xml:space="preserve">류마티스무도병</t>
  </si>
  <si>
    <t xml:space="preserve">I05</t>
  </si>
  <si>
    <t xml:space="preserve">류마티스성 승모판질환</t>
  </si>
  <si>
    <t xml:space="preserve">I06</t>
  </si>
  <si>
    <t xml:space="preserve">류마티스성 대동맥판질환</t>
  </si>
  <si>
    <t xml:space="preserve">I07</t>
  </si>
  <si>
    <t xml:space="preserve">류마티스성 삼첨판질환</t>
  </si>
  <si>
    <t xml:space="preserve">I08</t>
  </si>
  <si>
    <t xml:space="preserve">다발판막질환</t>
  </si>
  <si>
    <t xml:space="preserve">I09</t>
  </si>
  <si>
    <t xml:space="preserve">기타 류마티스심장질환</t>
  </si>
  <si>
    <t xml:space="preserve">I20</t>
  </si>
  <si>
    <t xml:space="preserve">협심증</t>
  </si>
  <si>
    <t xml:space="preserve">I21</t>
  </si>
  <si>
    <t xml:space="preserve">급성 심근경색증</t>
  </si>
  <si>
    <t xml:space="preserve">I22</t>
  </si>
  <si>
    <t xml:space="preserve">후속심근경색증</t>
  </si>
  <si>
    <t xml:space="preserve">I23</t>
  </si>
  <si>
    <t xml:space="preserve">급성 심근경색증 후 특정 현존 합병증</t>
  </si>
  <si>
    <t xml:space="preserve">I24</t>
  </si>
  <si>
    <t xml:space="preserve">기타 급성 허혈심장질환</t>
  </si>
  <si>
    <t xml:space="preserve">I25</t>
  </si>
  <si>
    <t xml:space="preserve">만성 허혈심장병</t>
  </si>
  <si>
    <t xml:space="preserve">I26</t>
  </si>
  <si>
    <t xml:space="preserve">폐색전증</t>
  </si>
  <si>
    <t xml:space="preserve">I27</t>
  </si>
  <si>
    <t xml:space="preserve">기타 폐성 심장질환</t>
  </si>
  <si>
    <t xml:space="preserve">I28</t>
  </si>
  <si>
    <t xml:space="preserve">폐혈관의 기타 질환</t>
  </si>
  <si>
    <t xml:space="preserve">I30</t>
  </si>
  <si>
    <t xml:space="preserve">급성 심장막염</t>
  </si>
  <si>
    <t xml:space="preserve">I31</t>
  </si>
  <si>
    <t xml:space="preserve">심장막의 기타 질환</t>
  </si>
  <si>
    <t xml:space="preserve">I32</t>
  </si>
  <si>
    <t xml:space="preserve">달리 분류된 질환에서의 심장막염</t>
  </si>
  <si>
    <t xml:space="preserve">I33</t>
  </si>
  <si>
    <t xml:space="preserve">급성 및 아급성 심내막염</t>
  </si>
  <si>
    <t xml:space="preserve">I34</t>
  </si>
  <si>
    <t xml:space="preserve">비류마티스성 승모판장애</t>
  </si>
  <si>
    <t xml:space="preserve">I35</t>
  </si>
  <si>
    <t xml:space="preserve">비류마티스성 대동맥판장애</t>
  </si>
  <si>
    <t xml:space="preserve">I36</t>
  </si>
  <si>
    <t xml:space="preserve">비류마티스성 삼첨판장애</t>
  </si>
  <si>
    <t xml:space="preserve">I37</t>
  </si>
  <si>
    <t xml:space="preserve">폐동맥판장애</t>
  </si>
  <si>
    <t xml:space="preserve">I38</t>
  </si>
  <si>
    <t xml:space="preserve">상세불명 판막의 심내막염</t>
  </si>
  <si>
    <t xml:space="preserve">I39</t>
  </si>
  <si>
    <t xml:space="preserve">달리 분류된 질환에서의 심내막염 및 심장판막장애</t>
  </si>
  <si>
    <t xml:space="preserve">I40</t>
  </si>
  <si>
    <t xml:space="preserve">급성 심근염</t>
  </si>
  <si>
    <t xml:space="preserve">I41</t>
  </si>
  <si>
    <t xml:space="preserve">달리 분류된 질환에서의 심근염</t>
  </si>
  <si>
    <t xml:space="preserve">I42</t>
  </si>
  <si>
    <t xml:space="preserve">심근병증</t>
  </si>
  <si>
    <t xml:space="preserve">I43</t>
  </si>
  <si>
    <t xml:space="preserve">달리 분류된 질환에서의 심근병증</t>
  </si>
  <si>
    <t xml:space="preserve">I44</t>
  </si>
  <si>
    <t xml:space="preserve">방실차단 및 좌각차단</t>
  </si>
  <si>
    <t xml:space="preserve">I45</t>
  </si>
  <si>
    <t xml:space="preserve">기타 전도장애</t>
  </si>
  <si>
    <t xml:space="preserve">I46</t>
  </si>
  <si>
    <r>
      <rPr>
        <sz val="10"/>
        <rFont val="Arial"/>
        <family val="0"/>
        <charset val="1"/>
      </rPr>
      <t xml:space="preserve">5. </t>
    </r>
    <r>
      <rPr>
        <sz val="10"/>
        <rFont val="WenQuanYi Zen Hei"/>
        <family val="2"/>
      </rPr>
      <t xml:space="preserve">기타 형태의 심장병</t>
    </r>
  </si>
  <si>
    <t xml:space="preserve">I47</t>
  </si>
  <si>
    <t xml:space="preserve">발작성 빈맥</t>
  </si>
  <si>
    <t xml:space="preserve">I48</t>
  </si>
  <si>
    <t xml:space="preserve">심방세동 및 조동</t>
  </si>
  <si>
    <t xml:space="preserve">I49</t>
  </si>
  <si>
    <t xml:space="preserve">기타 심장부정맥</t>
  </si>
  <si>
    <t xml:space="preserve">I50</t>
  </si>
  <si>
    <t xml:space="preserve">심부전</t>
  </si>
  <si>
    <t xml:space="preserve">I51</t>
  </si>
  <si>
    <t xml:space="preserve">심장병의 불명확한 기록 및 합병증</t>
  </si>
  <si>
    <t xml:space="preserve">I52</t>
  </si>
  <si>
    <t xml:space="preserve">달리 분류된 질환에서의 기타 심장장애</t>
  </si>
  <si>
    <t xml:space="preserve">I41.0</t>
  </si>
  <si>
    <t xml:space="preserve">수막알균성 심근염</t>
  </si>
  <si>
    <t xml:space="preserve">A39.5</t>
  </si>
  <si>
    <t xml:space="preserve">수막알균성 심장병</t>
  </si>
  <si>
    <t xml:space="preserve">I39.8</t>
  </si>
  <si>
    <t xml:space="preserve">달리 분류된 질환에서의 상세불명 판막의 심내막염</t>
  </si>
  <si>
    <t xml:space="preserve">I32.0</t>
  </si>
  <si>
    <t xml:space="preserve">수막알균성 심장막염</t>
  </si>
  <si>
    <t xml:space="preserve">I52.0</t>
  </si>
  <si>
    <t xml:space="preserve">수막알균성 심장염</t>
  </si>
  <si>
    <t xml:space="preserve">B37.6</t>
  </si>
  <si>
    <r>
      <rPr>
        <sz val="10"/>
        <rFont val="WenQuanYi Zen Hei"/>
        <family val="2"/>
      </rPr>
      <t xml:space="preserve">특정</t>
    </r>
    <r>
      <rPr>
        <sz val="10"/>
        <rFont val="Arial"/>
        <family val="0"/>
        <charset val="1"/>
      </rPr>
      <t xml:space="preserve">31</t>
    </r>
    <r>
      <rPr>
        <sz val="10"/>
        <rFont val="WenQuanYi Zen Hei"/>
        <family val="2"/>
      </rPr>
      <t xml:space="preserve">대질병</t>
    </r>
  </si>
  <si>
    <t xml:space="preserve">A83</t>
  </si>
  <si>
    <t xml:space="preserve">뇌의 특정염증성질환</t>
  </si>
  <si>
    <t xml:space="preserve">A84</t>
  </si>
  <si>
    <t xml:space="preserve">A85</t>
  </si>
  <si>
    <t xml:space="preserve">A86</t>
  </si>
  <si>
    <t xml:space="preserve">A85.0</t>
  </si>
  <si>
    <r>
      <rPr>
        <sz val="10"/>
        <rFont val="WenQuanYi Zen Hei"/>
        <family val="2"/>
      </rPr>
      <t xml:space="preserve">엔테로바이러스뇌염</t>
    </r>
    <r>
      <rPr>
        <sz val="10"/>
        <rFont val="Arial"/>
        <family val="0"/>
        <charset val="1"/>
      </rPr>
      <t xml:space="preserve">(G05.1*)</t>
    </r>
  </si>
  <si>
    <t xml:space="preserve">B15</t>
  </si>
  <si>
    <r>
      <rPr>
        <sz val="10"/>
        <rFont val="WenQuanYi Zen Hei"/>
        <family val="2"/>
      </rPr>
      <t xml:space="preserve">급성 </t>
    </r>
    <r>
      <rPr>
        <sz val="10"/>
        <rFont val="Arial"/>
        <family val="0"/>
        <charset val="1"/>
      </rPr>
      <t xml:space="preserve">A</t>
    </r>
    <r>
      <rPr>
        <sz val="10"/>
        <rFont val="WenQuanYi Zen Hei"/>
        <family val="2"/>
      </rPr>
      <t xml:space="preserve">형간염</t>
    </r>
  </si>
  <si>
    <t xml:space="preserve">B16</t>
  </si>
  <si>
    <r>
      <rPr>
        <sz val="10"/>
        <rFont val="WenQuanYi Zen Hei"/>
        <family val="2"/>
      </rPr>
      <t xml:space="preserve">급성 </t>
    </r>
    <r>
      <rPr>
        <sz val="10"/>
        <rFont val="Arial"/>
        <family val="0"/>
        <charset val="1"/>
      </rPr>
      <t xml:space="preserve">B</t>
    </r>
    <r>
      <rPr>
        <sz val="10"/>
        <rFont val="WenQuanYi Zen Hei"/>
        <family val="2"/>
      </rPr>
      <t xml:space="preserve">형간염</t>
    </r>
  </si>
  <si>
    <t xml:space="preserve">B17</t>
  </si>
  <si>
    <t xml:space="preserve">B18</t>
  </si>
  <si>
    <t xml:space="preserve">B19</t>
  </si>
  <si>
    <t xml:space="preserve">상세불명의 바이러스간염</t>
  </si>
  <si>
    <t xml:space="preserve">K70</t>
  </si>
  <si>
    <t xml:space="preserve">알코올성 간질환</t>
  </si>
  <si>
    <t xml:space="preserve">K71</t>
  </si>
  <si>
    <t xml:space="preserve">간의 질환</t>
  </si>
  <si>
    <t xml:space="preserve">K72</t>
  </si>
  <si>
    <t xml:space="preserve">K73</t>
  </si>
  <si>
    <t xml:space="preserve">K74</t>
  </si>
  <si>
    <t xml:space="preserve">간의 섬유증 및 경변증</t>
  </si>
  <si>
    <t xml:space="preserve">K75</t>
  </si>
  <si>
    <t xml:space="preserve">K76</t>
  </si>
  <si>
    <t xml:space="preserve">K77</t>
  </si>
  <si>
    <t xml:space="preserve">달리 분류된 질환에서의 간장애</t>
  </si>
  <si>
    <t xml:space="preserve">K77.0</t>
  </si>
  <si>
    <t xml:space="preserve">달리 분류된 감염성 질환에서의 간장애</t>
  </si>
  <si>
    <t xml:space="preserve">B25.1</t>
  </si>
  <si>
    <t xml:space="preserve">B58.1</t>
  </si>
  <si>
    <t xml:space="preserve">배경망막병증 및 망막혈관변화</t>
  </si>
  <si>
    <r>
      <rPr>
        <sz val="10"/>
        <rFont val="WenQuanYi Zen Hei"/>
        <family val="2"/>
      </rPr>
      <t xml:space="preserve">영양실조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관련 당뇨병</t>
    </r>
  </si>
  <si>
    <t xml:space="preserve">G59.0</t>
  </si>
  <si>
    <r>
      <rPr>
        <sz val="10"/>
        <rFont val="WenQuanYi Zen Hei"/>
        <family val="2"/>
      </rPr>
      <t xml:space="preserve">당뇨병성 단일신경병증</t>
    </r>
    <r>
      <rPr>
        <sz val="10"/>
        <rFont val="Arial"/>
        <family val="0"/>
        <charset val="1"/>
      </rPr>
      <t xml:space="preserve">(4</t>
    </r>
    <r>
      <rPr>
        <sz val="10"/>
        <rFont val="WenQuanYi Zen Hei"/>
        <family val="2"/>
      </rPr>
      <t xml:space="preserve">단위 및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단위 숫자 </t>
    </r>
    <r>
      <rPr>
        <sz val="10"/>
        <rFont val="Arial"/>
        <family val="0"/>
        <charset val="1"/>
      </rPr>
      <t xml:space="preserve">.40</t>
    </r>
    <r>
      <rPr>
        <sz val="10"/>
        <rFont val="WenQuanYi Zen Hei"/>
        <family val="2"/>
      </rPr>
      <t xml:space="preserve">에 해당되는 </t>
    </r>
    <r>
      <rPr>
        <sz val="10"/>
        <rFont val="Arial"/>
        <family val="0"/>
        <charset val="1"/>
      </rPr>
      <t xml:space="preserve">E10-E14†)</t>
    </r>
  </si>
  <si>
    <t xml:space="preserve">G63.2</t>
  </si>
  <si>
    <r>
      <rPr>
        <sz val="10"/>
        <rFont val="WenQuanYi Zen Hei"/>
        <family val="2"/>
      </rPr>
      <t xml:space="preserve">당뇨병성 다발신경병증</t>
    </r>
    <r>
      <rPr>
        <sz val="10"/>
        <rFont val="Arial"/>
        <family val="0"/>
        <charset val="1"/>
      </rPr>
      <t xml:space="preserve">(4</t>
    </r>
    <r>
      <rPr>
        <sz val="10"/>
        <rFont val="WenQuanYi Zen Hei"/>
        <family val="2"/>
      </rPr>
      <t xml:space="preserve">단위 및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단위 숫자 </t>
    </r>
    <r>
      <rPr>
        <sz val="10"/>
        <rFont val="Arial"/>
        <family val="0"/>
        <charset val="1"/>
      </rPr>
      <t xml:space="preserve">.41</t>
    </r>
    <r>
      <rPr>
        <sz val="10"/>
        <rFont val="WenQuanYi Zen Hei"/>
        <family val="2"/>
      </rPr>
      <t xml:space="preserve">에 해당되는 </t>
    </r>
    <r>
      <rPr>
        <sz val="10"/>
        <rFont val="Arial"/>
        <family val="0"/>
        <charset val="1"/>
      </rPr>
      <t xml:space="preserve">E10-E14†)</t>
    </r>
  </si>
  <si>
    <t xml:space="preserve">H28.0</t>
  </si>
  <si>
    <r>
      <rPr>
        <sz val="10"/>
        <rFont val="WenQuanYi Zen Hei"/>
        <family val="2"/>
      </rPr>
      <t xml:space="preserve">당뇨병성 백내장</t>
    </r>
    <r>
      <rPr>
        <sz val="10"/>
        <rFont val="Arial"/>
        <family val="0"/>
        <charset val="1"/>
      </rPr>
      <t xml:space="preserve">(4</t>
    </r>
    <r>
      <rPr>
        <sz val="10"/>
        <rFont val="WenQuanYi Zen Hei"/>
        <family val="2"/>
      </rPr>
      <t xml:space="preserve">단위 및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단위 숫자 </t>
    </r>
    <r>
      <rPr>
        <sz val="10"/>
        <rFont val="Arial"/>
        <family val="0"/>
        <charset val="1"/>
      </rPr>
      <t xml:space="preserve">.34</t>
    </r>
    <r>
      <rPr>
        <sz val="10"/>
        <rFont val="WenQuanYi Zen Hei"/>
        <family val="2"/>
      </rPr>
      <t xml:space="preserve">에 해당되는 </t>
    </r>
    <r>
      <rPr>
        <sz val="10"/>
        <rFont val="Arial"/>
        <family val="0"/>
        <charset val="1"/>
      </rPr>
      <t xml:space="preserve">E10-E14†)</t>
    </r>
  </si>
  <si>
    <t xml:space="preserve">H36.0</t>
  </si>
  <si>
    <r>
      <rPr>
        <sz val="10"/>
        <rFont val="WenQuanYi Zen Hei"/>
        <family val="2"/>
      </rPr>
      <t xml:space="preserve">당뇨병성 망막병증</t>
    </r>
    <r>
      <rPr>
        <sz val="10"/>
        <rFont val="Arial"/>
        <family val="0"/>
        <charset val="1"/>
      </rPr>
      <t xml:space="preserve">(4</t>
    </r>
    <r>
      <rPr>
        <sz val="10"/>
        <rFont val="WenQuanYi Zen Hei"/>
        <family val="2"/>
      </rPr>
      <t xml:space="preserve">단위 및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단위 숫자 </t>
    </r>
    <r>
      <rPr>
        <sz val="10"/>
        <rFont val="Arial"/>
        <family val="0"/>
        <charset val="1"/>
      </rPr>
      <t xml:space="preserve">.30, .31, .32, .33</t>
    </r>
    <r>
      <rPr>
        <sz val="10"/>
        <rFont val="WenQuanYi Zen Hei"/>
        <family val="2"/>
      </rPr>
      <t xml:space="preserve">에 해당되는 </t>
    </r>
    <r>
      <rPr>
        <sz val="10"/>
        <rFont val="Arial"/>
        <family val="0"/>
        <charset val="1"/>
      </rPr>
      <t xml:space="preserve">E10-E14†)</t>
    </r>
  </si>
  <si>
    <t xml:space="preserve">M14.2</t>
  </si>
  <si>
    <r>
      <rPr>
        <sz val="10"/>
        <rFont val="WenQuanYi Zen Hei"/>
        <family val="2"/>
      </rPr>
      <t xml:space="preserve">당뇨병성 관절병증</t>
    </r>
    <r>
      <rPr>
        <sz val="10"/>
        <rFont val="Arial"/>
        <family val="0"/>
        <charset val="1"/>
      </rPr>
      <t xml:space="preserve">(4</t>
    </r>
    <r>
      <rPr>
        <sz val="10"/>
        <rFont val="WenQuanYi Zen Hei"/>
        <family val="2"/>
      </rPr>
      <t xml:space="preserve">단위 및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단위 숫자 </t>
    </r>
    <r>
      <rPr>
        <sz val="10"/>
        <rFont val="Arial"/>
        <family val="0"/>
        <charset val="1"/>
      </rPr>
      <t xml:space="preserve">.60</t>
    </r>
    <r>
      <rPr>
        <sz val="10"/>
        <rFont val="WenQuanYi Zen Hei"/>
        <family val="2"/>
      </rPr>
      <t xml:space="preserve">에 해당되는 </t>
    </r>
    <r>
      <rPr>
        <sz val="10"/>
        <rFont val="Arial"/>
        <family val="0"/>
        <charset val="1"/>
      </rPr>
      <t xml:space="preserve">E10-E14†)</t>
    </r>
  </si>
  <si>
    <t xml:space="preserve">N08.3</t>
  </si>
  <si>
    <r>
      <rPr>
        <sz val="10"/>
        <rFont val="WenQuanYi Zen Hei"/>
        <family val="2"/>
      </rPr>
      <t xml:space="preserve">당뇨병에서의 사구체장애</t>
    </r>
    <r>
      <rPr>
        <sz val="10"/>
        <rFont val="Arial"/>
        <family val="0"/>
        <charset val="1"/>
      </rPr>
      <t xml:space="preserve">(4</t>
    </r>
    <r>
      <rPr>
        <sz val="10"/>
        <rFont val="WenQuanYi Zen Hei"/>
        <family val="2"/>
      </rPr>
      <t xml:space="preserve">단위 </t>
    </r>
    <r>
      <rPr>
        <sz val="10"/>
        <rFont val="Arial"/>
        <family val="0"/>
        <charset val="1"/>
      </rPr>
      <t xml:space="preserve">.2-</t>
    </r>
    <r>
      <rPr>
        <sz val="10"/>
        <rFont val="WenQuanYi Zen Hei"/>
        <family val="2"/>
      </rPr>
      <t xml:space="preserve">에 해당되는 </t>
    </r>
    <r>
      <rPr>
        <sz val="10"/>
        <rFont val="Arial"/>
        <family val="0"/>
        <charset val="1"/>
      </rPr>
      <t xml:space="preserve">E10-E14†)</t>
    </r>
  </si>
  <si>
    <t xml:space="preserve">기타 명시된 내분비장애</t>
  </si>
  <si>
    <t xml:space="preserve">단순성 및 점액화농성 만성 기관지염</t>
  </si>
  <si>
    <t xml:space="preserve">A15</t>
  </si>
  <si>
    <t xml:space="preserve">세균학적 및 조직학적으로 확인된 호흡기결핵</t>
  </si>
  <si>
    <t xml:space="preserve">A16</t>
  </si>
  <si>
    <t xml:space="preserve">세균학적으로나 조직학적으로 확인되지 않은 호흡기결핵</t>
  </si>
  <si>
    <t xml:space="preserve">A17</t>
  </si>
  <si>
    <t xml:space="preserve">신경계통의 결핵</t>
  </si>
  <si>
    <t xml:space="preserve">A18</t>
  </si>
  <si>
    <t xml:space="preserve">기타 기관의 결핵</t>
  </si>
  <si>
    <t xml:space="preserve">A19</t>
  </si>
  <si>
    <t xml:space="preserve">좁쌀결핵</t>
  </si>
  <si>
    <t xml:space="preserve">A18.30</t>
  </si>
  <si>
    <t xml:space="preserve">결핵성 복막염</t>
  </si>
  <si>
    <t xml:space="preserve">K67.3</t>
  </si>
  <si>
    <r>
      <rPr>
        <sz val="10"/>
        <rFont val="WenQuanYi Zen Hei"/>
        <family val="2"/>
      </rPr>
      <t xml:space="preserve">결핵성 복막염</t>
    </r>
    <r>
      <rPr>
        <sz val="10"/>
        <rFont val="Arial"/>
        <family val="0"/>
        <charset val="1"/>
      </rPr>
      <t xml:space="preserve">(A18.30†)</t>
    </r>
  </si>
  <si>
    <t xml:space="preserve">K93.0</t>
  </si>
  <si>
    <r>
      <rPr>
        <sz val="10"/>
        <rFont val="WenQuanYi Zen Hei"/>
        <family val="2"/>
      </rPr>
      <t xml:space="preserve">장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복막 및 장간막림프절의 결핵성 장애</t>
    </r>
    <r>
      <rPr>
        <sz val="10"/>
        <rFont val="Arial"/>
        <family val="0"/>
        <charset val="1"/>
      </rPr>
      <t xml:space="preserve">(A18.3-†)</t>
    </r>
  </si>
  <si>
    <t xml:space="preserve">A18.3</t>
  </si>
  <si>
    <r>
      <rPr>
        <sz val="10"/>
        <rFont val="WenQuanYi Zen Hei"/>
        <family val="2"/>
      </rPr>
      <t xml:space="preserve">장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복막 및 창자간막림프절의 결핵</t>
    </r>
  </si>
  <si>
    <t xml:space="preserve">M01.1</t>
  </si>
  <si>
    <t xml:space="preserve">결핵 관절염</t>
  </si>
  <si>
    <t xml:space="preserve">A18.01</t>
  </si>
  <si>
    <t xml:space="preserve">결핵관절염</t>
  </si>
  <si>
    <t xml:space="preserve">M49.0</t>
  </si>
  <si>
    <t xml:space="preserve">척추의 결핵</t>
  </si>
  <si>
    <t xml:space="preserve">A18.00</t>
  </si>
  <si>
    <t xml:space="preserve">M90.0</t>
  </si>
  <si>
    <t xml:space="preserve">뼈의 결핵</t>
  </si>
  <si>
    <t xml:space="preserve">A18.02</t>
  </si>
  <si>
    <t xml:space="preserve">N33.0</t>
  </si>
  <si>
    <r>
      <rPr>
        <sz val="10"/>
        <rFont val="WenQuanYi Zen Hei"/>
        <family val="2"/>
      </rPr>
      <t xml:space="preserve">결핵성 방광염</t>
    </r>
    <r>
      <rPr>
        <sz val="10"/>
        <rFont val="Arial"/>
        <family val="0"/>
        <charset val="1"/>
      </rPr>
      <t xml:space="preserve">(A18.11†)</t>
    </r>
  </si>
  <si>
    <t xml:space="preserve">A18.11</t>
  </si>
  <si>
    <t xml:space="preserve">결핵성 방광염</t>
  </si>
  <si>
    <t xml:space="preserve">N74.0</t>
  </si>
  <si>
    <r>
      <rPr>
        <sz val="10"/>
        <rFont val="WenQuanYi Zen Hei"/>
        <family val="2"/>
      </rPr>
      <t xml:space="preserve">자궁경부의 결핵감염</t>
    </r>
    <r>
      <rPr>
        <sz val="10"/>
        <rFont val="Arial"/>
        <family val="0"/>
        <charset val="1"/>
      </rPr>
      <t xml:space="preserve">(A18.17†)</t>
    </r>
  </si>
  <si>
    <t xml:space="preserve">A18.17</t>
  </si>
  <si>
    <t xml:space="preserve">자궁경부의 결핵감염</t>
  </si>
  <si>
    <t xml:space="preserve">N74.1</t>
  </si>
  <si>
    <r>
      <rPr>
        <sz val="10"/>
        <rFont val="WenQuanYi Zen Hei"/>
        <family val="2"/>
      </rPr>
      <t xml:space="preserve">여성 결핵성 골반염증질환</t>
    </r>
    <r>
      <rPr>
        <sz val="10"/>
        <rFont val="Arial"/>
        <family val="0"/>
        <charset val="1"/>
      </rPr>
      <t xml:space="preserve">(A18.17†)</t>
    </r>
  </si>
  <si>
    <t xml:space="preserve">A39.0</t>
  </si>
  <si>
    <t xml:space="preserve">달리 분류된 기타 감염성 및 기생충 질환에서의 수막염</t>
  </si>
  <si>
    <t xml:space="preserve">A87.1</t>
  </si>
  <si>
    <r>
      <rPr>
        <sz val="10"/>
        <rFont val="WenQuanYi Zen Hei"/>
        <family val="2"/>
      </rPr>
      <t xml:space="preserve">아데노바이러스수막염</t>
    </r>
    <r>
      <rPr>
        <sz val="10"/>
        <rFont val="Arial"/>
        <family val="0"/>
        <charset val="1"/>
      </rPr>
      <t xml:space="preserve">(G02.0*)</t>
    </r>
  </si>
  <si>
    <t xml:space="preserve">G02.0</t>
  </si>
  <si>
    <t xml:space="preserve">달리 분류된 바이러스질환에서의 수막염</t>
  </si>
  <si>
    <t xml:space="preserve">A87.0</t>
  </si>
  <si>
    <r>
      <rPr>
        <sz val="10"/>
        <rFont val="WenQuanYi Zen Hei"/>
        <family val="2"/>
      </rPr>
      <t xml:space="preserve">엔테로바이러스수막염</t>
    </r>
    <r>
      <rPr>
        <sz val="10"/>
        <rFont val="Arial"/>
        <family val="0"/>
        <charset val="1"/>
      </rPr>
      <t xml:space="preserve">(G02.0*)</t>
    </r>
  </si>
  <si>
    <t xml:space="preserve">B00.3</t>
  </si>
  <si>
    <r>
      <rPr>
        <sz val="10"/>
        <rFont val="WenQuanYi Zen Hei"/>
        <family val="2"/>
      </rPr>
      <t xml:space="preserve">헤르페스바이러스수막염</t>
    </r>
    <r>
      <rPr>
        <sz val="10"/>
        <rFont val="Arial"/>
        <family val="0"/>
        <charset val="1"/>
      </rPr>
      <t xml:space="preserve">(G02.0*)</t>
    </r>
  </si>
  <si>
    <t xml:space="preserve">B01.0</t>
  </si>
  <si>
    <t xml:space="preserve">수두수막염</t>
  </si>
  <si>
    <t xml:space="preserve">B02.1</t>
  </si>
  <si>
    <t xml:space="preserve">대상포진수막염</t>
  </si>
  <si>
    <t xml:space="preserve">B05.1</t>
  </si>
  <si>
    <r>
      <rPr>
        <sz val="10"/>
        <rFont val="WenQuanYi Zen Hei"/>
        <family val="2"/>
      </rPr>
      <t xml:space="preserve">수막염이 합병된 홍역</t>
    </r>
    <r>
      <rPr>
        <sz val="10"/>
        <rFont val="Arial"/>
        <family val="0"/>
        <charset val="1"/>
      </rPr>
      <t xml:space="preserve">(G02.0*)</t>
    </r>
  </si>
  <si>
    <t xml:space="preserve">B26.1</t>
  </si>
  <si>
    <t xml:space="preserve">볼거리수막염</t>
  </si>
  <si>
    <t xml:space="preserve">G02.1</t>
  </si>
  <si>
    <t xml:space="preserve">진균증에서의 수막염</t>
  </si>
  <si>
    <t xml:space="preserve">B37.5</t>
  </si>
  <si>
    <t xml:space="preserve">칸디다수막염</t>
  </si>
  <si>
    <t xml:space="preserve">B38.4</t>
  </si>
  <si>
    <r>
      <rPr>
        <sz val="10"/>
        <rFont val="WenQuanYi Zen Hei"/>
        <family val="2"/>
      </rPr>
      <t xml:space="preserve">콕시디오이데스진균수막염</t>
    </r>
    <r>
      <rPr>
        <sz val="10"/>
        <rFont val="Arial"/>
        <family val="0"/>
        <charset val="1"/>
      </rPr>
      <t xml:space="preserve">(G02.1*)</t>
    </r>
  </si>
  <si>
    <r>
      <rPr>
        <sz val="10"/>
        <rFont val="WenQuanYi Zen Hei"/>
        <family val="2"/>
      </rPr>
      <t xml:space="preserve">달리 분류된 질환에서의 뇌염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척수염 및 뇌척수염</t>
    </r>
  </si>
  <si>
    <t xml:space="preserve">A85.1</t>
  </si>
  <si>
    <r>
      <rPr>
        <sz val="10"/>
        <rFont val="WenQuanYi Zen Hei"/>
        <family val="2"/>
      </rPr>
      <t xml:space="preserve">아데노바이러스뇌염</t>
    </r>
    <r>
      <rPr>
        <sz val="10"/>
        <rFont val="Arial"/>
        <family val="0"/>
        <charset val="1"/>
      </rPr>
      <t xml:space="preserve">(G05.1*)</t>
    </r>
  </si>
  <si>
    <t xml:space="preserve">G05.1</t>
  </si>
  <si>
    <r>
      <rPr>
        <sz val="10"/>
        <rFont val="WenQuanYi Zen Hei"/>
        <family val="2"/>
      </rPr>
      <t xml:space="preserve">바이러스질환에서의 뇌염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척수염 및 뇌척수염</t>
    </r>
  </si>
  <si>
    <t xml:space="preserve">B00.4</t>
  </si>
  <si>
    <r>
      <rPr>
        <sz val="10"/>
        <rFont val="WenQuanYi Zen Hei"/>
        <family val="2"/>
      </rPr>
      <t xml:space="preserve">헤르페스바이러스뇌염</t>
    </r>
    <r>
      <rPr>
        <sz val="10"/>
        <rFont val="Arial"/>
        <family val="0"/>
        <charset val="1"/>
      </rPr>
      <t xml:space="preserve">(G05.1*)</t>
    </r>
  </si>
  <si>
    <t xml:space="preserve">B01.1</t>
  </si>
  <si>
    <r>
      <rPr>
        <sz val="10"/>
        <rFont val="WenQuanYi Zen Hei"/>
        <family val="2"/>
      </rPr>
      <t xml:space="preserve">수두뇌염</t>
    </r>
    <r>
      <rPr>
        <sz val="10"/>
        <rFont val="Arial"/>
        <family val="0"/>
        <charset val="1"/>
      </rPr>
      <t xml:space="preserve">(G05.1*)</t>
    </r>
  </si>
  <si>
    <t xml:space="preserve">B02.0</t>
  </si>
  <si>
    <r>
      <rPr>
        <sz val="10"/>
        <rFont val="WenQuanYi Zen Hei"/>
        <family val="2"/>
      </rPr>
      <t xml:space="preserve">대상포진뇌염</t>
    </r>
    <r>
      <rPr>
        <sz val="10"/>
        <rFont val="Arial"/>
        <family val="0"/>
        <charset val="1"/>
      </rPr>
      <t xml:space="preserve">(G05.1*)</t>
    </r>
  </si>
  <si>
    <t xml:space="preserve">B05.0</t>
  </si>
  <si>
    <r>
      <rPr>
        <sz val="10"/>
        <rFont val="WenQuanYi Zen Hei"/>
        <family val="2"/>
      </rPr>
      <t xml:space="preserve">뇌염이 합병된 홍역</t>
    </r>
    <r>
      <rPr>
        <sz val="10"/>
        <rFont val="Arial"/>
        <family val="0"/>
        <charset val="1"/>
      </rPr>
      <t xml:space="preserve">(G05.1*)</t>
    </r>
  </si>
  <si>
    <t xml:space="preserve">B26.2</t>
  </si>
  <si>
    <r>
      <rPr>
        <sz val="10"/>
        <rFont val="WenQuanYi Zen Hei"/>
        <family val="2"/>
      </rPr>
      <t xml:space="preserve">볼거리뇌염</t>
    </r>
    <r>
      <rPr>
        <sz val="10"/>
        <rFont val="Arial"/>
        <family val="0"/>
        <charset val="1"/>
      </rPr>
      <t xml:space="preserve">(G05.1*)</t>
    </r>
  </si>
  <si>
    <t xml:space="preserve">A06.6</t>
  </si>
  <si>
    <t xml:space="preserve">아메바성 뇌농양</t>
  </si>
  <si>
    <t xml:space="preserve">두개내 및 척추내 정맥염 및 혈전정맥염</t>
  </si>
  <si>
    <t xml:space="preserve">이차성 파킨슨증</t>
  </si>
  <si>
    <t xml:space="preserve">J17.1</t>
  </si>
  <si>
    <t xml:space="preserve">달리 분류된 바이러스질환에서의 폐렴</t>
  </si>
  <si>
    <t xml:space="preserve">B01.2</t>
  </si>
  <si>
    <t xml:space="preserve">수두폐렴</t>
  </si>
  <si>
    <t xml:space="preserve">B05.2</t>
  </si>
  <si>
    <t xml:space="preserve">B25.0</t>
  </si>
  <si>
    <r>
      <rPr>
        <sz val="10"/>
        <rFont val="WenQuanYi Zen Hei"/>
        <family val="2"/>
      </rPr>
      <t xml:space="preserve">거대세포바이러스폐렴</t>
    </r>
    <r>
      <rPr>
        <sz val="10"/>
        <rFont val="Arial"/>
        <family val="0"/>
        <charset val="1"/>
      </rPr>
      <t xml:space="preserve">(J17.1*)</t>
    </r>
  </si>
  <si>
    <t xml:space="preserve">J17.3</t>
  </si>
  <si>
    <t xml:space="preserve">기생충질환에서의 폐렴</t>
  </si>
  <si>
    <t xml:space="preserve">B58.3</t>
  </si>
  <si>
    <r>
      <rPr>
        <sz val="10"/>
        <rFont val="WenQuanYi Zen Hei"/>
        <family val="2"/>
      </rPr>
      <t xml:space="preserve">폐톡소포자충증</t>
    </r>
    <r>
      <rPr>
        <sz val="10"/>
        <rFont val="Arial"/>
        <family val="0"/>
        <charset val="1"/>
      </rPr>
      <t xml:space="preserve">(J17.3*)</t>
    </r>
  </si>
  <si>
    <t xml:space="preserve">J85</t>
  </si>
  <si>
    <t xml:space="preserve">J86</t>
  </si>
  <si>
    <t xml:space="preserve">J90</t>
  </si>
  <si>
    <t xml:space="preserve">달리 분류되지 않은 흉막삼출액</t>
  </si>
  <si>
    <t xml:space="preserve">J91</t>
  </si>
  <si>
    <t xml:space="preserve">달리 분류된 병태에서의 흉막삼출액</t>
  </si>
  <si>
    <t xml:space="preserve">J92</t>
  </si>
  <si>
    <t xml:space="preserve">J93</t>
  </si>
  <si>
    <t xml:space="preserve">J94</t>
  </si>
  <si>
    <t xml:space="preserve">J60</t>
  </si>
  <si>
    <t xml:space="preserve">탄광부진폐증</t>
  </si>
  <si>
    <t xml:space="preserve">J61</t>
  </si>
  <si>
    <t xml:space="preserve">석면 및 기타 광섬유에 의한 진폐증</t>
  </si>
  <si>
    <t xml:space="preserve">J62</t>
  </si>
  <si>
    <t xml:space="preserve">실리카를 함유한 먼지에 의한 진폐증</t>
  </si>
  <si>
    <t xml:space="preserve">J63</t>
  </si>
  <si>
    <t xml:space="preserve">기타 무기물먼지에 의한 진폐증</t>
  </si>
  <si>
    <t xml:space="preserve">J64</t>
  </si>
  <si>
    <t xml:space="preserve">상세불명의 진폐증</t>
  </si>
  <si>
    <t xml:space="preserve">J65</t>
  </si>
  <si>
    <t xml:space="preserve">결핵과 연관된 진폐증</t>
  </si>
  <si>
    <t xml:space="preserve">J66</t>
  </si>
  <si>
    <t xml:space="preserve">J67</t>
  </si>
  <si>
    <t xml:space="preserve">J68</t>
  </si>
  <si>
    <t xml:space="preserve">J69</t>
  </si>
  <si>
    <t xml:space="preserve">J70</t>
  </si>
  <si>
    <t xml:space="preserve">B25.2</t>
  </si>
  <si>
    <r>
      <rPr>
        <sz val="10"/>
        <rFont val="WenQuanYi Zen Hei"/>
        <family val="2"/>
      </rPr>
      <t xml:space="preserve">거대세포바이러스췌장염</t>
    </r>
    <r>
      <rPr>
        <sz val="10"/>
        <rFont val="Arial"/>
        <family val="0"/>
        <charset val="1"/>
      </rPr>
      <t xml:space="preserve">(K87.1*)</t>
    </r>
  </si>
  <si>
    <t xml:space="preserve">K87.1</t>
  </si>
  <si>
    <t xml:space="preserve">달리 분류된 질환에서의 췌장장애</t>
  </si>
  <si>
    <t xml:space="preserve">B26.3</t>
  </si>
  <si>
    <t xml:space="preserve">볼거리췌장염</t>
  </si>
  <si>
    <t xml:space="preserve">N17</t>
  </si>
  <si>
    <r>
      <rPr>
        <sz val="10"/>
        <rFont val="WenQuanYi Zen Hei"/>
        <family val="2"/>
      </rPr>
      <t xml:space="preserve">급성 콩팥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신장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기능상실</t>
    </r>
  </si>
  <si>
    <t xml:space="preserve">N18</t>
  </si>
  <si>
    <t xml:space="preserve">만성 콩팥병</t>
  </si>
  <si>
    <t xml:space="preserve">N19</t>
  </si>
  <si>
    <t xml:space="preserve">상세불명의 콩팥기능상실</t>
  </si>
  <si>
    <r>
      <rPr>
        <sz val="10"/>
        <rFont val="WenQuanYi Zen Hei"/>
        <family val="2"/>
      </rPr>
      <t xml:space="preserve">다빈도</t>
    </r>
    <r>
      <rPr>
        <sz val="10"/>
        <rFont val="Arial"/>
        <family val="0"/>
        <charset val="1"/>
      </rPr>
      <t xml:space="preserve">61</t>
    </r>
    <r>
      <rPr>
        <sz val="10"/>
        <rFont val="WenQuanYi Zen Hei"/>
        <family val="2"/>
      </rPr>
      <t xml:space="preserve">대</t>
    </r>
    <r>
      <rPr>
        <sz val="10"/>
        <rFont val="Arial"/>
        <family val="0"/>
        <charset val="1"/>
      </rPr>
      <t xml:space="preserve">/62</t>
    </r>
    <r>
      <rPr>
        <sz val="10"/>
        <rFont val="WenQuanYi Zen Hei"/>
        <family val="2"/>
      </rPr>
      <t xml:space="preserve">대질병</t>
    </r>
  </si>
  <si>
    <t xml:space="preserve">주침샘의 양성 신생물</t>
  </si>
  <si>
    <t xml:space="preserve">기타 및 부위불명의 소화계통의 양성 신생물</t>
  </si>
  <si>
    <t xml:space="preserve">기타 및 상세불명의 흉곽내기관의 양성 신생물</t>
  </si>
  <si>
    <t xml:space="preserve">골 및 관절연골의 양성 신생물</t>
  </si>
  <si>
    <t xml:space="preserve">결합조직 및 기타 연조직의 기타 양성 신생물</t>
  </si>
  <si>
    <t xml:space="preserve">기타 및 상세불명의 여성생식기관의 양성 신생물</t>
  </si>
  <si>
    <t xml:space="preserve">남성생식기관의 양성 신생물</t>
  </si>
  <si>
    <t xml:space="preserve">눈 및 부속기의 양성 신생물</t>
  </si>
  <si>
    <t xml:space="preserve">수막의 양성 신생물</t>
  </si>
  <si>
    <t xml:space="preserve">뇌 및 중추신경계통의 기타 부분의 양성 신생물</t>
  </si>
  <si>
    <t xml:space="preserve">갑상선의 양성 신생물</t>
  </si>
  <si>
    <t xml:space="preserve">기타 및 상세불명의 내분비선의 양성 신생물</t>
  </si>
  <si>
    <t xml:space="preserve">처치후 갑상선기능저하증</t>
  </si>
  <si>
    <t xml:space="preserve">확인된 동물매개 또는 범유행 인플루엔자바이러스에 의한 인플루엔자</t>
  </si>
  <si>
    <t xml:space="preserve">확인된 계절성 인플루엔자바이러스에 의한 인플루엔자</t>
  </si>
  <si>
    <t xml:space="preserve">편도주위농양만성 후두염 및 후두기관염달리 분류되지 않은 성대및 후두의 질환상기도의 기타 질환</t>
  </si>
  <si>
    <t xml:space="preserve">외이의 질환 외이의 질환</t>
  </si>
  <si>
    <t xml:space="preserve">황반변성 황반 및 후극부의 변성</t>
  </si>
  <si>
    <t xml:space="preserve">눈 및 눈부속기의 기타 처치후 장애</t>
  </si>
  <si>
    <t xml:space="preserve">달리 분류되지 않은 유전성 신장병증</t>
  </si>
  <si>
    <t xml:space="preserve">폐색성 및 역류성 요로병증</t>
  </si>
  <si>
    <r>
      <rPr>
        <sz val="10"/>
        <rFont val="WenQuanYi Zen Hei"/>
        <family val="2"/>
      </rPr>
      <t xml:space="preserve">약물 및 중금속 유발 세뇨관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간질 및 세뇨관 병태</t>
    </r>
  </si>
  <si>
    <t xml:space="preserve">신세뇨관기능손상으로 인한 장애</t>
  </si>
  <si>
    <t xml:space="preserve">탈장이 없는 마비성 장폐색증 및 장폐쇄</t>
  </si>
  <si>
    <t xml:space="preserve">결절성 다발동맥염 및 관련 병태</t>
  </si>
  <si>
    <t xml:space="preserve">미보장</t>
  </si>
  <si>
    <t xml:space="preserve">E00~E07</t>
  </si>
  <si>
    <t xml:space="preserve">H06.2</t>
  </si>
  <si>
    <r>
      <rPr>
        <sz val="10"/>
        <rFont val="WenQuanYi Zen Hei"/>
        <family val="2"/>
      </rPr>
      <t xml:space="preserve">갑상선이상성 안구돌출</t>
    </r>
    <r>
      <rPr>
        <sz val="10"/>
        <rFont val="Arial"/>
        <family val="0"/>
        <charset val="1"/>
      </rPr>
      <t xml:space="preserve">(E05.0†)</t>
    </r>
  </si>
  <si>
    <t xml:space="preserve">J00~J06</t>
  </si>
  <si>
    <t xml:space="preserve">H65~H75</t>
  </si>
  <si>
    <t xml:space="preserve">H67.1</t>
  </si>
  <si>
    <t xml:space="preserve">바이러스질환에서의 중이염</t>
  </si>
  <si>
    <t xml:space="preserve">B05.3</t>
  </si>
  <si>
    <r>
      <rPr>
        <sz val="10"/>
        <rFont val="WenQuanYi Zen Hei"/>
        <family val="2"/>
      </rPr>
      <t xml:space="preserve">중이염이 합병된 홍역</t>
    </r>
    <r>
      <rPr>
        <sz val="10"/>
        <rFont val="Arial"/>
        <family val="0"/>
        <charset val="1"/>
      </rPr>
      <t xml:space="preserve">(H67.1*)</t>
    </r>
  </si>
  <si>
    <t xml:space="preserve">H80~H83</t>
  </si>
  <si>
    <t xml:space="preserve">내이의 질환 내이의 질환</t>
  </si>
  <si>
    <t xml:space="preserve">H90~H95</t>
  </si>
  <si>
    <t xml:space="preserve">귀의 기타 장애</t>
  </si>
  <si>
    <t xml:space="preserve">H15~H22</t>
  </si>
  <si>
    <r>
      <rPr>
        <sz val="10"/>
        <rFont val="WenQuanYi Zen Hei"/>
        <family val="2"/>
      </rPr>
      <t xml:space="preserve">공막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각막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홍채 및</t>
    </r>
  </si>
  <si>
    <t xml:space="preserve">H19.1</t>
  </si>
  <si>
    <r>
      <rPr>
        <sz val="10"/>
        <rFont val="WenQuanYi Zen Hei"/>
        <family val="2"/>
      </rPr>
      <t xml:space="preserve">헤르페스바이러스 각막염 및 각막결막염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간질각막염</t>
    </r>
    <r>
      <rPr>
        <sz val="10"/>
        <rFont val="Arial"/>
        <family val="0"/>
        <charset val="1"/>
      </rPr>
      <t xml:space="preserve">)</t>
    </r>
  </si>
  <si>
    <t xml:space="preserve">H19.2</t>
  </si>
  <si>
    <t xml:space="preserve">감염성 질환에서의 각막염 및 각막결막염</t>
  </si>
  <si>
    <t xml:space="preserve">H19.3</t>
  </si>
  <si>
    <t xml:space="preserve">달리 분류된 기타 질환에서의 각막염 및 각막결막염</t>
  </si>
  <si>
    <t xml:space="preserve">H22.0</t>
  </si>
  <si>
    <t xml:space="preserve">감염성 질환에서의 홍채섬모체염</t>
  </si>
  <si>
    <t xml:space="preserve">B00.50</t>
  </si>
  <si>
    <t xml:space="preserve">헤르페스바이러스 홍채섬모체염</t>
  </si>
  <si>
    <t xml:space="preserve">B00.51</t>
  </si>
  <si>
    <t xml:space="preserve">헤르페스바이러스 간질각막염</t>
  </si>
  <si>
    <t xml:space="preserve">B30.0</t>
  </si>
  <si>
    <t xml:space="preserve">H30~H36</t>
  </si>
  <si>
    <t xml:space="preserve">맥락막 및 망막의 장애</t>
  </si>
  <si>
    <t xml:space="preserve">H46~H48</t>
  </si>
  <si>
    <t xml:space="preserve">N08</t>
  </si>
  <si>
    <t xml:space="preserve">달리 분류된 질환에서의 사구체장애</t>
  </si>
  <si>
    <t xml:space="preserve">달리 분류되지 않은 방광의 신경근육기능장애</t>
  </si>
  <si>
    <t xml:space="preserve">N37.0</t>
  </si>
  <si>
    <r>
      <rPr>
        <sz val="10"/>
        <rFont val="WenQuanYi Zen Hei"/>
        <family val="2"/>
      </rPr>
      <t xml:space="preserve">달리 분류된 질환에서의 요도염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칸디다요도염</t>
    </r>
    <r>
      <rPr>
        <sz val="10"/>
        <rFont val="Arial"/>
        <family val="0"/>
        <charset val="1"/>
      </rPr>
      <t xml:space="preserve">)</t>
    </r>
  </si>
  <si>
    <t xml:space="preserve">B37.40</t>
  </si>
  <si>
    <t xml:space="preserve">칸디다요도염</t>
  </si>
  <si>
    <t xml:space="preserve">N39</t>
  </si>
  <si>
    <t xml:space="preserve">비뇨계통의 기타 장애</t>
  </si>
  <si>
    <t xml:space="preserve">K23</t>
  </si>
  <si>
    <t xml:space="preserve">달리 분류된 질환에서의 식도의 장애</t>
  </si>
  <si>
    <t xml:space="preserve">K65~K67</t>
  </si>
  <si>
    <t xml:space="preserve">복막의 질환</t>
  </si>
  <si>
    <t xml:space="preserve">G59</t>
  </si>
  <si>
    <t xml:space="preserve">달리 분류된 질환에서의 단일신경병증</t>
  </si>
  <si>
    <r>
      <rPr>
        <sz val="10"/>
        <rFont val="WenQuanYi Zen Hei"/>
        <family val="2"/>
      </rPr>
      <t xml:space="preserve">당뇨병에서의 사구체장애</t>
    </r>
    <r>
      <rPr>
        <sz val="10"/>
        <rFont val="Arial"/>
        <family val="0"/>
        <charset val="1"/>
      </rPr>
      <t xml:space="preserve">(4</t>
    </r>
    <r>
      <rPr>
        <sz val="10"/>
        <rFont val="WenQuanYi Zen Hei"/>
        <family val="2"/>
      </rPr>
      <t xml:space="preserve">단위 </t>
    </r>
    <r>
      <rPr>
        <sz val="10"/>
        <rFont val="Arial"/>
        <family val="0"/>
        <charset val="1"/>
      </rPr>
      <t xml:space="preserve">.2-</t>
    </r>
    <r>
      <rPr>
        <sz val="10"/>
        <rFont val="WenQuanYi Zen Hei"/>
        <family val="2"/>
      </rPr>
      <t xml:space="preserve">에 해당되는 </t>
    </r>
    <r>
      <rPr>
        <sz val="10"/>
        <rFont val="Arial"/>
        <family val="0"/>
        <charset val="1"/>
      </rPr>
      <t xml:space="preserve">E10-E14†) ← </t>
    </r>
    <r>
      <rPr>
        <sz val="10"/>
        <rFont val="WenQuanYi Zen Hei"/>
        <family val="2"/>
      </rPr>
      <t xml:space="preserve">이 세부보장에서 제외</t>
    </r>
  </si>
  <si>
    <t xml:space="preserve">제외</t>
  </si>
  <si>
    <r>
      <rPr>
        <sz val="10"/>
        <rFont val="WenQuanYi Zen Hei"/>
        <family val="2"/>
      </rPr>
      <t xml:space="preserve">결핵성 방광염</t>
    </r>
    <r>
      <rPr>
        <sz val="10"/>
        <rFont val="Arial"/>
        <family val="0"/>
        <charset val="1"/>
      </rPr>
      <t xml:space="preserve">(A18.11†) ← </t>
    </r>
    <r>
      <rPr>
        <sz val="10"/>
        <rFont val="WenQuanYi Zen Hei"/>
        <family val="2"/>
      </rPr>
      <t xml:space="preserve">이 세부보장에서 제외</t>
    </r>
  </si>
  <si>
    <t xml:space="preserve">N39.3</t>
  </si>
  <si>
    <t xml:space="preserve">스트레스요실금 ← 이 세부보장에서 제외</t>
  </si>
  <si>
    <t xml:space="preserve">N39.4</t>
  </si>
  <si>
    <t xml:space="preserve">기타 명시된 요실금 ← 이 세부보장에서 제외</t>
  </si>
  <si>
    <t xml:space="preserve">K23.0</t>
  </si>
  <si>
    <t xml:space="preserve">결핵성 식도염 ← 이 세부보장에서 제외</t>
  </si>
  <si>
    <r>
      <rPr>
        <sz val="10"/>
        <rFont val="WenQuanYi Zen Hei"/>
        <family val="2"/>
      </rPr>
      <t xml:space="preserve">결핵성 복막염</t>
    </r>
    <r>
      <rPr>
        <sz val="10"/>
        <rFont val="Arial"/>
        <family val="0"/>
        <charset val="1"/>
      </rPr>
      <t xml:space="preserve">(A18.30†) ← </t>
    </r>
    <r>
      <rPr>
        <sz val="10"/>
        <rFont val="WenQuanYi Zen Hei"/>
        <family val="2"/>
      </rPr>
      <t xml:space="preserve">이 세부보장에서 제외</t>
    </r>
  </si>
  <si>
    <r>
      <rPr>
        <sz val="10"/>
        <rFont val="WenQuanYi Zen Hei"/>
        <family val="2"/>
      </rPr>
      <t xml:space="preserve">당뇨병성 단일신경병증</t>
    </r>
    <r>
      <rPr>
        <sz val="10"/>
        <rFont val="Arial"/>
        <family val="0"/>
        <charset val="1"/>
      </rPr>
      <t xml:space="preserve">(4</t>
    </r>
    <r>
      <rPr>
        <sz val="10"/>
        <rFont val="WenQuanYi Zen Hei"/>
        <family val="2"/>
      </rPr>
      <t xml:space="preserve">단위 및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단위 숫자 </t>
    </r>
    <r>
      <rPr>
        <sz val="10"/>
        <rFont val="Arial"/>
        <family val="0"/>
        <charset val="1"/>
      </rPr>
      <t xml:space="preserve">.40</t>
    </r>
    <r>
      <rPr>
        <sz val="10"/>
        <rFont val="WenQuanYi Zen Hei"/>
        <family val="2"/>
      </rPr>
      <t xml:space="preserve">에 해당되는 </t>
    </r>
    <r>
      <rPr>
        <sz val="10"/>
        <rFont val="Arial"/>
        <family val="0"/>
        <charset val="1"/>
      </rPr>
      <t xml:space="preserve">E10-E14†) ← </t>
    </r>
    <r>
      <rPr>
        <sz val="10"/>
        <rFont val="WenQuanYi Zen Hei"/>
        <family val="2"/>
      </rPr>
      <t xml:space="preserve">이 세부보장에서 제외</t>
    </r>
  </si>
  <si>
    <r>
      <rPr>
        <sz val="10"/>
        <rFont val="WenQuanYi Zen Hei"/>
        <family val="2"/>
      </rPr>
      <t xml:space="preserve">당뇨병성 망막병증</t>
    </r>
    <r>
      <rPr>
        <sz val="10"/>
        <rFont val="Arial"/>
        <family val="0"/>
        <charset val="1"/>
      </rPr>
      <t xml:space="preserve">(4</t>
    </r>
    <r>
      <rPr>
        <sz val="10"/>
        <rFont val="WenQuanYi Zen Hei"/>
        <family val="2"/>
      </rPr>
      <t xml:space="preserve">단위 및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단위 숫자 </t>
    </r>
    <r>
      <rPr>
        <sz val="10"/>
        <rFont val="Arial"/>
        <family val="0"/>
        <charset val="1"/>
      </rPr>
      <t xml:space="preserve">.30, .31, .32, .33</t>
    </r>
    <r>
      <rPr>
        <sz val="10"/>
        <rFont val="WenQuanYi Zen Hei"/>
        <family val="2"/>
      </rPr>
      <t xml:space="preserve">에 해당되는 </t>
    </r>
    <r>
      <rPr>
        <sz val="10"/>
        <rFont val="Arial"/>
        <family val="0"/>
        <charset val="1"/>
      </rPr>
      <t xml:space="preserve">E10-E14†) ← </t>
    </r>
    <r>
      <rPr>
        <sz val="10"/>
        <rFont val="WenQuanYi Zen Hei"/>
        <family val="2"/>
      </rPr>
      <t xml:space="preserve">이 세부보장에서 제외</t>
    </r>
  </si>
  <si>
    <t xml:space="preserve">코용종</t>
  </si>
  <si>
    <t xml:space="preserve">치핵 및 항문주위정맥혈전증</t>
  </si>
  <si>
    <t xml:space="preserve">노년백내장</t>
  </si>
  <si>
    <r>
      <rPr>
        <sz val="10"/>
        <rFont val="WenQuanYi Zen Hei"/>
        <family val="2"/>
      </rPr>
      <t xml:space="preserve">특정다빈도</t>
    </r>
    <r>
      <rPr>
        <sz val="10"/>
        <rFont val="Arial"/>
        <family val="0"/>
        <charset val="1"/>
      </rPr>
      <t xml:space="preserve">29</t>
    </r>
    <r>
      <rPr>
        <sz val="10"/>
        <rFont val="WenQuanYi Zen Hei"/>
        <family val="2"/>
      </rPr>
      <t xml:space="preserve">대질병</t>
    </r>
  </si>
  <si>
    <t xml:space="preserve">수면무호흡 수면무호흡</t>
  </si>
  <si>
    <r>
      <rPr>
        <sz val="10"/>
        <rFont val="WenQuanYi Zen Hei"/>
        <family val="2"/>
      </rPr>
      <t xml:space="preserve">신생물질환에서의 신경근 및 신경총 압박</t>
    </r>
    <r>
      <rPr>
        <sz val="10"/>
        <rFont val="Arial"/>
        <family val="0"/>
        <charset val="1"/>
      </rPr>
      <t xml:space="preserve">(C00-D48†)</t>
    </r>
  </si>
  <si>
    <r>
      <rPr>
        <sz val="10"/>
        <rFont val="WenQuanYi Zen Hei"/>
        <family val="2"/>
      </rPr>
      <t xml:space="preserve">추간판 장애에서의 신경근 및 신경총 압박</t>
    </r>
    <r>
      <rPr>
        <sz val="10"/>
        <rFont val="Arial"/>
        <family val="0"/>
        <charset val="1"/>
      </rPr>
      <t xml:space="preserve">(M50-M51†)</t>
    </r>
  </si>
  <si>
    <r>
      <rPr>
        <sz val="10"/>
        <rFont val="WenQuanYi Zen Hei"/>
        <family val="2"/>
      </rPr>
      <t xml:space="preserve">척추증에서의 신경근 및 신경총 압박</t>
    </r>
    <r>
      <rPr>
        <sz val="10"/>
        <rFont val="Arial"/>
        <family val="0"/>
        <charset val="1"/>
      </rPr>
      <t xml:space="preserve">(M47.-†)</t>
    </r>
  </si>
  <si>
    <r>
      <rPr>
        <sz val="10"/>
        <rFont val="WenQuanYi Zen Hei"/>
        <family val="2"/>
      </rPr>
      <t xml:space="preserve">기타 등병증에서의 신경근 및 신경총 압박</t>
    </r>
    <r>
      <rPr>
        <sz val="10"/>
        <rFont val="Arial"/>
        <family val="0"/>
        <charset val="1"/>
      </rPr>
      <t xml:space="preserve">(M45-M46†, M48.-†, M53-M54†)</t>
    </r>
  </si>
  <si>
    <t xml:space="preserve">전신홍반루푸스</t>
  </si>
  <si>
    <t xml:space="preserve">근육 장애 근육 장애</t>
  </si>
  <si>
    <r>
      <rPr>
        <sz val="10"/>
        <rFont val="WenQuanYi Zen Hei"/>
        <family val="2"/>
      </rPr>
      <t xml:space="preserve">뼈의 파젯병</t>
    </r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변형성 골염</t>
    </r>
    <r>
      <rPr>
        <sz val="10"/>
        <rFont val="Arial"/>
        <family val="0"/>
        <charset val="1"/>
      </rPr>
      <t xml:space="preserve">]</t>
    </r>
  </si>
  <si>
    <t xml:space="preserve">H10~H13</t>
  </si>
  <si>
    <t xml:space="preserve">결막장애 결막의 장애</t>
  </si>
  <si>
    <t xml:space="preserve">K93</t>
  </si>
  <si>
    <t xml:space="preserve">달리 분류된 질환에서의 기타 소화기관장애</t>
  </si>
  <si>
    <t xml:space="preserve">M49</t>
  </si>
  <si>
    <t xml:space="preserve">달리 분류된 질환에서의 척추병증</t>
  </si>
  <si>
    <t xml:space="preserve">M70~M79</t>
  </si>
  <si>
    <t xml:space="preserve">M91~M94</t>
  </si>
  <si>
    <t xml:space="preserve">연골병증 연골병증</t>
  </si>
  <si>
    <r>
      <rPr>
        <sz val="10"/>
        <rFont val="WenQuanYi Zen Hei"/>
        <family val="2"/>
      </rPr>
      <t xml:space="preserve">장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복막 및 장간막림프절의 결핵성 장애</t>
    </r>
    <r>
      <rPr>
        <sz val="10"/>
        <rFont val="Arial"/>
        <family val="0"/>
        <charset val="1"/>
      </rPr>
      <t xml:space="preserve">(A18.3-†) ← </t>
    </r>
    <r>
      <rPr>
        <sz val="10"/>
        <rFont val="WenQuanYi Zen Hei"/>
        <family val="2"/>
      </rPr>
      <t xml:space="preserve">이 세부보장에서 제외</t>
    </r>
  </si>
  <si>
    <t xml:space="preserve">척추의 결핵 ← 이 세부보장에서 제외</t>
  </si>
  <si>
    <t xml:space="preserve">M74</t>
  </si>
  <si>
    <t xml:space="preserve">기타 연조직장애 ← 이 세부보장에서 제외</t>
  </si>
  <si>
    <t xml:space="preserve">M78</t>
  </si>
  <si>
    <r>
      <rPr>
        <sz val="10"/>
        <rFont val="WenQuanYi Zen Hei"/>
        <family val="2"/>
      </rPr>
      <t xml:space="preserve">관절염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생식기질환</t>
    </r>
  </si>
  <si>
    <t xml:space="preserve">M00</t>
  </si>
  <si>
    <t xml:space="preserve">화농성 관절염</t>
  </si>
  <si>
    <t xml:space="preserve">M01</t>
  </si>
  <si>
    <t xml:space="preserve">달리 분류된 감염성 및 기생충성 질환에서의 관절의 직접감염</t>
  </si>
  <si>
    <t xml:space="preserve">M02</t>
  </si>
  <si>
    <t xml:space="preserve">반응성 관절병증</t>
  </si>
  <si>
    <t xml:space="preserve">M03</t>
  </si>
  <si>
    <t xml:space="preserve">달리 분류된 질환에서의 감염후 및 반응성 관절병증</t>
  </si>
  <si>
    <t xml:space="preserve">M05</t>
  </si>
  <si>
    <t xml:space="preserve">혈청검사양성 류마티스관절염</t>
  </si>
  <si>
    <t xml:space="preserve">M06</t>
  </si>
  <si>
    <t xml:space="preserve">염증성 다발관절병증</t>
  </si>
  <si>
    <t xml:space="preserve">M07</t>
  </si>
  <si>
    <t xml:space="preserve">건선성 및 장병성 관절병증</t>
  </si>
  <si>
    <t xml:space="preserve">M08</t>
  </si>
  <si>
    <t xml:space="preserve">M09</t>
  </si>
  <si>
    <t xml:space="preserve">M10</t>
  </si>
  <si>
    <t xml:space="preserve">통풍</t>
  </si>
  <si>
    <t xml:space="preserve">M11</t>
  </si>
  <si>
    <t xml:space="preserve">M12</t>
  </si>
  <si>
    <t xml:space="preserve">M13</t>
  </si>
  <si>
    <t xml:space="preserve">M14</t>
  </si>
  <si>
    <t xml:space="preserve">M05.1</t>
  </si>
  <si>
    <t xml:space="preserve">류마티스폐질환</t>
  </si>
  <si>
    <t xml:space="preserve">J99.0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</si>
  <si>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</si>
  <si>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</si>
  <si>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</si>
  <si>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</si>
  <si>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</si>
  <si>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</si>
  <si>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</si>
  <si>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</si>
  <si>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</si>
  <si>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</si>
  <si>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</si>
  <si>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N40</t>
  </si>
  <si>
    <t xml:space="preserve">남성 생식기관의 질환</t>
  </si>
  <si>
    <t xml:space="preserve">N41</t>
  </si>
  <si>
    <t xml:space="preserve">N42</t>
  </si>
  <si>
    <t xml:space="preserve">N43</t>
  </si>
  <si>
    <t xml:space="preserve">음낭수종 및 정액류</t>
  </si>
  <si>
    <t xml:space="preserve">N44</t>
  </si>
  <si>
    <t xml:space="preserve">고환의 염전</t>
  </si>
  <si>
    <t xml:space="preserve">N45</t>
  </si>
  <si>
    <t xml:space="preserve">고환염 및 부고환염</t>
  </si>
  <si>
    <t xml:space="preserve">N51.0</t>
  </si>
  <si>
    <t xml:space="preserve">달리 분류된 질환에서의 전립선장애</t>
  </si>
  <si>
    <t xml:space="preserve">A59.08</t>
  </si>
  <si>
    <t xml:space="preserve">편모충성 전립선염</t>
  </si>
  <si>
    <t xml:space="preserve">N51.1</t>
  </si>
  <si>
    <t xml:space="preserve">달리 분류된 질환에서의 고환 및 부고환 장애</t>
  </si>
  <si>
    <t xml:space="preserve">B26.0</t>
  </si>
  <si>
    <t xml:space="preserve">볼거리고환염</t>
  </si>
  <si>
    <t xml:space="preserve">N70</t>
  </si>
  <si>
    <t xml:space="preserve">여성 골반내 기관의 염증성 질환</t>
  </si>
  <si>
    <t xml:space="preserve">N71</t>
  </si>
  <si>
    <t xml:space="preserve">N72</t>
  </si>
  <si>
    <t xml:space="preserve">N73</t>
  </si>
  <si>
    <t xml:space="preserve">N74</t>
  </si>
  <si>
    <t xml:space="preserve">N75</t>
  </si>
  <si>
    <t xml:space="preserve">N76</t>
  </si>
  <si>
    <t xml:space="preserve">N77</t>
  </si>
  <si>
    <t xml:space="preserve">N80</t>
  </si>
  <si>
    <t xml:space="preserve">여성 생식관의 비염증성 장애</t>
  </si>
  <si>
    <t xml:space="preserve">N81</t>
  </si>
  <si>
    <t xml:space="preserve">N82</t>
  </si>
  <si>
    <t xml:space="preserve">N83</t>
  </si>
  <si>
    <t xml:space="preserve">N84</t>
  </si>
  <si>
    <t xml:space="preserve">N85</t>
  </si>
  <si>
    <t xml:space="preserve">N86</t>
  </si>
  <si>
    <t xml:space="preserve">N87</t>
  </si>
  <si>
    <t xml:space="preserve">N88</t>
  </si>
  <si>
    <t xml:space="preserve">N89</t>
  </si>
  <si>
    <t xml:space="preserve">N90</t>
  </si>
  <si>
    <t xml:space="preserve">N91</t>
  </si>
  <si>
    <t xml:space="preserve">N92</t>
  </si>
  <si>
    <t xml:space="preserve">N93</t>
  </si>
  <si>
    <t xml:space="preserve">N94</t>
  </si>
  <si>
    <t xml:space="preserve">N95</t>
  </si>
  <si>
    <t xml:space="preserve">N47~N51</t>
  </si>
  <si>
    <t xml:space="preserve">결핵 관절염 ← 이 세부보장에서 제외</t>
  </si>
  <si>
    <r>
      <rPr>
        <sz val="10"/>
        <rFont val="WenQuanYi Zen Hei"/>
        <family val="2"/>
      </rPr>
      <t xml:space="preserve">당뇨병성 관절병증</t>
    </r>
    <r>
      <rPr>
        <sz val="10"/>
        <rFont val="Arial"/>
        <family val="0"/>
        <charset val="1"/>
      </rPr>
      <t xml:space="preserve">(4</t>
    </r>
    <r>
      <rPr>
        <sz val="10"/>
        <rFont val="WenQuanYi Zen Hei"/>
        <family val="2"/>
      </rPr>
      <t xml:space="preserve">단위 및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단위 숫자 </t>
    </r>
    <r>
      <rPr>
        <sz val="10"/>
        <rFont val="Arial"/>
        <family val="0"/>
        <charset val="1"/>
      </rPr>
      <t xml:space="preserve">.60</t>
    </r>
    <r>
      <rPr>
        <sz val="10"/>
        <rFont val="WenQuanYi Zen Hei"/>
        <family val="2"/>
      </rPr>
      <t xml:space="preserve">에 해당되는 </t>
    </r>
    <r>
      <rPr>
        <sz val="10"/>
        <rFont val="Arial"/>
        <family val="0"/>
        <charset val="1"/>
      </rPr>
      <t xml:space="preserve">E10-E14†) ← </t>
    </r>
    <r>
      <rPr>
        <sz val="10"/>
        <rFont val="WenQuanYi Zen Hei"/>
        <family val="2"/>
      </rPr>
      <t xml:space="preserve">이 세부보장에서 제외</t>
    </r>
  </si>
  <si>
    <r>
      <rPr>
        <sz val="10"/>
        <rFont val="WenQuanYi Zen Hei"/>
        <family val="2"/>
      </rPr>
      <t xml:space="preserve">자궁경부의 결핵감염</t>
    </r>
    <r>
      <rPr>
        <sz val="10"/>
        <rFont val="Arial"/>
        <family val="0"/>
        <charset val="1"/>
      </rPr>
      <t xml:space="preserve">(A18.17†) ← </t>
    </r>
    <r>
      <rPr>
        <sz val="10"/>
        <rFont val="WenQuanYi Zen Hei"/>
        <family val="2"/>
      </rPr>
      <t xml:space="preserve">이 세부보장에서 제외</t>
    </r>
  </si>
  <si>
    <r>
      <rPr>
        <sz val="10"/>
        <rFont val="WenQuanYi Zen Hei"/>
        <family val="2"/>
      </rPr>
      <t xml:space="preserve">여성 결핵성 골반염증질환</t>
    </r>
    <r>
      <rPr>
        <sz val="10"/>
        <rFont val="Arial"/>
        <family val="0"/>
        <charset val="1"/>
      </rPr>
      <t xml:space="preserve">(A18.17†) ← </t>
    </r>
    <r>
      <rPr>
        <sz val="10"/>
        <rFont val="WenQuanYi Zen Hei"/>
        <family val="2"/>
      </rPr>
      <t xml:space="preserve">이 세부보장에서 제외</t>
    </r>
  </si>
  <si>
    <r>
      <rPr>
        <sz val="10"/>
        <rFont val="Arial"/>
        <family val="0"/>
        <charset val="1"/>
      </rPr>
      <t xml:space="preserve">(131</t>
    </r>
    <r>
      <rPr>
        <sz val="10"/>
        <rFont val="WenQuanYi Zen Hei"/>
        <family val="2"/>
      </rPr>
      <t xml:space="preserve">대</t>
    </r>
    <r>
      <rPr>
        <sz val="10"/>
        <rFont val="Arial"/>
        <family val="0"/>
        <charset val="1"/>
      </rPr>
      <t xml:space="preserve">·130</t>
    </r>
    <r>
      <rPr>
        <sz val="10"/>
        <rFont val="WenQuanYi Zen Hei"/>
        <family val="2"/>
      </rPr>
      <t xml:space="preserve">대 전체</t>
    </r>
    <r>
      <rPr>
        <sz val="10"/>
        <rFont val="Arial"/>
        <family val="0"/>
        <charset val="1"/>
      </rPr>
      <t xml:space="preserve">)</t>
    </r>
  </si>
  <si>
    <t xml:space="preserve">스트레스요실금 ← 약관 「…제외」 — 어느 세부보장에도 없음</t>
  </si>
  <si>
    <t xml:space="preserve">기타 명시된 요실금 ← 약관 「…제외」 — 어느 세부보장에도 없음</t>
  </si>
  <si>
    <t xml:space="preserve">결핵성 식도염 ← 약관 「…제외」 — 어느 세부보장에도 없음</t>
  </si>
  <si>
    <t xml:space="preserve">기타 연조직장애 ← 약관 「…제외」 — 어느 세부보장에도 없음</t>
  </si>
  <si>
    <t xml:space="preserve">수술비 종류</t>
  </si>
  <si>
    <t xml:space="preserve">상품</t>
  </si>
  <si>
    <t xml:space="preserve">특약명</t>
  </si>
  <si>
    <t xml:space="preserve">id</t>
  </si>
  <si>
    <r>
      <rPr>
        <sz val="10"/>
        <rFont val="Arial"/>
        <family val="0"/>
        <charset val="1"/>
      </rPr>
      <t xml:space="preserve">The</t>
    </r>
    <r>
      <rPr>
        <sz val="10"/>
        <rFont val="WenQuanYi Zen Hei"/>
        <family val="2"/>
      </rPr>
      <t xml:space="preserve">가벼운간편</t>
    </r>
    <r>
      <rPr>
        <sz val="10"/>
        <rFont val="Arial"/>
        <family val="0"/>
        <charset val="1"/>
      </rPr>
      <t xml:space="preserve">355</t>
    </r>
  </si>
  <si>
    <r>
      <rPr>
        <sz val="10"/>
        <rFont val="WenQuanYi Zen Hei"/>
        <family val="2"/>
      </rPr>
      <t xml:space="preserve">상해</t>
    </r>
    <r>
      <rPr>
        <sz val="10"/>
        <rFont val="Arial"/>
        <family val="0"/>
        <charset val="1"/>
      </rPr>
      <t xml:space="preserve">1-5</t>
    </r>
    <r>
      <rPr>
        <sz val="10"/>
        <rFont val="WenQuanYi Zen Hei"/>
        <family val="2"/>
      </rPr>
      <t xml:space="preserve">종수술비</t>
    </r>
    <r>
      <rPr>
        <sz val="10"/>
        <rFont val="Arial"/>
        <family val="0"/>
        <charset val="1"/>
      </rPr>
      <t xml:space="preserve">(plus)(</t>
    </r>
    <r>
      <rPr>
        <sz val="10"/>
        <rFont val="WenQuanYi Zen Hei"/>
        <family val="2"/>
      </rPr>
      <t xml:space="preserve">연간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회이상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</si>
  <si>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가벼</t>
    </r>
    <r>
      <rPr>
        <sz val="10"/>
        <rFont val="Arial"/>
        <family val="0"/>
        <charset val="1"/>
      </rPr>
      <t xml:space="preserve">40</t>
    </r>
  </si>
  <si>
    <r>
      <rPr>
        <sz val="10"/>
        <rFont val="WenQuanYi Zen Hei"/>
        <family val="2"/>
      </rPr>
      <t xml:space="preserve">스마트 제안서 보강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약관 파싱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</si>
  <si>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질병</t>
    </r>
    <r>
      <rPr>
        <sz val="10"/>
        <rFont val="Arial"/>
        <family val="0"/>
        <charset val="1"/>
      </rPr>
      <t xml:space="preserve">1-5</t>
    </r>
    <r>
      <rPr>
        <sz val="10"/>
        <rFont val="WenQuanYi Zen Hei"/>
        <family val="2"/>
      </rPr>
      <t xml:space="preserve">종수술비</t>
    </r>
    <r>
      <rPr>
        <sz val="10"/>
        <rFont val="Arial"/>
        <family val="0"/>
        <charset val="1"/>
      </rPr>
      <t xml:space="preserve">(plus)(</t>
    </r>
    <r>
      <rPr>
        <sz val="10"/>
        <rFont val="WenQuanYi Zen Hei"/>
        <family val="2"/>
      </rPr>
      <t xml:space="preserve">연간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회이상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</si>
  <si>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가벼</t>
    </r>
    <r>
      <rPr>
        <sz val="10"/>
        <rFont val="Arial"/>
        <family val="0"/>
        <charset val="1"/>
      </rPr>
      <t xml:space="preserve">145</t>
    </r>
  </si>
  <si>
    <r>
      <rPr>
        <sz val="10"/>
        <rFont val="Arial"/>
        <family val="0"/>
        <charset val="1"/>
      </rPr>
      <t xml:space="preserve">The</t>
    </r>
    <r>
      <rPr>
        <sz val="10"/>
        <rFont val="WenQuanYi Zen Hei"/>
        <family val="2"/>
      </rPr>
      <t xml:space="preserve">건강한</t>
    </r>
    <r>
      <rPr>
        <sz val="10"/>
        <rFont val="Arial"/>
        <family val="0"/>
        <charset val="1"/>
      </rPr>
      <t xml:space="preserve">5.10.5</t>
    </r>
  </si>
  <si>
    <r>
      <rPr>
        <sz val="10"/>
        <rFont val="WenQuanYi Zen Hei"/>
        <family val="2"/>
      </rPr>
      <t xml:space="preserve">건강</t>
    </r>
    <r>
      <rPr>
        <sz val="10"/>
        <rFont val="Arial"/>
        <family val="0"/>
        <charset val="1"/>
      </rPr>
      <t xml:space="preserve">43</t>
    </r>
  </si>
  <si>
    <r>
      <rPr>
        <sz val="10"/>
        <rFont val="WenQuanYi Zen Hei"/>
        <family val="2"/>
      </rPr>
      <t xml:space="preserve">수술비Ⅱ</t>
    </r>
    <r>
      <rPr>
        <sz val="10"/>
        <rFont val="Arial"/>
        <family val="0"/>
        <charset val="1"/>
      </rPr>
      <t xml:space="preserve">(1-5</t>
    </r>
    <r>
      <rPr>
        <sz val="10"/>
        <rFont val="WenQuanYi Zen Hei"/>
        <family val="2"/>
      </rPr>
      <t xml:space="preserve">종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</si>
  <si>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건강</t>
    </r>
    <r>
      <rPr>
        <sz val="10"/>
        <rFont val="Arial"/>
        <family val="0"/>
        <charset val="1"/>
      </rPr>
      <t xml:space="preserve">180</t>
    </r>
  </si>
  <si>
    <r>
      <rPr>
        <sz val="10"/>
        <rFont val="WenQuanYi Zen Hei"/>
        <family val="2"/>
      </rPr>
      <t xml:space="preserve">건강</t>
    </r>
    <r>
      <rPr>
        <sz val="10"/>
        <rFont val="Arial"/>
        <family val="0"/>
        <charset val="1"/>
      </rPr>
      <t xml:space="preserve">174</t>
    </r>
  </si>
  <si>
    <r>
      <rPr>
        <sz val="10"/>
        <rFont val="Arial"/>
        <family val="0"/>
        <charset val="1"/>
      </rPr>
      <t xml:space="preserve">The</t>
    </r>
    <r>
      <rPr>
        <sz val="10"/>
        <rFont val="WenQuanYi Zen Hei"/>
        <family val="2"/>
      </rPr>
      <t xml:space="preserve">건강한내</t>
    </r>
    <r>
      <rPr>
        <sz val="10"/>
        <rFont val="Arial"/>
        <family val="0"/>
        <charset val="1"/>
      </rPr>
      <t xml:space="preserve">Mom</t>
    </r>
    <r>
      <rPr>
        <sz val="10"/>
        <rFont val="WenQuanYi Zen Hei"/>
        <family val="2"/>
      </rPr>
      <t xml:space="preserve">대로</t>
    </r>
    <r>
      <rPr>
        <sz val="10"/>
        <rFont val="Arial"/>
        <family val="0"/>
        <charset val="1"/>
      </rPr>
      <t xml:space="preserve">5.10.5</t>
    </r>
  </si>
  <si>
    <r>
      <rPr>
        <sz val="10"/>
        <rFont val="WenQuanYi Zen Hei"/>
        <family val="2"/>
      </rPr>
      <t xml:space="preserve">건맘</t>
    </r>
    <r>
      <rPr>
        <sz val="10"/>
        <rFont val="Arial"/>
        <family val="0"/>
        <charset val="1"/>
      </rPr>
      <t xml:space="preserve">44</t>
    </r>
  </si>
  <si>
    <r>
      <rPr>
        <sz val="10"/>
        <rFont val="WenQuanYi Zen Hei"/>
        <family val="2"/>
      </rPr>
      <t xml:space="preserve">건맘</t>
    </r>
    <r>
      <rPr>
        <sz val="10"/>
        <rFont val="Arial"/>
        <family val="0"/>
        <charset val="1"/>
      </rPr>
      <t xml:space="preserve">153</t>
    </r>
  </si>
  <si>
    <r>
      <rPr>
        <sz val="10"/>
        <rFont val="WenQuanYi Zen Hei"/>
        <family val="2"/>
      </rPr>
      <t xml:space="preserve">건맘</t>
    </r>
    <r>
      <rPr>
        <sz val="10"/>
        <rFont val="Arial"/>
        <family val="0"/>
        <charset val="1"/>
      </rPr>
      <t xml:space="preserve">147</t>
    </r>
  </si>
  <si>
    <r>
      <rPr>
        <sz val="10"/>
        <rFont val="Arial"/>
        <family val="0"/>
        <charset val="1"/>
      </rPr>
      <t xml:space="preserve">The</t>
    </r>
    <r>
      <rPr>
        <sz val="10"/>
        <rFont val="WenQuanYi Zen Hei"/>
        <family val="2"/>
      </rPr>
      <t xml:space="preserve">좋은케어프리</t>
    </r>
  </si>
  <si>
    <r>
      <rPr>
        <sz val="10"/>
        <rFont val="WenQuanYi Zen Hei"/>
        <family val="2"/>
      </rPr>
      <t xml:space="preserve">갱신형상해</t>
    </r>
    <r>
      <rPr>
        <sz val="10"/>
        <rFont val="Arial"/>
        <family val="0"/>
        <charset val="1"/>
      </rPr>
      <t xml:space="preserve">1-5</t>
    </r>
    <r>
      <rPr>
        <sz val="10"/>
        <rFont val="WenQuanYi Zen Hei"/>
        <family val="2"/>
      </rPr>
      <t xml:space="preserve">종수술비</t>
    </r>
    <r>
      <rPr>
        <sz val="10"/>
        <rFont val="Arial"/>
        <family val="0"/>
        <charset val="1"/>
      </rPr>
      <t xml:space="preserve">(plus)(</t>
    </r>
    <r>
      <rPr>
        <sz val="10"/>
        <rFont val="WenQuanYi Zen Hei"/>
        <family val="2"/>
      </rPr>
      <t xml:space="preserve">연간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회이상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</si>
  <si>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좋케</t>
    </r>
    <r>
      <rPr>
        <sz val="10"/>
        <rFont val="Arial"/>
        <family val="0"/>
        <charset val="1"/>
      </rPr>
      <t xml:space="preserve">44</t>
    </r>
  </si>
  <si>
    <r>
      <rPr>
        <sz val="10"/>
        <rFont val="WenQuanYi Zen Hei"/>
        <family val="2"/>
      </rPr>
      <t xml:space="preserve">갱신형수술비Ⅱ</t>
    </r>
    <r>
      <rPr>
        <sz val="10"/>
        <rFont val="Arial"/>
        <family val="0"/>
        <charset val="1"/>
      </rPr>
      <t xml:space="preserve">(1-5</t>
    </r>
    <r>
      <rPr>
        <sz val="10"/>
        <rFont val="WenQuanYi Zen Hei"/>
        <family val="2"/>
      </rPr>
      <t xml:space="preserve">종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</si>
  <si>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좋케</t>
    </r>
    <r>
      <rPr>
        <sz val="10"/>
        <rFont val="Arial"/>
        <family val="0"/>
        <charset val="1"/>
      </rPr>
      <t xml:space="preserve">186</t>
    </r>
  </si>
  <si>
    <r>
      <rPr>
        <sz val="10"/>
        <rFont val="WenQuanYi Zen Hei"/>
        <family val="2"/>
      </rPr>
      <t xml:space="preserve">갱신형질병</t>
    </r>
    <r>
      <rPr>
        <sz val="10"/>
        <rFont val="Arial"/>
        <family val="0"/>
        <charset val="1"/>
      </rPr>
      <t xml:space="preserve">1-5</t>
    </r>
    <r>
      <rPr>
        <sz val="10"/>
        <rFont val="WenQuanYi Zen Hei"/>
        <family val="2"/>
      </rPr>
      <t xml:space="preserve">종수술비</t>
    </r>
    <r>
      <rPr>
        <sz val="10"/>
        <rFont val="Arial"/>
        <family val="0"/>
        <charset val="1"/>
      </rPr>
      <t xml:space="preserve">(plus)(</t>
    </r>
    <r>
      <rPr>
        <sz val="10"/>
        <rFont val="WenQuanYi Zen Hei"/>
        <family val="2"/>
      </rPr>
      <t xml:space="preserve">연간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회이상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</si>
  <si>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좋케</t>
    </r>
    <r>
      <rPr>
        <sz val="10"/>
        <rFont val="Arial"/>
        <family val="0"/>
        <charset val="1"/>
      </rPr>
      <t xml:space="preserve">181</t>
    </r>
  </si>
  <si>
    <r>
      <rPr>
        <sz val="10"/>
        <rFont val="WenQuanYi Zen Hei"/>
        <family val="2"/>
      </rPr>
      <t xml:space="preserve">간편</t>
    </r>
    <r>
      <rPr>
        <sz val="10"/>
        <rFont val="Arial"/>
        <family val="0"/>
        <charset val="1"/>
      </rPr>
      <t xml:space="preserve">31</t>
    </r>
  </si>
  <si>
    <r>
      <rPr>
        <sz val="10"/>
        <rFont val="WenQuanYi Zen Hei"/>
        <family val="2"/>
      </rPr>
      <t xml:space="preserve">간</t>
    </r>
    <r>
      <rPr>
        <sz val="10"/>
        <rFont val="Arial"/>
        <family val="0"/>
        <charset val="1"/>
      </rPr>
      <t xml:space="preserve">31124</t>
    </r>
  </si>
  <si>
    <r>
      <rPr>
        <sz val="10"/>
        <rFont val="WenQuanYi Zen Hei"/>
        <family val="2"/>
      </rPr>
      <t xml:space="preserve">내</t>
    </r>
    <r>
      <rPr>
        <sz val="10"/>
        <rFont val="Arial"/>
        <family val="0"/>
        <charset val="1"/>
      </rPr>
      <t xml:space="preserve">Mom</t>
    </r>
    <r>
      <rPr>
        <sz val="10"/>
        <rFont val="WenQuanYi Zen Hei"/>
        <family val="2"/>
      </rPr>
      <t xml:space="preserve">같은어린이</t>
    </r>
  </si>
  <si>
    <r>
      <rPr>
        <sz val="10"/>
        <rFont val="WenQuanYi Zen Hei"/>
        <family val="2"/>
      </rPr>
      <t xml:space="preserve">아</t>
    </r>
    <r>
      <rPr>
        <sz val="10"/>
        <rFont val="Arial"/>
        <family val="0"/>
        <charset val="1"/>
      </rPr>
      <t xml:space="preserve">178</t>
    </r>
  </si>
  <si>
    <r>
      <rPr>
        <sz val="10"/>
        <rFont val="WenQuanYi Zen Hei"/>
        <family val="2"/>
      </rPr>
      <t xml:space="preserve">아</t>
    </r>
    <r>
      <rPr>
        <sz val="10"/>
        <rFont val="Arial"/>
        <family val="0"/>
        <charset val="1"/>
      </rPr>
      <t xml:space="preserve">42</t>
    </r>
  </si>
  <si>
    <r>
      <rPr>
        <sz val="10"/>
        <rFont val="WenQuanYi Zen Hei"/>
        <family val="2"/>
      </rPr>
      <t xml:space="preserve">아</t>
    </r>
    <r>
      <rPr>
        <sz val="10"/>
        <rFont val="Arial"/>
        <family val="0"/>
        <charset val="1"/>
      </rPr>
      <t xml:space="preserve">169</t>
    </r>
  </si>
  <si>
    <r>
      <rPr>
        <sz val="10"/>
        <rFont val="WenQuanYi Zen Hei"/>
        <family val="2"/>
      </rPr>
      <t xml:space="preserve">내</t>
    </r>
    <r>
      <rPr>
        <sz val="10"/>
        <rFont val="Arial"/>
        <family val="0"/>
        <charset val="1"/>
      </rPr>
      <t xml:space="preserve">Mom</t>
    </r>
    <r>
      <rPr>
        <sz val="10"/>
        <rFont val="WenQuanYi Zen Hei"/>
        <family val="2"/>
      </rPr>
      <t xml:space="preserve">대로</t>
    </r>
  </si>
  <si>
    <r>
      <rPr>
        <sz val="10"/>
        <rFont val="WenQuanYi Zen Hei"/>
        <family val="2"/>
      </rPr>
      <t xml:space="preserve">맘</t>
    </r>
    <r>
      <rPr>
        <sz val="10"/>
        <rFont val="Arial"/>
        <family val="0"/>
        <charset val="1"/>
      </rPr>
      <t xml:space="preserve">163</t>
    </r>
  </si>
  <si>
    <r>
      <rPr>
        <sz val="10"/>
        <rFont val="WenQuanYi Zen Hei"/>
        <family val="2"/>
      </rPr>
      <t xml:space="preserve">맘</t>
    </r>
    <r>
      <rPr>
        <sz val="10"/>
        <rFont val="Arial"/>
        <family val="0"/>
        <charset val="1"/>
      </rPr>
      <t xml:space="preserve">37</t>
    </r>
  </si>
  <si>
    <r>
      <rPr>
        <sz val="10"/>
        <rFont val="WenQuanYi Zen Hei"/>
        <family val="2"/>
      </rPr>
      <t xml:space="preserve">맘</t>
    </r>
    <r>
      <rPr>
        <sz val="10"/>
        <rFont val="Arial"/>
        <family val="0"/>
        <charset val="1"/>
      </rPr>
      <t xml:space="preserve">154</t>
    </r>
  </si>
  <si>
    <t xml:space="preserve">케어프리</t>
  </si>
  <si>
    <r>
      <rPr>
        <sz val="10"/>
        <rFont val="WenQuanYi Zen Hei"/>
        <family val="2"/>
      </rPr>
      <t xml:space="preserve">갱신형 수술비Ⅱ</t>
    </r>
    <r>
      <rPr>
        <sz val="10"/>
        <rFont val="Arial"/>
        <family val="0"/>
        <charset val="1"/>
      </rPr>
      <t xml:space="preserve">(1-5</t>
    </r>
    <r>
      <rPr>
        <sz val="10"/>
        <rFont val="WenQuanYi Zen Hei"/>
        <family val="2"/>
      </rPr>
      <t xml:space="preserve">종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</si>
  <si>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케</t>
    </r>
    <r>
      <rPr>
        <sz val="10"/>
        <rFont val="Arial"/>
        <family val="0"/>
        <charset val="1"/>
      </rPr>
      <t xml:space="preserve">312</t>
    </r>
  </si>
  <si>
    <t xml:space="preserve">영업지원도구</t>
  </si>
  <si>
    <r>
      <rPr>
        <sz val="10"/>
        <rFont val="WenQuanYi Zen Hei"/>
        <family val="2"/>
      </rPr>
      <t xml:space="preserve">상해 </t>
    </r>
    <r>
      <rPr>
        <sz val="10"/>
        <rFont val="Arial"/>
        <family val="0"/>
        <charset val="1"/>
      </rPr>
      <t xml:space="preserve">1-5</t>
    </r>
    <r>
      <rPr>
        <sz val="10"/>
        <rFont val="WenQuanYi Zen Hei"/>
        <family val="2"/>
      </rPr>
      <t xml:space="preserve">종수술비</t>
    </r>
    <r>
      <rPr>
        <sz val="10"/>
        <rFont val="Arial"/>
        <family val="0"/>
        <charset val="1"/>
      </rPr>
      <t xml:space="preserve">(plus)(</t>
    </r>
    <r>
      <rPr>
        <sz val="10"/>
        <rFont val="WenQuanYi Zen Hei"/>
        <family val="2"/>
      </rPr>
      <t xml:space="preserve">연간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회이상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</si>
  <si>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케</t>
    </r>
    <r>
      <rPr>
        <sz val="10"/>
        <rFont val="Arial"/>
        <family val="0"/>
        <charset val="1"/>
      </rPr>
      <t xml:space="preserve">397</t>
    </r>
  </si>
  <si>
    <r>
      <rPr>
        <sz val="10"/>
        <rFont val="WenQuanYi Zen Hei"/>
        <family val="2"/>
      </rPr>
      <t xml:space="preserve">케</t>
    </r>
    <r>
      <rPr>
        <sz val="10"/>
        <rFont val="Arial"/>
        <family val="0"/>
        <charset val="1"/>
      </rPr>
      <t xml:space="preserve">311</t>
    </r>
  </si>
  <si>
    <r>
      <rPr>
        <sz val="10"/>
        <rFont val="WenQuanYi Zen Hei"/>
        <family val="2"/>
      </rPr>
      <t xml:space="preserve">질병 </t>
    </r>
    <r>
      <rPr>
        <sz val="10"/>
        <rFont val="Arial"/>
        <family val="0"/>
        <charset val="1"/>
      </rPr>
      <t xml:space="preserve">1-5</t>
    </r>
    <r>
      <rPr>
        <sz val="10"/>
        <rFont val="WenQuanYi Zen Hei"/>
        <family val="2"/>
      </rPr>
      <t xml:space="preserve">종수술비</t>
    </r>
    <r>
      <rPr>
        <sz val="10"/>
        <rFont val="Arial"/>
        <family val="0"/>
        <charset val="1"/>
      </rPr>
      <t xml:space="preserve">(plus)(</t>
    </r>
    <r>
      <rPr>
        <sz val="10"/>
        <rFont val="WenQuanYi Zen Hei"/>
        <family val="2"/>
      </rPr>
      <t xml:space="preserve">연간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회이상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</si>
  <si>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케</t>
    </r>
    <r>
      <rPr>
        <sz val="10"/>
        <rFont val="Arial"/>
        <family val="0"/>
        <charset val="1"/>
      </rPr>
      <t xml:space="preserve">400</t>
    </r>
  </si>
  <si>
    <t xml:space="preserve">통합간편</t>
  </si>
  <si>
    <r>
      <rPr>
        <sz val="10"/>
        <rFont val="WenQuanYi Zen Hei"/>
        <family val="2"/>
      </rPr>
      <t xml:space="preserve">통</t>
    </r>
    <r>
      <rPr>
        <sz val="10"/>
        <rFont val="Arial"/>
        <family val="0"/>
        <charset val="1"/>
      </rPr>
      <t xml:space="preserve">271</t>
    </r>
  </si>
  <si>
    <r>
      <rPr>
        <sz val="10"/>
        <rFont val="WenQuanYi Zen Hei"/>
        <family val="2"/>
      </rPr>
      <t xml:space="preserve">통</t>
    </r>
    <r>
      <rPr>
        <sz val="10"/>
        <rFont val="Arial"/>
        <family val="0"/>
        <charset val="1"/>
      </rPr>
      <t xml:space="preserve">272</t>
    </r>
  </si>
  <si>
    <t xml:space="preserve">운전자</t>
  </si>
  <si>
    <r>
      <rPr>
        <sz val="10"/>
        <rFont val="WenQuanYi Zen Hei"/>
        <family val="2"/>
      </rPr>
      <t xml:space="preserve">수술비</t>
    </r>
    <r>
      <rPr>
        <sz val="10"/>
        <rFont val="Arial"/>
        <family val="0"/>
        <charset val="1"/>
      </rPr>
      <t xml:space="preserve">(1-7</t>
    </r>
    <r>
      <rPr>
        <sz val="10"/>
        <rFont val="WenQuanYi Zen Hei"/>
        <family val="2"/>
      </rPr>
      <t xml:space="preserve">종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연간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회한</t>
    </r>
    <r>
      <rPr>
        <sz val="10"/>
        <rFont val="Arial"/>
        <family val="0"/>
        <charset val="1"/>
      </rPr>
      <t xml:space="preserve">)[</t>
    </r>
    <r>
      <rPr>
        <sz val="10"/>
        <rFont val="WenQuanYi Zen Hei"/>
        <family val="2"/>
      </rPr>
      <t xml:space="preserve">상해</t>
    </r>
    <r>
      <rPr>
        <sz val="10"/>
        <rFont val="Arial"/>
        <family val="0"/>
        <charset val="1"/>
      </rPr>
      <t xml:space="preserve">]</t>
    </r>
  </si>
  <si>
    <r>
      <rPr>
        <sz val="10"/>
        <rFont val="WenQuanYi Zen Hei"/>
        <family val="2"/>
      </rPr>
      <t xml:space="preserve">운</t>
    </r>
    <r>
      <rPr>
        <sz val="10"/>
        <rFont val="Arial"/>
        <family val="0"/>
        <charset val="1"/>
      </rPr>
      <t xml:space="preserve">61</t>
    </r>
  </si>
  <si>
    <r>
      <rPr>
        <sz val="10"/>
        <rFont val="WenQuanYi Zen Hei"/>
        <family val="2"/>
      </rPr>
      <t xml:space="preserve">갱신형 수술비 </t>
    </r>
    <r>
      <rPr>
        <sz val="10"/>
        <rFont val="Arial"/>
        <family val="0"/>
        <charset val="1"/>
      </rPr>
      <t xml:space="preserve">(1-7</t>
    </r>
    <r>
      <rPr>
        <sz val="10"/>
        <rFont val="WenQuanYi Zen Hei"/>
        <family val="2"/>
      </rPr>
      <t xml:space="preserve">종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연간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회한</t>
    </r>
    <r>
      <rPr>
        <sz val="10"/>
        <rFont val="Arial"/>
        <family val="0"/>
        <charset val="1"/>
      </rPr>
      <t xml:space="preserve">)[</t>
    </r>
    <r>
      <rPr>
        <sz val="10"/>
        <rFont val="WenQuanYi Zen Hei"/>
        <family val="2"/>
      </rPr>
      <t xml:space="preserve">상해</t>
    </r>
    <r>
      <rPr>
        <sz val="10"/>
        <rFont val="Arial"/>
        <family val="0"/>
        <charset val="1"/>
      </rPr>
      <t xml:space="preserve">]</t>
    </r>
  </si>
  <si>
    <r>
      <rPr>
        <sz val="10"/>
        <rFont val="WenQuanYi Zen Hei"/>
        <family val="2"/>
      </rPr>
      <t xml:space="preserve">케</t>
    </r>
    <r>
      <rPr>
        <sz val="10"/>
        <rFont val="Arial"/>
        <family val="0"/>
        <charset val="1"/>
      </rPr>
      <t xml:space="preserve">3</t>
    </r>
  </si>
  <si>
    <r>
      <rPr>
        <sz val="10"/>
        <rFont val="WenQuanYi Zen Hei"/>
        <family val="2"/>
      </rPr>
      <t xml:space="preserve">갱신형 수술비</t>
    </r>
    <r>
      <rPr>
        <sz val="10"/>
        <rFont val="Arial"/>
        <family val="0"/>
        <charset val="1"/>
      </rPr>
      <t xml:space="preserve">(1-7</t>
    </r>
    <r>
      <rPr>
        <sz val="10"/>
        <rFont val="WenQuanYi Zen Hei"/>
        <family val="2"/>
      </rPr>
      <t xml:space="preserve">종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연간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회한</t>
    </r>
    <r>
      <rPr>
        <sz val="10"/>
        <rFont val="Arial"/>
        <family val="0"/>
        <charset val="1"/>
      </rPr>
      <t xml:space="preserve">) [</t>
    </r>
    <r>
      <rPr>
        <sz val="10"/>
        <rFont val="WenQuanYi Zen Hei"/>
        <family val="2"/>
      </rPr>
      <t xml:space="preserve">질병</t>
    </r>
    <r>
      <rPr>
        <sz val="10"/>
        <rFont val="Arial"/>
        <family val="0"/>
        <charset val="1"/>
      </rPr>
      <t xml:space="preserve">]</t>
    </r>
  </si>
  <si>
    <r>
      <rPr>
        <sz val="10"/>
        <rFont val="WenQuanYi Zen Hei"/>
        <family val="2"/>
      </rPr>
      <t xml:space="preserve">케</t>
    </r>
    <r>
      <rPr>
        <sz val="10"/>
        <rFont val="Arial"/>
        <family val="0"/>
        <charset val="1"/>
      </rPr>
      <t xml:space="preserve">95</t>
    </r>
  </si>
  <si>
    <r>
      <rPr>
        <sz val="10"/>
        <rFont val="WenQuanYi Zen Hei"/>
        <family val="2"/>
      </rPr>
      <t xml:space="preserve">케</t>
    </r>
    <r>
      <rPr>
        <sz val="10"/>
        <rFont val="Arial"/>
        <family val="0"/>
        <charset val="1"/>
      </rPr>
      <t xml:space="preserve">2</t>
    </r>
  </si>
  <si>
    <r>
      <rPr>
        <sz val="10"/>
        <rFont val="WenQuanYi Zen Hei"/>
        <family val="2"/>
      </rPr>
      <t xml:space="preserve">수술비</t>
    </r>
    <r>
      <rPr>
        <sz val="10"/>
        <rFont val="Arial"/>
        <family val="0"/>
        <charset val="1"/>
      </rPr>
      <t xml:space="preserve">(1-7</t>
    </r>
    <r>
      <rPr>
        <sz val="10"/>
        <rFont val="WenQuanYi Zen Hei"/>
        <family val="2"/>
      </rPr>
      <t xml:space="preserve">종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연간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회한</t>
    </r>
    <r>
      <rPr>
        <sz val="10"/>
        <rFont val="Arial"/>
        <family val="0"/>
        <charset val="1"/>
      </rPr>
      <t xml:space="preserve">)[</t>
    </r>
    <r>
      <rPr>
        <sz val="10"/>
        <rFont val="WenQuanYi Zen Hei"/>
        <family val="2"/>
      </rPr>
      <t xml:space="preserve">질병</t>
    </r>
    <r>
      <rPr>
        <sz val="10"/>
        <rFont val="Arial"/>
        <family val="0"/>
        <charset val="1"/>
      </rPr>
      <t xml:space="preserve">]</t>
    </r>
  </si>
  <si>
    <r>
      <rPr>
        <sz val="10"/>
        <rFont val="WenQuanYi Zen Hei"/>
        <family val="2"/>
      </rPr>
      <t xml:space="preserve">케</t>
    </r>
    <r>
      <rPr>
        <sz val="10"/>
        <rFont val="Arial"/>
        <family val="0"/>
        <charset val="1"/>
      </rPr>
      <t xml:space="preserve">68</t>
    </r>
  </si>
  <si>
    <r>
      <rPr>
        <sz val="10"/>
        <rFont val="WenQuanYi Zen Hei"/>
        <family val="2"/>
      </rPr>
      <t xml:space="preserve">통</t>
    </r>
    <r>
      <rPr>
        <sz val="10"/>
        <rFont val="Arial"/>
        <family val="0"/>
        <charset val="1"/>
      </rPr>
      <t xml:space="preserve">2</t>
    </r>
  </si>
  <si>
    <r>
      <rPr>
        <sz val="10"/>
        <rFont val="WenQuanYi Zen Hei"/>
        <family val="2"/>
      </rPr>
      <t xml:space="preserve">통</t>
    </r>
    <r>
      <rPr>
        <sz val="10"/>
        <rFont val="Arial"/>
        <family val="0"/>
        <charset val="1"/>
      </rPr>
      <t xml:space="preserve">74</t>
    </r>
  </si>
  <si>
    <r>
      <rPr>
        <sz val="10"/>
        <rFont val="Arial"/>
        <family val="0"/>
        <charset val="1"/>
      </rPr>
      <t xml:space="preserve">130</t>
    </r>
    <r>
      <rPr>
        <sz val="10"/>
        <rFont val="WenQuanYi Zen Hei"/>
        <family val="2"/>
      </rPr>
      <t xml:space="preserve">대</t>
    </r>
  </si>
  <si>
    <r>
      <rPr>
        <sz val="10"/>
        <rFont val="Arial"/>
        <family val="0"/>
        <charset val="1"/>
      </rPr>
      <t xml:space="preserve">130</t>
    </r>
    <r>
      <rPr>
        <sz val="10"/>
        <rFont val="WenQuanYi Zen Hei"/>
        <family val="2"/>
      </rPr>
      <t xml:space="preserve">대질병수술비</t>
    </r>
  </si>
  <si>
    <r>
      <rPr>
        <sz val="10"/>
        <rFont val="WenQuanYi Zen Hei"/>
        <family val="2"/>
      </rPr>
      <t xml:space="preserve">가벼</t>
    </r>
    <r>
      <rPr>
        <sz val="10"/>
        <rFont val="Arial"/>
        <family val="0"/>
        <charset val="1"/>
      </rPr>
      <t xml:space="preserve">123</t>
    </r>
  </si>
  <si>
    <r>
      <rPr>
        <sz val="10"/>
        <rFont val="WenQuanYi Zen Hei"/>
        <family val="2"/>
      </rPr>
      <t xml:space="preserve">갱신형</t>
    </r>
    <r>
      <rPr>
        <sz val="10"/>
        <rFont val="Arial"/>
        <family val="0"/>
        <charset val="1"/>
      </rPr>
      <t xml:space="preserve">130</t>
    </r>
    <r>
      <rPr>
        <sz val="10"/>
        <rFont val="WenQuanYi Zen Hei"/>
        <family val="2"/>
      </rPr>
      <t xml:space="preserve">대질병수술비</t>
    </r>
  </si>
  <si>
    <r>
      <rPr>
        <sz val="10"/>
        <rFont val="WenQuanYi Zen Hei"/>
        <family val="2"/>
      </rPr>
      <t xml:space="preserve">간</t>
    </r>
    <r>
      <rPr>
        <sz val="10"/>
        <rFont val="Arial"/>
        <family val="0"/>
        <charset val="1"/>
      </rPr>
      <t xml:space="preserve">31104</t>
    </r>
  </si>
  <si>
    <r>
      <rPr>
        <sz val="10"/>
        <rFont val="WenQuanYi Zen Hei"/>
        <family val="2"/>
      </rPr>
      <t xml:space="preserve">통</t>
    </r>
    <r>
      <rPr>
        <sz val="10"/>
        <rFont val="Arial"/>
        <family val="0"/>
        <charset val="1"/>
      </rPr>
      <t xml:space="preserve">123</t>
    </r>
  </si>
  <si>
    <r>
      <rPr>
        <sz val="10"/>
        <rFont val="Arial"/>
        <family val="0"/>
        <charset val="1"/>
      </rPr>
      <t xml:space="preserve">131</t>
    </r>
    <r>
      <rPr>
        <sz val="10"/>
        <rFont val="WenQuanYi Zen Hei"/>
        <family val="2"/>
      </rPr>
      <t xml:space="preserve">대</t>
    </r>
  </si>
  <si>
    <r>
      <rPr>
        <sz val="10"/>
        <rFont val="Arial"/>
        <family val="0"/>
        <charset val="1"/>
      </rPr>
      <t xml:space="preserve">131</t>
    </r>
    <r>
      <rPr>
        <sz val="10"/>
        <rFont val="WenQuanYi Zen Hei"/>
        <family val="2"/>
      </rPr>
      <t xml:space="preserve">대질병수술비</t>
    </r>
  </si>
  <si>
    <r>
      <rPr>
        <sz val="10"/>
        <rFont val="WenQuanYi Zen Hei"/>
        <family val="2"/>
      </rPr>
      <t xml:space="preserve">건강</t>
    </r>
    <r>
      <rPr>
        <sz val="10"/>
        <rFont val="Arial"/>
        <family val="0"/>
        <charset val="1"/>
      </rPr>
      <t xml:space="preserve">122</t>
    </r>
  </si>
  <si>
    <r>
      <rPr>
        <sz val="10"/>
        <rFont val="WenQuanYi Zen Hei"/>
        <family val="2"/>
      </rPr>
      <t xml:space="preserve">건맘</t>
    </r>
    <r>
      <rPr>
        <sz val="10"/>
        <rFont val="Arial"/>
        <family val="0"/>
        <charset val="1"/>
      </rPr>
      <t xml:space="preserve">97</t>
    </r>
  </si>
  <si>
    <r>
      <rPr>
        <sz val="10"/>
        <rFont val="Arial"/>
        <family val="0"/>
        <charset val="1"/>
      </rPr>
      <t xml:space="preserve">The</t>
    </r>
    <r>
      <rPr>
        <sz val="10"/>
        <rFont val="WenQuanYi Zen Hei"/>
        <family val="2"/>
      </rPr>
      <t xml:space="preserve">좋은내</t>
    </r>
    <r>
      <rPr>
        <sz val="10"/>
        <rFont val="Arial"/>
        <family val="0"/>
        <charset val="1"/>
      </rPr>
      <t xml:space="preserve">Mom</t>
    </r>
    <r>
      <rPr>
        <sz val="10"/>
        <rFont val="WenQuanYi Zen Hei"/>
        <family val="2"/>
      </rPr>
      <t xml:space="preserve">대로</t>
    </r>
  </si>
  <si>
    <r>
      <rPr>
        <sz val="10"/>
        <rFont val="WenQuanYi Zen Hei"/>
        <family val="2"/>
      </rPr>
      <t xml:space="preserve">갱신형</t>
    </r>
    <r>
      <rPr>
        <sz val="10"/>
        <rFont val="Arial"/>
        <family val="0"/>
        <charset val="1"/>
      </rPr>
      <t xml:space="preserve">131</t>
    </r>
    <r>
      <rPr>
        <sz val="10"/>
        <rFont val="WenQuanYi Zen Hei"/>
        <family val="2"/>
      </rPr>
      <t xml:space="preserve">대질병수술비</t>
    </r>
  </si>
  <si>
    <r>
      <rPr>
        <sz val="10"/>
        <rFont val="WenQuanYi Zen Hei"/>
        <family val="2"/>
      </rPr>
      <t xml:space="preserve">좋맘</t>
    </r>
    <r>
      <rPr>
        <sz val="10"/>
        <rFont val="Arial"/>
        <family val="0"/>
        <charset val="1"/>
      </rPr>
      <t xml:space="preserve">35</t>
    </r>
  </si>
  <si>
    <r>
      <rPr>
        <sz val="10"/>
        <rFont val="WenQuanYi Zen Hei"/>
        <family val="2"/>
      </rPr>
      <t xml:space="preserve">좋케</t>
    </r>
    <r>
      <rPr>
        <sz val="10"/>
        <rFont val="Arial"/>
        <family val="0"/>
        <charset val="1"/>
      </rPr>
      <t xml:space="preserve">82</t>
    </r>
  </si>
  <si>
    <r>
      <rPr>
        <sz val="10"/>
        <rFont val="WenQuanYi Zen Hei"/>
        <family val="2"/>
      </rPr>
      <t xml:space="preserve">아</t>
    </r>
    <r>
      <rPr>
        <sz val="10"/>
        <rFont val="Arial"/>
        <family val="0"/>
        <charset val="1"/>
      </rPr>
      <t xml:space="preserve">158</t>
    </r>
  </si>
  <si>
    <r>
      <rPr>
        <sz val="10"/>
        <rFont val="WenQuanYi Zen Hei"/>
        <family val="2"/>
      </rPr>
      <t xml:space="preserve">맘</t>
    </r>
    <r>
      <rPr>
        <sz val="10"/>
        <rFont val="Arial"/>
        <family val="0"/>
        <charset val="1"/>
      </rPr>
      <t xml:space="preserve">151</t>
    </r>
  </si>
  <si>
    <r>
      <rPr>
        <sz val="10"/>
        <rFont val="WenQuanYi Zen Hei"/>
        <family val="2"/>
      </rPr>
      <t xml:space="preserve">케</t>
    </r>
    <r>
      <rPr>
        <sz val="10"/>
        <rFont val="Arial"/>
        <family val="0"/>
        <charset val="1"/>
      </rPr>
      <t xml:space="preserve">219</t>
    </r>
  </si>
  <si>
    <r>
      <rPr>
        <sz val="10"/>
        <rFont val="WenQuanYi Zen Hei"/>
        <family val="2"/>
      </rPr>
      <t xml:space="preserve">갱신형 </t>
    </r>
    <r>
      <rPr>
        <sz val="10"/>
        <rFont val="Arial"/>
        <family val="0"/>
        <charset val="1"/>
      </rPr>
      <t xml:space="preserve">131</t>
    </r>
    <r>
      <rPr>
        <sz val="10"/>
        <rFont val="WenQuanYi Zen Hei"/>
        <family val="2"/>
      </rPr>
      <t xml:space="preserve">대질병수술비</t>
    </r>
  </si>
  <si>
    <r>
      <rPr>
        <sz val="10"/>
        <rFont val="WenQuanYi Zen Hei"/>
        <family val="2"/>
      </rPr>
      <t xml:space="preserve">케</t>
    </r>
    <r>
      <rPr>
        <sz val="10"/>
        <rFont val="Arial"/>
        <family val="0"/>
        <charset val="1"/>
      </rPr>
      <t xml:space="preserve">220</t>
    </r>
  </si>
  <si>
    <r>
      <rPr>
        <i val="true"/>
        <sz val="10"/>
        <color rgb="FF46536B"/>
        <rFont val="WenQuanYi Zen Hei"/>
        <family val="2"/>
      </rPr>
      <t xml:space="preserve">수술구분별로 이 수술을 받게 되는 대표 질병</t>
    </r>
    <r>
      <rPr>
        <i val="true"/>
        <sz val="10"/>
        <color rgb="FF46536B"/>
        <rFont val="Arial"/>
        <family val="0"/>
        <charset val="1"/>
      </rPr>
      <t xml:space="preserve">(</t>
    </r>
    <r>
      <rPr>
        <i val="true"/>
        <sz val="10"/>
        <color rgb="FF46536B"/>
        <rFont val="WenQuanYi Zen Hei"/>
        <family val="2"/>
      </rPr>
      <t xml:space="preserve">참고용 </t>
    </r>
    <r>
      <rPr>
        <i val="true"/>
        <sz val="10"/>
        <color rgb="FF46536B"/>
        <rFont val="Arial"/>
        <family val="0"/>
        <charset val="1"/>
      </rPr>
      <t xml:space="preserve">· </t>
    </r>
    <r>
      <rPr>
        <i val="true"/>
        <sz val="10"/>
        <color rgb="FF46536B"/>
        <rFont val="WenQuanYi Zen Hei"/>
        <family val="2"/>
      </rPr>
      <t xml:space="preserve">전부가 아님</t>
    </r>
    <r>
      <rPr>
        <i val="true"/>
        <sz val="10"/>
        <color rgb="FF46536B"/>
        <rFont val="Arial"/>
        <family val="0"/>
        <charset val="1"/>
      </rPr>
      <t xml:space="preserve">). 1-7</t>
    </r>
    <r>
      <rPr>
        <i val="true"/>
        <sz val="10"/>
        <color rgb="FF46536B"/>
        <rFont val="WenQuanYi Zen Hei"/>
        <family val="2"/>
      </rPr>
      <t xml:space="preserve">종은 질병이 아니라 「급여 수술코드</t>
    </r>
    <r>
      <rPr>
        <i val="true"/>
        <sz val="10"/>
        <color rgb="FF46536B"/>
        <rFont val="Arial"/>
        <family val="0"/>
        <charset val="1"/>
      </rPr>
      <t xml:space="preserve">(ADRG)</t>
    </r>
    <r>
      <rPr>
        <i val="true"/>
        <sz val="10"/>
        <color rgb="FF46536B"/>
        <rFont val="WenQuanYi Zen Hei"/>
        <family val="2"/>
      </rPr>
      <t xml:space="preserve">」로 지급 — 같은 질병이라도 수술코드가 표에 있어야 함</t>
    </r>
    <r>
      <rPr>
        <i val="true"/>
        <sz val="10"/>
        <color rgb="FF46536B"/>
        <rFont val="Arial"/>
        <family val="0"/>
        <charset val="1"/>
      </rPr>
      <t xml:space="preserve">. 131</t>
    </r>
    <r>
      <rPr>
        <i val="true"/>
        <sz val="10"/>
        <color rgb="FF46536B"/>
        <rFont val="WenQuanYi Zen Hei"/>
        <family val="2"/>
      </rPr>
      <t xml:space="preserve">대</t>
    </r>
    <r>
      <rPr>
        <i val="true"/>
        <sz val="10"/>
        <color rgb="FF46536B"/>
        <rFont val="Arial"/>
        <family val="0"/>
        <charset val="1"/>
      </rPr>
      <t xml:space="preserve">/130</t>
    </r>
    <r>
      <rPr>
        <i val="true"/>
        <sz val="10"/>
        <color rgb="FF46536B"/>
        <rFont val="WenQuanYi Zen Hei"/>
        <family val="2"/>
      </rPr>
      <t xml:space="preserve">대 칸 </t>
    </r>
    <r>
      <rPr>
        <i val="true"/>
        <sz val="10"/>
        <color rgb="FF46536B"/>
        <rFont val="Arial"/>
        <family val="0"/>
        <charset val="1"/>
      </rPr>
      <t xml:space="preserve">: </t>
    </r>
    <r>
      <rPr>
        <i val="true"/>
        <sz val="10"/>
        <color rgb="FF46536B"/>
        <rFont val="WenQuanYi Zen Hei"/>
        <family val="2"/>
      </rPr>
      <t xml:space="preserve">그 질병으로 수술하면 </t>
    </r>
    <r>
      <rPr>
        <i val="true"/>
        <sz val="10"/>
        <color rgb="FF46536B"/>
        <rFont val="Arial"/>
        <family val="0"/>
        <charset val="1"/>
      </rPr>
      <t xml:space="preserve">131</t>
    </r>
    <r>
      <rPr>
        <i val="true"/>
        <sz val="10"/>
        <color rgb="FF46536B"/>
        <rFont val="WenQuanYi Zen Hei"/>
        <family val="2"/>
      </rPr>
      <t xml:space="preserve">대 </t>
    </r>
    <r>
      <rPr>
        <i val="true"/>
        <sz val="10"/>
        <color rgb="FF46536B"/>
        <rFont val="Arial"/>
        <family val="0"/>
        <charset val="1"/>
      </rPr>
      <t xml:space="preserve">· 130</t>
    </r>
    <r>
      <rPr>
        <i val="true"/>
        <sz val="10"/>
        <color rgb="FF46536B"/>
        <rFont val="WenQuanYi Zen Hei"/>
        <family val="2"/>
      </rPr>
      <t xml:space="preserve">대 어느 보장군에도 해당하는지</t>
    </r>
    <r>
      <rPr>
        <i val="true"/>
        <sz val="10"/>
        <color rgb="FF46536B"/>
        <rFont val="Arial"/>
        <family val="0"/>
        <charset val="1"/>
      </rPr>
      <t xml:space="preserve">(</t>
    </r>
    <r>
      <rPr>
        <i val="true"/>
        <sz val="10"/>
        <color rgb="FF46536B"/>
        <rFont val="WenQuanYi Zen Hei"/>
        <family val="2"/>
      </rPr>
      <t xml:space="preserve">특약 마스터 기준</t>
    </r>
    <r>
      <rPr>
        <i val="true"/>
        <sz val="10"/>
        <color rgb="FF46536B"/>
        <rFont val="Arial"/>
        <family val="0"/>
        <charset val="1"/>
      </rPr>
      <t xml:space="preserve">). </t>
    </r>
    <r>
      <rPr>
        <i val="true"/>
        <sz val="10"/>
        <color rgb="FF46536B"/>
        <rFont val="WenQuanYi Zen Hei"/>
        <family val="2"/>
      </rPr>
      <t xml:space="preserve">「약관상 지급 판단」 </t>
    </r>
    <r>
      <rPr>
        <i val="true"/>
        <sz val="10"/>
        <color rgb="FF46536B"/>
        <rFont val="Arial"/>
        <family val="0"/>
        <charset val="1"/>
      </rPr>
      <t xml:space="preserve">: 1-7</t>
    </r>
    <r>
      <rPr>
        <i val="true"/>
        <sz val="10"/>
        <color rgb="FF46536B"/>
        <rFont val="WenQuanYi Zen Hei"/>
        <family val="2"/>
      </rPr>
      <t xml:space="preserve">종</t>
    </r>
    <r>
      <rPr>
        <i val="true"/>
        <sz val="10"/>
        <color rgb="FF46536B"/>
        <rFont val="Arial"/>
        <family val="0"/>
        <charset val="1"/>
      </rPr>
      <t xml:space="preserve">[</t>
    </r>
    <r>
      <rPr>
        <i val="true"/>
        <sz val="10"/>
        <color rgb="FF46536B"/>
        <rFont val="WenQuanYi Zen Hei"/>
        <family val="2"/>
      </rPr>
      <t xml:space="preserve">질병</t>
    </r>
    <r>
      <rPr>
        <i val="true"/>
        <sz val="10"/>
        <color rgb="FF46536B"/>
        <rFont val="Arial"/>
        <family val="0"/>
        <charset val="1"/>
      </rPr>
      <t xml:space="preserve">]</t>
    </r>
    <r>
      <rPr>
        <i val="true"/>
        <sz val="10"/>
        <color rgb="FF46536B"/>
        <rFont val="WenQuanYi Zen Hei"/>
        <family val="2"/>
      </rPr>
      <t xml:space="preserve">은 선천기형</t>
    </r>
    <r>
      <rPr>
        <i val="true"/>
        <sz val="10"/>
        <color rgb="FF46536B"/>
        <rFont val="Arial"/>
        <family val="0"/>
        <charset val="1"/>
      </rPr>
      <t xml:space="preserve">(Q) · </t>
    </r>
    <r>
      <rPr>
        <i val="true"/>
        <sz val="10"/>
        <color rgb="FF46536B"/>
        <rFont val="WenQuanYi Zen Hei"/>
        <family val="2"/>
      </rPr>
      <t xml:space="preserve">정신</t>
    </r>
    <r>
      <rPr>
        <i val="true"/>
        <sz val="10"/>
        <color rgb="FF46536B"/>
        <rFont val="Arial"/>
        <family val="0"/>
        <charset val="1"/>
      </rPr>
      <t xml:space="preserve">(F04~F99) · </t>
    </r>
    <r>
      <rPr>
        <i val="true"/>
        <sz val="10"/>
        <color rgb="FF46536B"/>
        <rFont val="WenQuanYi Zen Hei"/>
        <family val="2"/>
      </rPr>
      <t xml:space="preserve">치과</t>
    </r>
    <r>
      <rPr>
        <i val="true"/>
        <sz val="10"/>
        <color rgb="FF46536B"/>
        <rFont val="Arial"/>
        <family val="0"/>
        <charset val="1"/>
      </rPr>
      <t xml:space="preserve">(K00~K08) · </t>
    </r>
    <r>
      <rPr>
        <i val="true"/>
        <sz val="10"/>
        <color rgb="FF46536B"/>
        <rFont val="WenQuanYi Zen Hei"/>
        <family val="2"/>
      </rPr>
      <t xml:space="preserve">출생전후기</t>
    </r>
    <r>
      <rPr>
        <i val="true"/>
        <sz val="10"/>
        <color rgb="FF46536B"/>
        <rFont val="Arial"/>
        <family val="0"/>
        <charset val="1"/>
      </rPr>
      <t xml:space="preserve">(P) </t>
    </r>
    <r>
      <rPr>
        <i val="true"/>
        <sz val="10"/>
        <color rgb="FF46536B"/>
        <rFont val="WenQuanYi Zen Hei"/>
        <family val="2"/>
      </rPr>
      <t xml:space="preserve">질병의 수술을 보상하지 않음</t>
    </r>
    <r>
      <rPr>
        <i val="true"/>
        <sz val="10"/>
        <color rgb="FF46536B"/>
        <rFont val="Arial"/>
        <family val="0"/>
        <charset val="1"/>
      </rPr>
      <t xml:space="preserve">(</t>
    </r>
    <r>
      <rPr>
        <i val="true"/>
        <sz val="10"/>
        <color rgb="FF46536B"/>
        <rFont val="WenQuanYi Zen Hei"/>
        <family val="2"/>
      </rPr>
      <t xml:space="preserve">제</t>
    </r>
    <r>
      <rPr>
        <i val="true"/>
        <sz val="10"/>
        <color rgb="FF46536B"/>
        <rFont val="Arial"/>
        <family val="0"/>
        <charset val="1"/>
      </rPr>
      <t xml:space="preserve">4</t>
    </r>
    <r>
      <rPr>
        <i val="true"/>
        <sz val="10"/>
        <color rgb="FF46536B"/>
        <rFont val="WenQuanYi Zen Hei"/>
        <family val="2"/>
      </rPr>
      <t xml:space="preserve">조 ②</t>
    </r>
    <r>
      <rPr>
        <i val="true"/>
        <sz val="10"/>
        <color rgb="FF46536B"/>
        <rFont val="Arial"/>
        <family val="0"/>
        <charset val="1"/>
      </rPr>
      <t xml:space="preserve">), </t>
    </r>
    <r>
      <rPr>
        <i val="true"/>
        <sz val="10"/>
        <color rgb="FF46536B"/>
        <rFont val="WenQuanYi Zen Hei"/>
        <family val="2"/>
      </rPr>
      <t xml:space="preserve">상해는 </t>
    </r>
    <r>
      <rPr>
        <i val="true"/>
        <sz val="10"/>
        <color rgb="FF46536B"/>
        <rFont val="Arial"/>
        <family val="0"/>
        <charset val="1"/>
      </rPr>
      <t xml:space="preserve">[</t>
    </r>
    <r>
      <rPr>
        <i val="true"/>
        <sz val="10"/>
        <color rgb="FF46536B"/>
        <rFont val="WenQuanYi Zen Hei"/>
        <family val="2"/>
      </rPr>
      <t xml:space="preserve">상해</t>
    </r>
    <r>
      <rPr>
        <i val="true"/>
        <sz val="10"/>
        <color rgb="FF46536B"/>
        <rFont val="Arial"/>
        <family val="0"/>
        <charset val="1"/>
      </rPr>
      <t xml:space="preserve">] </t>
    </r>
    <r>
      <rPr>
        <i val="true"/>
        <sz val="10"/>
        <color rgb="FF46536B"/>
        <rFont val="WenQuanYi Zen Hei"/>
        <family val="2"/>
      </rPr>
      <t xml:space="preserve">특약</t>
    </r>
  </si>
  <si>
    <t xml:space="preserve">수술코드</t>
  </si>
  <si>
    <t xml:space="preserve">대표 질병</t>
  </si>
  <si>
    <t xml:space="preserve">약관상 지급 판단</t>
  </si>
  <si>
    <r>
      <rPr>
        <b val="true"/>
        <sz val="11"/>
        <color rgb="FFFFFFFF"/>
        <rFont val="Arial"/>
        <family val="0"/>
        <charset val="1"/>
      </rPr>
      <t xml:space="preserve">WHO ICD-10 </t>
    </r>
    <r>
      <rPr>
        <b val="true"/>
        <sz val="11"/>
        <color rgb="FFFFFFFF"/>
        <rFont val="WenQuanYi Zen Hei"/>
        <family val="2"/>
      </rPr>
      <t xml:space="preserve">공식명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코드 검증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</si>
  <si>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비고</t>
  </si>
  <si>
    <r>
      <rPr>
        <b val="true"/>
        <sz val="11"/>
        <color rgb="FFFFFFFF"/>
        <rFont val="Arial"/>
        <family val="0"/>
        <charset val="1"/>
      </rPr>
      <t xml:space="preserve">131</t>
    </r>
    <r>
      <rPr>
        <b val="true"/>
        <sz val="11"/>
        <color rgb="FFFFFFFF"/>
        <rFont val="WenQuanYi Zen Hei"/>
        <family val="2"/>
      </rPr>
      <t xml:space="preserve">대 해당 보장군</t>
    </r>
  </si>
  <si>
    <r>
      <rPr>
        <b val="true"/>
        <sz val="11"/>
        <color rgb="FFFFFFFF"/>
        <rFont val="Arial"/>
        <family val="0"/>
        <charset val="1"/>
      </rPr>
      <t xml:space="preserve">130</t>
    </r>
    <r>
      <rPr>
        <b val="true"/>
        <sz val="11"/>
        <color rgb="FFFFFFFF"/>
        <rFont val="WenQuanYi Zen Hei"/>
        <family val="2"/>
      </rPr>
      <t xml:space="preserve">대 해당 보장군</t>
    </r>
  </si>
  <si>
    <r>
      <rPr>
        <sz val="10"/>
        <rFont val="WenQuanYi Zen Hei"/>
        <family val="2"/>
      </rPr>
      <t xml:space="preserve">간경변증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기타 및 상세불명의 간경화</t>
    </r>
    <r>
      <rPr>
        <sz val="10"/>
        <rFont val="Arial"/>
        <family val="0"/>
        <charset val="1"/>
      </rPr>
      <t xml:space="preserve">)</t>
    </r>
  </si>
  <si>
    <t xml:space="preserve">K74.6</t>
  </si>
  <si>
    <r>
      <rPr>
        <sz val="10"/>
        <rFont val="WenQuanYi Zen Hei"/>
        <family val="2"/>
      </rPr>
      <t xml:space="preserve">질병 담보 — </t>
    </r>
    <r>
      <rPr>
        <sz val="10"/>
        <rFont val="Arial"/>
        <family val="0"/>
        <charset val="1"/>
      </rPr>
      <t xml:space="preserve">1-7</t>
    </r>
    <r>
      <rPr>
        <sz val="10"/>
        <rFont val="WenQuanYi Zen Hei"/>
        <family val="2"/>
      </rPr>
      <t xml:space="preserve">종</t>
    </r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질병</t>
    </r>
    <r>
      <rPr>
        <sz val="10"/>
        <rFont val="Arial"/>
        <family val="0"/>
        <charset val="1"/>
      </rPr>
      <t xml:space="preserve">]</t>
    </r>
  </si>
  <si>
    <t xml:space="preserve">Other and unspecified cirrhosis of liver</t>
  </si>
  <si>
    <t xml:space="preserve">간세포암종</t>
  </si>
  <si>
    <t xml:space="preserve">C22.0</t>
  </si>
  <si>
    <t xml:space="preserve">Malignant neoplasm: Liver cell carcinoma</t>
  </si>
  <si>
    <t xml:space="preserve">-</t>
  </si>
  <si>
    <t xml:space="preserve">알코올성 간경화</t>
  </si>
  <si>
    <t xml:space="preserve">K70.3</t>
  </si>
  <si>
    <t xml:space="preserve">Alcoholic cirrhosis of liver</t>
  </si>
  <si>
    <t xml:space="preserve">급성 및 아급성 간부전</t>
  </si>
  <si>
    <t xml:space="preserve">K72.0</t>
  </si>
  <si>
    <t xml:space="preserve">Acute and subacute hepatic failure</t>
  </si>
  <si>
    <r>
      <rPr>
        <sz val="10"/>
        <rFont val="WenQuanYi Zen Hei"/>
        <family val="2"/>
      </rPr>
      <t xml:space="preserve">특발성 폐섬유증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기타 간질성 폐질환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섬유화 동반</t>
    </r>
    <r>
      <rPr>
        <sz val="10"/>
        <rFont val="Arial"/>
        <family val="0"/>
        <charset val="1"/>
      </rPr>
      <t xml:space="preserve">)</t>
    </r>
  </si>
  <si>
    <t xml:space="preserve">J84.1</t>
  </si>
  <si>
    <t xml:space="preserve">Other interstitial pulmonary diseases with fibrosis</t>
  </si>
  <si>
    <t xml:space="preserve">만성 폐쇄성 폐질환</t>
  </si>
  <si>
    <t xml:space="preserve">J44.9</t>
  </si>
  <si>
    <t xml:space="preserve">Chronic obstructive pulmonary disease, unspecified</t>
  </si>
  <si>
    <r>
      <rPr>
        <sz val="10"/>
        <rFont val="WenQuanYi Zen Hei"/>
        <family val="2"/>
      </rPr>
      <t xml:space="preserve">낭포성 섬유증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폐증상 동반</t>
    </r>
    <r>
      <rPr>
        <sz val="10"/>
        <rFont val="Arial"/>
        <family val="0"/>
        <charset val="1"/>
      </rPr>
      <t xml:space="preserve">)</t>
    </r>
  </si>
  <si>
    <t xml:space="preserve">E84.0</t>
  </si>
  <si>
    <t xml:space="preserve">Cystic fibrosis with pulmonary manifestations</t>
  </si>
  <si>
    <t xml:space="preserve">확장성 심근병증</t>
  </si>
  <si>
    <t xml:space="preserve">I42.0</t>
  </si>
  <si>
    <t xml:space="preserve">Dilated cardiomyopathy</t>
  </si>
  <si>
    <t xml:space="preserve">허혈성 심근병증</t>
  </si>
  <si>
    <t xml:space="preserve">I25.5</t>
  </si>
  <si>
    <t xml:space="preserve">Ischaemic cardiomyopathy</t>
  </si>
  <si>
    <t xml:space="preserve">울혈성 심부전</t>
  </si>
  <si>
    <t xml:space="preserve">I50.0</t>
  </si>
  <si>
    <t xml:space="preserve">Congestive heart failure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</si>
  <si>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형 당뇨병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신장 합병증 동반</t>
    </r>
    <r>
      <rPr>
        <sz val="10"/>
        <rFont val="Arial"/>
        <family val="0"/>
        <charset val="1"/>
      </rPr>
      <t xml:space="preserve">)</t>
    </r>
  </si>
  <si>
    <t xml:space="preserve">E10.2</t>
  </si>
  <si>
    <t xml:space="preserve">Type 1 diabetes mellitus with renal complications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</si>
  <si>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형 당뇨병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다발성 합병증 동반</t>
    </r>
    <r>
      <rPr>
        <sz val="10"/>
        <rFont val="Arial"/>
        <family val="0"/>
        <charset val="1"/>
      </rPr>
      <t xml:space="preserve">)</t>
    </r>
  </si>
  <si>
    <t xml:space="preserve">E10.7</t>
  </si>
  <si>
    <t xml:space="preserve">Type 1 diabetes mellitus with multiple complications</t>
  </si>
  <si>
    <r>
      <rPr>
        <sz val="10"/>
        <rFont val="WenQuanYi Zen Hei"/>
        <family val="2"/>
      </rPr>
      <t xml:space="preserve">단장증후군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수술 후 흡수장애</t>
    </r>
    <r>
      <rPr>
        <sz val="10"/>
        <rFont val="Arial"/>
        <family val="0"/>
        <charset val="1"/>
      </rPr>
      <t xml:space="preserve">)</t>
    </r>
  </si>
  <si>
    <t xml:space="preserve">K91.2</t>
  </si>
  <si>
    <t xml:space="preserve">Postsurgical malabsorption, not elsewhere classified</t>
  </si>
  <si>
    <t xml:space="preserve">장의 만성 혈관장애</t>
  </si>
  <si>
    <t xml:space="preserve">K55.1</t>
  </si>
  <si>
    <t xml:space="preserve">Chronic vascular disorders of intestine</t>
  </si>
  <si>
    <r>
      <rPr>
        <sz val="10"/>
        <rFont val="WenQuanYi Zen Hei"/>
        <family val="2"/>
      </rPr>
      <t xml:space="preserve">다빈도</t>
    </r>
    <r>
      <rPr>
        <sz val="10"/>
        <rFont val="Arial"/>
        <family val="0"/>
        <charset val="1"/>
      </rPr>
      <t xml:space="preserve">61</t>
    </r>
    <r>
      <rPr>
        <sz val="10"/>
        <rFont val="WenQuanYi Zen Hei"/>
        <family val="2"/>
      </rPr>
      <t xml:space="preserve">대질병</t>
    </r>
  </si>
  <si>
    <t xml:space="preserve">A061, A062</t>
  </si>
  <si>
    <t xml:space="preserve">급성 골수성 백혈병</t>
  </si>
  <si>
    <t xml:space="preserve">C92.0</t>
  </si>
  <si>
    <t xml:space="preserve">Acute myeloblastic leukaemia [AML]</t>
  </si>
  <si>
    <t xml:space="preserve">급성 림프모구성 백혈병</t>
  </si>
  <si>
    <t xml:space="preserve">C91.0</t>
  </si>
  <si>
    <t xml:space="preserve">Acute lymphoblastic leukaemia [ALL]</t>
  </si>
  <si>
    <t xml:space="preserve">다발성 골수종</t>
  </si>
  <si>
    <t xml:space="preserve">C90.0</t>
  </si>
  <si>
    <t xml:space="preserve">Multiple myeloma</t>
  </si>
  <si>
    <t xml:space="preserve">재생불량성 빈혈</t>
  </si>
  <si>
    <t xml:space="preserve">D61.9</t>
  </si>
  <si>
    <t xml:space="preserve">Aplastic anaemia, unspecified</t>
  </si>
  <si>
    <r>
      <rPr>
        <sz val="10"/>
        <rFont val="WenQuanYi Zen Hei"/>
        <family val="2"/>
      </rPr>
      <t xml:space="preserve">말기 신장병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만성 신장병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기</t>
    </r>
    <r>
      <rPr>
        <sz val="10"/>
        <rFont val="Arial"/>
        <family val="0"/>
        <charset val="1"/>
      </rPr>
      <t xml:space="preserve">)</t>
    </r>
  </si>
  <si>
    <t xml:space="preserve">N18.5</t>
  </si>
  <si>
    <t xml:space="preserve">Chronic kidney disease, stage 5</t>
  </si>
  <si>
    <r>
      <rPr>
        <sz val="10"/>
        <rFont val="WenQuanYi Zen Hei"/>
        <family val="2"/>
      </rPr>
      <t xml:space="preserve">당뇨병성 신장병증</t>
    </r>
    <r>
      <rPr>
        <sz val="10"/>
        <rFont val="Arial"/>
        <family val="0"/>
        <charset val="1"/>
      </rPr>
      <t xml:space="preserve">(2</t>
    </r>
    <r>
      <rPr>
        <sz val="10"/>
        <rFont val="WenQuanYi Zen Hei"/>
        <family val="2"/>
      </rPr>
      <t xml:space="preserve">형 당뇨병 신장 합병증</t>
    </r>
    <r>
      <rPr>
        <sz val="10"/>
        <rFont val="Arial"/>
        <family val="0"/>
        <charset val="1"/>
      </rPr>
      <t xml:space="preserve">)</t>
    </r>
  </si>
  <si>
    <t xml:space="preserve">E11.2</t>
  </si>
  <si>
    <t xml:space="preserve">Type 2 diabetes mellitus with renal complications</t>
  </si>
  <si>
    <t xml:space="preserve">만성 사구체신염</t>
  </si>
  <si>
    <t xml:space="preserve">N03.9</t>
  </si>
  <si>
    <t xml:space="preserve">Chronic nephritic syndrome : unspecified</t>
  </si>
  <si>
    <t xml:space="preserve">급성 호흡곤란증후군</t>
  </si>
  <si>
    <t xml:space="preserve">Adult respiratory distress syndrome</t>
  </si>
  <si>
    <t xml:space="preserve">심인성 쇼크</t>
  </si>
  <si>
    <t xml:space="preserve">R57.0</t>
  </si>
  <si>
    <t xml:space="preserve">Cardiogenic shock</t>
  </si>
  <si>
    <t xml:space="preserve">I21.9</t>
  </si>
  <si>
    <t xml:space="preserve">Acute myocardial infarction, unspecified</t>
  </si>
  <si>
    <t xml:space="preserve">바이러스 폐렴</t>
  </si>
  <si>
    <t xml:space="preserve">J12.9</t>
  </si>
  <si>
    <t xml:space="preserve">Viral pneumonia, unspecified</t>
  </si>
  <si>
    <t xml:space="preserve">A091, A092, A093, A094, A095, A096</t>
  </si>
  <si>
    <r>
      <rPr>
        <sz val="10"/>
        <rFont val="WenQuanYi Zen Hei"/>
        <family val="2"/>
      </rPr>
      <t xml:space="preserve">후두의 악성 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후두암</t>
    </r>
    <r>
      <rPr>
        <sz val="10"/>
        <rFont val="Arial"/>
        <family val="0"/>
        <charset val="1"/>
      </rPr>
      <t xml:space="preserve">)</t>
    </r>
  </si>
  <si>
    <t xml:space="preserve">C32.9</t>
  </si>
  <si>
    <t xml:space="preserve">Malignant neoplasm: Larynx, unspecified</t>
  </si>
  <si>
    <t xml:space="preserve">급성 호흡부전</t>
  </si>
  <si>
    <t xml:space="preserve">J96.0</t>
  </si>
  <si>
    <t xml:space="preserve">Acute respiratory failure</t>
  </si>
  <si>
    <t xml:space="preserve">뇌내출혈 후 장기 인공호흡</t>
  </si>
  <si>
    <t xml:space="preserve">I61.9</t>
  </si>
  <si>
    <t xml:space="preserve">Intracerebral haemorrhage, unspecified</t>
  </si>
  <si>
    <t xml:space="preserve">인공호흡기 장기사용 시</t>
  </si>
  <si>
    <t xml:space="preserve">외상성 두개내 손상</t>
  </si>
  <si>
    <t xml:space="preserve">S06.9</t>
  </si>
  <si>
    <r>
      <rPr>
        <sz val="10"/>
        <rFont val="WenQuanYi Zen Hei"/>
        <family val="2"/>
      </rPr>
      <t xml:space="preserve">상해 담보 — </t>
    </r>
    <r>
      <rPr>
        <sz val="10"/>
        <rFont val="Arial"/>
        <family val="0"/>
        <charset val="1"/>
      </rPr>
      <t xml:space="preserve">1-7</t>
    </r>
    <r>
      <rPr>
        <sz val="10"/>
        <rFont val="WenQuanYi Zen Hei"/>
        <family val="2"/>
      </rPr>
      <t xml:space="preserve">종</t>
    </r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상해</t>
    </r>
    <r>
      <rPr>
        <sz val="10"/>
        <rFont val="Arial"/>
        <family val="0"/>
        <charset val="1"/>
      </rPr>
      <t xml:space="preserve">]</t>
    </r>
  </si>
  <si>
    <t xml:space="preserve">Intracranial injury, unspecified</t>
  </si>
  <si>
    <r>
      <rPr>
        <sz val="10"/>
        <rFont val="WenQuanYi Zen Hei"/>
        <family val="2"/>
      </rPr>
      <t xml:space="preserve">팔의 외상성 절단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어깨</t>
    </r>
    <r>
      <rPr>
        <sz val="10"/>
        <rFont val="Arial"/>
        <family val="0"/>
        <charset val="1"/>
      </rPr>
      <t xml:space="preserve">~</t>
    </r>
    <r>
      <rPr>
        <sz val="10"/>
        <rFont val="WenQuanYi Zen Hei"/>
        <family val="2"/>
      </rPr>
      <t xml:space="preserve">팔꿈치 사이</t>
    </r>
    <r>
      <rPr>
        <sz val="10"/>
        <rFont val="Arial"/>
        <family val="0"/>
        <charset val="1"/>
      </rPr>
      <t xml:space="preserve">)</t>
    </r>
  </si>
  <si>
    <t xml:space="preserve">S48.1</t>
  </si>
  <si>
    <t xml:space="preserve">Traumatic amputation at level between shoulder and elbow</t>
  </si>
  <si>
    <r>
      <rPr>
        <sz val="10"/>
        <rFont val="WenQuanYi Zen Hei"/>
        <family val="2"/>
      </rPr>
      <t xml:space="preserve">손목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손 부위의 외상성 절단</t>
    </r>
  </si>
  <si>
    <t xml:space="preserve">S68.4</t>
  </si>
  <si>
    <t xml:space="preserve">Traumatic amputation of hand at wrist level</t>
  </si>
  <si>
    <t xml:space="preserve">B011, B012, B013, B014, B015, B016, B017, B018</t>
  </si>
  <si>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종</t>
    </r>
    <r>
      <rPr>
        <sz val="10"/>
        <rFont val="Arial"/>
        <family val="0"/>
        <charset val="1"/>
      </rPr>
      <t xml:space="preserve">~7</t>
    </r>
    <r>
      <rPr>
        <sz val="10"/>
        <rFont val="WenQuanYi Zen Hei"/>
        <family val="2"/>
      </rPr>
      <t xml:space="preserve">종</t>
    </r>
  </si>
  <si>
    <r>
      <rPr>
        <sz val="10"/>
        <rFont val="WenQuanYi Zen Hei"/>
        <family val="2"/>
      </rPr>
      <t xml:space="preserve">거미막하출혈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뇌동맥류 파열</t>
    </r>
    <r>
      <rPr>
        <sz val="10"/>
        <rFont val="Arial"/>
        <family val="0"/>
        <charset val="1"/>
      </rPr>
      <t xml:space="preserve">)</t>
    </r>
  </si>
  <si>
    <t xml:space="preserve">I60.9</t>
  </si>
  <si>
    <t xml:space="preserve">Subarachnoid haemorrhage, unspecified</t>
  </si>
  <si>
    <t xml:space="preserve">비파열성 뇌동맥류</t>
  </si>
  <si>
    <t xml:space="preserve">I67.1</t>
  </si>
  <si>
    <t xml:space="preserve">Cerebral aneurysm, nonruptured</t>
  </si>
  <si>
    <t xml:space="preserve">B021, B022, B023, B024, B025, B026, B027</t>
  </si>
  <si>
    <r>
      <rPr>
        <sz val="10"/>
        <rFont val="WenQuanYi Zen Hei"/>
        <family val="2"/>
      </rPr>
      <t xml:space="preserve">뇌경색증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대뇌동맥 혈전증</t>
    </r>
    <r>
      <rPr>
        <sz val="10"/>
        <rFont val="Arial"/>
        <family val="0"/>
        <charset val="1"/>
      </rPr>
      <t xml:space="preserve">)</t>
    </r>
  </si>
  <si>
    <t xml:space="preserve">I63.3</t>
  </si>
  <si>
    <t xml:space="preserve">Cerebral infarction due to thrombosis of cerebral arteries</t>
  </si>
  <si>
    <t xml:space="preserve">모야모야병</t>
  </si>
  <si>
    <t xml:space="preserve">I67.5</t>
  </si>
  <si>
    <t xml:space="preserve">Moyamoya disease</t>
  </si>
  <si>
    <t xml:space="preserve">뇌동정맥기형</t>
  </si>
  <si>
    <t xml:space="preserve">Q28.2</t>
  </si>
  <si>
    <r>
      <rPr>
        <sz val="10"/>
        <rFont val="Arial"/>
        <family val="0"/>
        <charset val="1"/>
      </rPr>
      <t xml:space="preserve">⚠ 1-7</t>
    </r>
    <r>
      <rPr>
        <sz val="10"/>
        <rFont val="WenQuanYi Zen Hei"/>
        <family val="2"/>
      </rPr>
      <t xml:space="preserve">종</t>
    </r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질병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미보장 — 선천기형</t>
    </r>
    <r>
      <rPr>
        <sz val="10"/>
        <rFont val="Arial"/>
        <family val="0"/>
        <charset val="1"/>
      </rPr>
      <t xml:space="preserve">(Q00~Q99) </t>
    </r>
    <r>
      <rPr>
        <sz val="10"/>
        <rFont val="WenQuanYi Zen Hei"/>
        <family val="2"/>
      </rPr>
      <t xml:space="preserve">약관 제외</t>
    </r>
  </si>
  <si>
    <t xml:space="preserve">Arteriovenous malformation of cerebral vessels</t>
  </si>
  <si>
    <t xml:space="preserve">B031, B032, B033</t>
  </si>
  <si>
    <r>
      <rPr>
        <sz val="10"/>
        <rFont val="WenQuanYi Zen Hei"/>
        <family val="2"/>
      </rPr>
      <t xml:space="preserve">뇌내출혈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대뇌반구 피질하</t>
    </r>
    <r>
      <rPr>
        <sz val="10"/>
        <rFont val="Arial"/>
        <family val="0"/>
        <charset val="1"/>
      </rPr>
      <t xml:space="preserve">)</t>
    </r>
  </si>
  <si>
    <t xml:space="preserve">I61.0</t>
  </si>
  <si>
    <t xml:space="preserve">Intracerebral haemorrhage in hemisphere, subcortical</t>
  </si>
  <si>
    <t xml:space="preserve">비외상성 경막하출혈</t>
  </si>
  <si>
    <t xml:space="preserve">I62.0</t>
  </si>
  <si>
    <t xml:space="preserve">Nontraumatic subdural haemorrhage</t>
  </si>
  <si>
    <r>
      <rPr>
        <sz val="10"/>
        <rFont val="WenQuanYi Zen Hei"/>
        <family val="2"/>
      </rPr>
      <t xml:space="preserve">대뇌동맥 폐색에 의한 뇌경색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악성 부종</t>
    </r>
    <r>
      <rPr>
        <sz val="10"/>
        <rFont val="Arial"/>
        <family val="0"/>
        <charset val="1"/>
      </rPr>
      <t xml:space="preserve">)</t>
    </r>
  </si>
  <si>
    <t xml:space="preserve">I63.5</t>
  </si>
  <si>
    <t xml:space="preserve">Cerebral infarction due to unspecified occlusion or stenosis of cerebral arteries</t>
  </si>
  <si>
    <t xml:space="preserve">감압술 시</t>
  </si>
  <si>
    <t xml:space="preserve">B041, B042, B043</t>
  </si>
  <si>
    <t xml:space="preserve">경동맥 폐쇄 및 협착</t>
  </si>
  <si>
    <t xml:space="preserve">I65.2</t>
  </si>
  <si>
    <t xml:space="preserve">Occlusion and stenosis of carotid artery</t>
  </si>
  <si>
    <t xml:space="preserve">척추동맥 폐쇄 및 협착</t>
  </si>
  <si>
    <t xml:space="preserve">I65.0</t>
  </si>
  <si>
    <t xml:space="preserve">Occlusion and stenosis of vertebral artery</t>
  </si>
  <si>
    <r>
      <rPr>
        <sz val="10"/>
        <rFont val="WenQuanYi Zen Hei"/>
        <family val="2"/>
      </rPr>
      <t xml:space="preserve">뇌경색증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뇌전동맥 협착에 의한</t>
    </r>
    <r>
      <rPr>
        <sz val="10"/>
        <rFont val="Arial"/>
        <family val="0"/>
        <charset val="1"/>
      </rPr>
      <t xml:space="preserve">)</t>
    </r>
  </si>
  <si>
    <t xml:space="preserve">I63.2</t>
  </si>
  <si>
    <t xml:space="preserve">Cerebral infarction due to unspecified occlusion or stenosis of precerebral arteries</t>
  </si>
  <si>
    <r>
      <rPr>
        <sz val="10"/>
        <rFont val="WenQuanYi Zen Hei"/>
        <family val="2"/>
      </rPr>
      <t xml:space="preserve">뇌수막의 양성 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수막종</t>
    </r>
    <r>
      <rPr>
        <sz val="10"/>
        <rFont val="Arial"/>
        <family val="0"/>
        <charset val="1"/>
      </rPr>
      <t xml:space="preserve">)</t>
    </r>
  </si>
  <si>
    <t xml:space="preserve">D32.0</t>
  </si>
  <si>
    <t xml:space="preserve">Benign neoplasm: Cerebral meninges</t>
  </si>
  <si>
    <r>
      <rPr>
        <sz val="10"/>
        <rFont val="WenQuanYi Zen Hei"/>
        <family val="2"/>
      </rPr>
      <t xml:space="preserve">뇌하수체 양성 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선종</t>
    </r>
    <r>
      <rPr>
        <sz val="10"/>
        <rFont val="Arial"/>
        <family val="0"/>
        <charset val="1"/>
      </rPr>
      <t xml:space="preserve">)</t>
    </r>
  </si>
  <si>
    <t xml:space="preserve">D35.2</t>
  </si>
  <si>
    <t xml:space="preserve">Benign neoplasm: Pituitary gland</t>
  </si>
  <si>
    <r>
      <rPr>
        <sz val="10"/>
        <rFont val="WenQuanYi Zen Hei"/>
        <family val="2"/>
      </rPr>
      <t xml:space="preserve">두개인두관 양성 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두개인두종</t>
    </r>
    <r>
      <rPr>
        <sz val="10"/>
        <rFont val="Arial"/>
        <family val="0"/>
        <charset val="1"/>
      </rPr>
      <t xml:space="preserve">)</t>
    </r>
  </si>
  <si>
    <t xml:space="preserve">D35.3</t>
  </si>
  <si>
    <t xml:space="preserve">Benign neoplasm: Craniopharyngeal duct</t>
  </si>
  <si>
    <t xml:space="preserve">척삭종 등 두개저 뼈 악성 신생물</t>
  </si>
  <si>
    <t xml:space="preserve">C41.0</t>
  </si>
  <si>
    <t xml:space="preserve">Malignant neoplasm: Bones of skull and face</t>
  </si>
  <si>
    <t xml:space="preserve">B061, B062, B063, B064, B065, B066</t>
  </si>
  <si>
    <r>
      <rPr>
        <sz val="10"/>
        <rFont val="WenQuanYi Zen Hei"/>
        <family val="2"/>
      </rPr>
      <t xml:space="preserve">대뇌의 악성 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교모세포종 등</t>
    </r>
    <r>
      <rPr>
        <sz val="10"/>
        <rFont val="Arial"/>
        <family val="0"/>
        <charset val="1"/>
      </rPr>
      <t xml:space="preserve">)</t>
    </r>
  </si>
  <si>
    <t xml:space="preserve">C71.9</t>
  </si>
  <si>
    <t xml:space="preserve">Malignant neoplasm: Brain, unspecified</t>
  </si>
  <si>
    <r>
      <rPr>
        <sz val="10"/>
        <rFont val="WenQuanYi Zen Hei"/>
        <family val="2"/>
      </rPr>
      <t xml:space="preserve">뇌의 이차성 악성 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전이성 뇌종양</t>
    </r>
    <r>
      <rPr>
        <sz val="10"/>
        <rFont val="Arial"/>
        <family val="0"/>
        <charset val="1"/>
      </rPr>
      <t xml:space="preserve">)</t>
    </r>
  </si>
  <si>
    <t xml:space="preserve">C79.3</t>
  </si>
  <si>
    <t xml:space="preserve">Secondary malignant neoplasm of brain and cerebral meninges</t>
  </si>
  <si>
    <t xml:space="preserve">Parkinson disease</t>
  </si>
  <si>
    <r>
      <rPr>
        <sz val="10"/>
        <rFont val="WenQuanYi Zen Hei"/>
        <family val="2"/>
      </rPr>
      <t xml:space="preserve">근육긴장이상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디스토니아</t>
    </r>
    <r>
      <rPr>
        <sz val="10"/>
        <rFont val="Arial"/>
        <family val="0"/>
        <charset val="1"/>
      </rPr>
      <t xml:space="preserve">)</t>
    </r>
  </si>
  <si>
    <t xml:space="preserve">G24.9</t>
  </si>
  <si>
    <t xml:space="preserve">Dystonia, unspecified</t>
  </si>
  <si>
    <t xml:space="preserve">본태성 떨림</t>
  </si>
  <si>
    <t xml:space="preserve">G25.0</t>
  </si>
  <si>
    <t xml:space="preserve">Essential tremor</t>
  </si>
  <si>
    <t xml:space="preserve">B081, B082</t>
  </si>
  <si>
    <r>
      <rPr>
        <sz val="10"/>
        <rFont val="WenQuanYi Zen Hei"/>
        <family val="2"/>
      </rPr>
      <t xml:space="preserve">난치성 뇌전증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국소화관련 증상성 뇌전증</t>
    </r>
    <r>
      <rPr>
        <sz val="10"/>
        <rFont val="Arial"/>
        <family val="0"/>
        <charset val="1"/>
      </rPr>
      <t xml:space="preserve">)</t>
    </r>
  </si>
  <si>
    <t xml:space="preserve">G40.2</t>
  </si>
  <si>
    <t xml:space="preserve">Localization-related (focal)(partial) symptomatic epilepsy and epileptic syndromes with complex partial seizures</t>
  </si>
  <si>
    <t xml:space="preserve">뇌전증 상세불명</t>
  </si>
  <si>
    <t xml:space="preserve">G40.9</t>
  </si>
  <si>
    <t xml:space="preserve">Epilepsy, unspecified</t>
  </si>
  <si>
    <t xml:space="preserve">B091, B092, B093, B094, B095, B096</t>
  </si>
  <si>
    <r>
      <rPr>
        <sz val="10"/>
        <rFont val="WenQuanYi Zen Hei"/>
        <family val="2"/>
      </rPr>
      <t xml:space="preserve">청신경초종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뇌신경 양성 신생물</t>
    </r>
    <r>
      <rPr>
        <sz val="10"/>
        <rFont val="Arial"/>
        <family val="0"/>
        <charset val="1"/>
      </rPr>
      <t xml:space="preserve">)</t>
    </r>
  </si>
  <si>
    <t xml:space="preserve">D33.3</t>
  </si>
  <si>
    <t xml:space="preserve">Benign neoplasm: Cranial nerves</t>
  </si>
  <si>
    <t xml:space="preserve">삼차신경통</t>
  </si>
  <si>
    <t xml:space="preserve">G50.0</t>
  </si>
  <si>
    <t xml:space="preserve">Trigeminal neuralgia</t>
  </si>
  <si>
    <t xml:space="preserve">반측성 안면경련</t>
  </si>
  <si>
    <t xml:space="preserve">G51.3</t>
  </si>
  <si>
    <t xml:space="preserve">Clonic hemifacial spasm</t>
  </si>
  <si>
    <t xml:space="preserve">교통성 수두증</t>
  </si>
  <si>
    <t xml:space="preserve">G91.0</t>
  </si>
  <si>
    <t xml:space="preserve">Communicating hydrocephalus</t>
  </si>
  <si>
    <t xml:space="preserve">정상압 수두증</t>
  </si>
  <si>
    <t xml:space="preserve">G91.2</t>
  </si>
  <si>
    <t xml:space="preserve">Normal-pressure hydrocephalus</t>
  </si>
  <si>
    <t xml:space="preserve">폐쇄성 수두증</t>
  </si>
  <si>
    <t xml:space="preserve">G91.1</t>
  </si>
  <si>
    <t xml:space="preserve">Obstructive hydrocephalus</t>
  </si>
  <si>
    <t xml:space="preserve">선천성 수두증</t>
  </si>
  <si>
    <t xml:space="preserve">Q03.9</t>
  </si>
  <si>
    <t xml:space="preserve">Congenital hydrocephalus, unspecified</t>
  </si>
  <si>
    <t xml:space="preserve">B121, B122, B123, B124, B125</t>
  </si>
  <si>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종</t>
    </r>
    <r>
      <rPr>
        <sz val="10"/>
        <rFont val="Arial"/>
        <family val="0"/>
        <charset val="1"/>
      </rPr>
      <t xml:space="preserve">~7</t>
    </r>
    <r>
      <rPr>
        <sz val="10"/>
        <rFont val="WenQuanYi Zen Hei"/>
        <family val="2"/>
      </rPr>
      <t xml:space="preserve">종</t>
    </r>
  </si>
  <si>
    <t xml:space="preserve">외상성 경막외출혈</t>
  </si>
  <si>
    <t xml:space="preserve">S06.4</t>
  </si>
  <si>
    <t xml:space="preserve">Epidural haemorrhage</t>
  </si>
  <si>
    <t xml:space="preserve">외상성 경막하출혈</t>
  </si>
  <si>
    <t xml:space="preserve">S06.5</t>
  </si>
  <si>
    <t xml:space="preserve">Traumatic subdural haemorrhage</t>
  </si>
  <si>
    <r>
      <rPr>
        <sz val="10"/>
        <rFont val="WenQuanYi Zen Hei"/>
        <family val="2"/>
      </rPr>
      <t xml:space="preserve">국소성 뇌손상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외상성 뇌내출혈</t>
    </r>
    <r>
      <rPr>
        <sz val="10"/>
        <rFont val="Arial"/>
        <family val="0"/>
        <charset val="1"/>
      </rPr>
      <t xml:space="preserve">)</t>
    </r>
  </si>
  <si>
    <t xml:space="preserve">S06.3</t>
  </si>
  <si>
    <t xml:space="preserve">Focal brain injury</t>
  </si>
  <si>
    <t xml:space="preserve">미만성 뇌손상</t>
  </si>
  <si>
    <t xml:space="preserve">S06.2</t>
  </si>
  <si>
    <t xml:space="preserve">Diffuse brain injury</t>
  </si>
  <si>
    <t xml:space="preserve">뇌농양</t>
  </si>
  <si>
    <t xml:space="preserve">G06.0</t>
  </si>
  <si>
    <t xml:space="preserve">Intracranial abscess and granuloma</t>
  </si>
  <si>
    <t xml:space="preserve">두개골의 양성 신생물</t>
  </si>
  <si>
    <t xml:space="preserve">D16.4</t>
  </si>
  <si>
    <t xml:space="preserve">Benign neoplasm: Bones of skull and face</t>
  </si>
  <si>
    <t xml:space="preserve">두개골유합증</t>
  </si>
  <si>
    <t xml:space="preserve">Q75.0</t>
  </si>
  <si>
    <t xml:space="preserve">Craniosynostosis</t>
  </si>
  <si>
    <t xml:space="preserve">B141, B142, B143</t>
  </si>
  <si>
    <r>
      <rPr>
        <sz val="10"/>
        <rFont val="WenQuanYi Zen Hei"/>
        <family val="2"/>
      </rPr>
      <t xml:space="preserve">비외상성 경막하출혈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만성 경막하혈종</t>
    </r>
    <r>
      <rPr>
        <sz val="10"/>
        <rFont val="Arial"/>
        <family val="0"/>
        <charset val="1"/>
      </rPr>
      <t xml:space="preserve">)</t>
    </r>
  </si>
  <si>
    <t xml:space="preserve">B151, B152, B153, B154</t>
  </si>
  <si>
    <r>
      <rPr>
        <sz val="10"/>
        <rFont val="WenQuanYi Zen Hei"/>
        <family val="2"/>
      </rPr>
      <t xml:space="preserve">척수 양성 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신경초종 등</t>
    </r>
    <r>
      <rPr>
        <sz val="10"/>
        <rFont val="Arial"/>
        <family val="0"/>
        <charset val="1"/>
      </rPr>
      <t xml:space="preserve">)</t>
    </r>
  </si>
  <si>
    <t xml:space="preserve">D33.4</t>
  </si>
  <si>
    <t xml:space="preserve">Benign neoplasm: Spinal cord</t>
  </si>
  <si>
    <r>
      <rPr>
        <sz val="10"/>
        <rFont val="WenQuanYi Zen Hei"/>
        <family val="2"/>
      </rPr>
      <t xml:space="preserve">척수막의 양성 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척수수막종</t>
    </r>
    <r>
      <rPr>
        <sz val="10"/>
        <rFont val="Arial"/>
        <family val="0"/>
        <charset val="1"/>
      </rPr>
      <t xml:space="preserve">)</t>
    </r>
  </si>
  <si>
    <t xml:space="preserve">D32.1</t>
  </si>
  <si>
    <t xml:space="preserve">Benign neoplasm: Spinal meninges</t>
  </si>
  <si>
    <t xml:space="preserve">척수의 악성 신생물</t>
  </si>
  <si>
    <t xml:space="preserve">C72.0</t>
  </si>
  <si>
    <t xml:space="preserve">Malignant neoplasm: Spinal cord</t>
  </si>
  <si>
    <t xml:space="preserve">B161, B162, B163</t>
  </si>
  <si>
    <t xml:space="preserve">특발성 청소년 척추측만증</t>
  </si>
  <si>
    <t xml:space="preserve">M41.1</t>
  </si>
  <si>
    <t xml:space="preserve">Juvenile idiopathic scoliosis</t>
  </si>
  <si>
    <r>
      <rPr>
        <sz val="10"/>
        <rFont val="WenQuanYi Zen Hei"/>
        <family val="2"/>
      </rPr>
      <t xml:space="preserve">특발성 척추측만증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성인</t>
    </r>
    <r>
      <rPr>
        <sz val="10"/>
        <rFont val="Arial"/>
        <family val="0"/>
        <charset val="1"/>
      </rPr>
      <t xml:space="preserve">)</t>
    </r>
  </si>
  <si>
    <t xml:space="preserve">M41.2</t>
  </si>
  <si>
    <t xml:space="preserve">Other idiopathic scoliosis</t>
  </si>
  <si>
    <t xml:space="preserve">척추후만증</t>
  </si>
  <si>
    <t xml:space="preserve">M40.2</t>
  </si>
  <si>
    <t xml:space="preserve">Other and unspecified kyphosis</t>
  </si>
  <si>
    <t xml:space="preserve">퇴행성 척추측만증 등 기타 척추측만증</t>
  </si>
  <si>
    <t xml:space="preserve">M41.8</t>
  </si>
  <si>
    <t xml:space="preserve">Other forms of scoliosis</t>
  </si>
  <si>
    <t xml:space="preserve">B171, B172, B173, B174, B175, B176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</si>
  <si>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종</t>
    </r>
    <r>
      <rPr>
        <sz val="10"/>
        <rFont val="Arial"/>
        <family val="0"/>
        <charset val="1"/>
      </rPr>
      <t xml:space="preserve">~4</t>
    </r>
    <r>
      <rPr>
        <sz val="10"/>
        <rFont val="WenQuanYi Zen Hei"/>
        <family val="2"/>
      </rPr>
      <t xml:space="preserve">종</t>
    </r>
  </si>
  <si>
    <r>
      <rPr>
        <sz val="10"/>
        <rFont val="WenQuanYi Zen Hei"/>
        <family val="2"/>
      </rPr>
      <t xml:space="preserve">요추 추간판장애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신경뿌리병증 동반</t>
    </r>
    <r>
      <rPr>
        <sz val="10"/>
        <rFont val="Arial"/>
        <family val="0"/>
        <charset val="1"/>
      </rPr>
      <t xml:space="preserve">)</t>
    </r>
  </si>
  <si>
    <t xml:space="preserve">M51.1</t>
  </si>
  <si>
    <t xml:space="preserve">Lumbar and other intervertebral disc disorders with radiculopathy</t>
  </si>
  <si>
    <r>
      <rPr>
        <sz val="10"/>
        <rFont val="WenQuanYi Zen Hei"/>
        <family val="2"/>
      </rPr>
      <t xml:space="preserve">척추협착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요추부 협착증</t>
    </r>
    <r>
      <rPr>
        <sz val="10"/>
        <rFont val="Arial"/>
        <family val="0"/>
        <charset val="1"/>
      </rPr>
      <t xml:space="preserve">)</t>
    </r>
  </si>
  <si>
    <t xml:space="preserve">M48.0</t>
  </si>
  <si>
    <t xml:space="preserve">Spinal stenosis</t>
  </si>
  <si>
    <t xml:space="preserve">척추전방전위증</t>
  </si>
  <si>
    <t xml:space="preserve">M43.1</t>
  </si>
  <si>
    <t xml:space="preserve">Spondylolisthesis</t>
  </si>
  <si>
    <r>
      <rPr>
        <sz val="10"/>
        <rFont val="WenQuanYi Zen Hei"/>
        <family val="2"/>
      </rPr>
      <t xml:space="preserve">경추 추간판장애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척수병증 동반</t>
    </r>
    <r>
      <rPr>
        <sz val="10"/>
        <rFont val="Arial"/>
        <family val="0"/>
        <charset val="1"/>
      </rPr>
      <t xml:space="preserve">)</t>
    </r>
  </si>
  <si>
    <t xml:space="preserve">M50.0</t>
  </si>
  <si>
    <t xml:space="preserve">Cervical disc disorder with myelopathy</t>
  </si>
  <si>
    <t xml:space="preserve">B181, B182</t>
  </si>
  <si>
    <r>
      <rPr>
        <sz val="10"/>
        <rFont val="WenQuanYi Zen Hei"/>
        <family val="2"/>
      </rPr>
      <t xml:space="preserve">폐경후 골다공증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병적골절 동반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척추 압박골절</t>
    </r>
    <r>
      <rPr>
        <sz val="10"/>
        <rFont val="Arial"/>
        <family val="0"/>
        <charset val="1"/>
      </rPr>
      <t xml:space="preserve">)</t>
    </r>
  </si>
  <si>
    <t xml:space="preserve">M80.0</t>
  </si>
  <si>
    <t xml:space="preserve">Postmenopausal osteoporosis with pathological fracture</t>
  </si>
  <si>
    <r>
      <rPr>
        <sz val="10"/>
        <rFont val="WenQuanYi Zen Hei"/>
        <family val="2"/>
      </rPr>
      <t xml:space="preserve">척추성형술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풍선척추성형술</t>
    </r>
  </si>
  <si>
    <t xml:space="preserve">신경성형술 등</t>
  </si>
  <si>
    <t xml:space="preserve">척추협착</t>
  </si>
  <si>
    <t xml:space="preserve">B191, B192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</si>
  <si>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종</t>
    </r>
    <r>
      <rPr>
        <sz val="10"/>
        <rFont val="Arial"/>
        <family val="0"/>
        <charset val="1"/>
      </rPr>
      <t xml:space="preserve">~3</t>
    </r>
    <r>
      <rPr>
        <sz val="10"/>
        <rFont val="WenQuanYi Zen Hei"/>
        <family val="2"/>
      </rPr>
      <t xml:space="preserve">종</t>
    </r>
  </si>
  <si>
    <r>
      <rPr>
        <sz val="10"/>
        <rFont val="WenQuanYi Zen Hei"/>
        <family val="2"/>
      </rPr>
      <t xml:space="preserve">복합부위통증증후군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형</t>
    </r>
  </si>
  <si>
    <t xml:space="preserve">G90.5</t>
  </si>
  <si>
    <t xml:space="preserve">Complex regional pain syndrome type I</t>
  </si>
  <si>
    <t xml:space="preserve">척추수술실패증후군 등 기타 척추병증</t>
  </si>
  <si>
    <t xml:space="preserve">M53.8</t>
  </si>
  <si>
    <t xml:space="preserve">Other specified dorsopathies</t>
  </si>
  <si>
    <r>
      <rPr>
        <sz val="10"/>
        <rFont val="WenQuanYi Zen Hei"/>
        <family val="2"/>
      </rPr>
      <t xml:space="preserve">강직성 하반신마비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중증 경직</t>
    </r>
    <r>
      <rPr>
        <sz val="10"/>
        <rFont val="Arial"/>
        <family val="0"/>
        <charset val="1"/>
      </rPr>
      <t xml:space="preserve">)</t>
    </r>
  </si>
  <si>
    <t xml:space="preserve">G82.1</t>
  </si>
  <si>
    <t xml:space="preserve">Spastic paraplegia</t>
  </si>
  <si>
    <t xml:space="preserve">약물주입펌프</t>
  </si>
  <si>
    <t xml:space="preserve">B201, B202, B203, B204, B205</t>
  </si>
  <si>
    <r>
      <rPr>
        <sz val="10"/>
        <rFont val="WenQuanYi Zen Hei"/>
        <family val="2"/>
      </rPr>
      <t xml:space="preserve">손목터널증후군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수근관증후군</t>
    </r>
    <r>
      <rPr>
        <sz val="10"/>
        <rFont val="Arial"/>
        <family val="0"/>
        <charset val="1"/>
      </rPr>
      <t xml:space="preserve">)</t>
    </r>
  </si>
  <si>
    <t xml:space="preserve">G56.0</t>
  </si>
  <si>
    <t xml:space="preserve">Carpal tunnel syndrome</t>
  </si>
  <si>
    <t xml:space="preserve">팔꿈치 척골신경 병변</t>
  </si>
  <si>
    <t xml:space="preserve">G56.2</t>
  </si>
  <si>
    <t xml:space="preserve">Lesion of ulnar nerve</t>
  </si>
  <si>
    <t xml:space="preserve">방아쇠수지</t>
  </si>
  <si>
    <t xml:space="preserve">M65.3</t>
  </si>
  <si>
    <t xml:space="preserve">Trigger finger</t>
  </si>
  <si>
    <r>
      <rPr>
        <sz val="10"/>
        <rFont val="WenQuanYi Zen Hei"/>
        <family val="2"/>
      </rPr>
      <t xml:space="preserve">팔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손 신경 손상</t>
    </r>
  </si>
  <si>
    <t xml:space="preserve">S64.9</t>
  </si>
  <si>
    <t xml:space="preserve">Injury of unspecified nerve at wrist and hand level</t>
  </si>
  <si>
    <t xml:space="preserve">B211, B212</t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</si>
  <si>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종</t>
    </r>
    <r>
      <rPr>
        <sz val="10"/>
        <rFont val="Arial"/>
        <family val="0"/>
        <charset val="1"/>
      </rPr>
      <t xml:space="preserve">~4</t>
    </r>
    <r>
      <rPr>
        <sz val="10"/>
        <rFont val="WenQuanYi Zen Hei"/>
        <family val="2"/>
      </rPr>
      <t xml:space="preserve">종</t>
    </r>
  </si>
  <si>
    <r>
      <rPr>
        <sz val="10"/>
        <rFont val="WenQuanYi Zen Hei"/>
        <family val="2"/>
      </rPr>
      <t xml:space="preserve">척추의 이차성 악성 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척추전이암</t>
    </r>
    <r>
      <rPr>
        <sz val="10"/>
        <rFont val="Arial"/>
        <family val="0"/>
        <charset val="1"/>
      </rPr>
      <t xml:space="preserve">)</t>
    </r>
  </si>
  <si>
    <t xml:space="preserve">C79.5</t>
  </si>
  <si>
    <t xml:space="preserve">Secondary malignant neoplasm of bone and bone marrow</t>
  </si>
  <si>
    <r>
      <rPr>
        <sz val="10"/>
        <rFont val="WenQuanYi Zen Hei"/>
        <family val="2"/>
      </rPr>
      <t xml:space="preserve">척추 골절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요추</t>
    </r>
    <r>
      <rPr>
        <sz val="10"/>
        <rFont val="Arial"/>
        <family val="0"/>
        <charset val="1"/>
      </rPr>
      <t xml:space="preserve">)</t>
    </r>
  </si>
  <si>
    <t xml:space="preserve">S32.0</t>
  </si>
  <si>
    <t xml:space="preserve">Fracture of lumbar vertebra</t>
  </si>
  <si>
    <t xml:space="preserve">C011, C012, C013, C014</t>
  </si>
  <si>
    <r>
      <rPr>
        <sz val="10"/>
        <rFont val="WenQuanYi Zen Hei"/>
        <family val="2"/>
      </rPr>
      <t xml:space="preserve">안구 관통상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이물질 동반</t>
    </r>
    <r>
      <rPr>
        <sz val="10"/>
        <rFont val="Arial"/>
        <family val="0"/>
        <charset val="1"/>
      </rPr>
      <t xml:space="preserve">)</t>
    </r>
  </si>
  <si>
    <t xml:space="preserve">S05.5</t>
  </si>
  <si>
    <t xml:space="preserve">Penetrating wound of eyeball with foreign body</t>
  </si>
  <si>
    <r>
      <rPr>
        <sz val="10"/>
        <rFont val="WenQuanYi Zen Hei"/>
        <family val="2"/>
      </rPr>
      <t xml:space="preserve">안구 관통상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이물질 미동반</t>
    </r>
    <r>
      <rPr>
        <sz val="10"/>
        <rFont val="Arial"/>
        <family val="0"/>
        <charset val="1"/>
      </rPr>
      <t xml:space="preserve">)</t>
    </r>
  </si>
  <si>
    <t xml:space="preserve">S05.6</t>
  </si>
  <si>
    <t xml:space="preserve">Penetrating wound of eyeball without foreign body</t>
  </si>
  <si>
    <r>
      <rPr>
        <sz val="10"/>
        <rFont val="WenQuanYi Zen Hei"/>
        <family val="2"/>
      </rPr>
      <t xml:space="preserve">안구 열상 및 파열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안내조직 탈출</t>
    </r>
    <r>
      <rPr>
        <sz val="10"/>
        <rFont val="Arial"/>
        <family val="0"/>
        <charset val="1"/>
      </rPr>
      <t xml:space="preserve">)</t>
    </r>
  </si>
  <si>
    <t xml:space="preserve">S05.2</t>
  </si>
  <si>
    <t xml:space="preserve">Ocular laceration and rupture with prolapse or loss of intraocular tissue</t>
  </si>
  <si>
    <t xml:space="preserve">C021, C022, C023</t>
  </si>
  <si>
    <r>
      <rPr>
        <sz val="10"/>
        <rFont val="WenQuanYi Zen Hei"/>
        <family val="2"/>
      </rPr>
      <t xml:space="preserve">안와 골절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안와 바닥 골절</t>
    </r>
    <r>
      <rPr>
        <sz val="10"/>
        <rFont val="Arial"/>
        <family val="0"/>
        <charset val="1"/>
      </rPr>
      <t xml:space="preserve">)</t>
    </r>
  </si>
  <si>
    <t xml:space="preserve">S02.3</t>
  </si>
  <si>
    <t xml:space="preserve">Fracture of orbital floor</t>
  </si>
  <si>
    <r>
      <rPr>
        <sz val="10"/>
        <rFont val="WenQuanYi Zen Hei"/>
        <family val="2"/>
      </rPr>
      <t xml:space="preserve">갑상샘 기능항진증의 안구돌출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갑상선눈병</t>
    </r>
    <r>
      <rPr>
        <sz val="10"/>
        <rFont val="Arial"/>
        <family val="0"/>
        <charset val="1"/>
      </rPr>
      <t xml:space="preserve">)</t>
    </r>
  </si>
  <si>
    <t xml:space="preserve">Dysthyroid exophthalmos</t>
  </si>
  <si>
    <t xml:space="preserve">안와의 양성 신생물</t>
  </si>
  <si>
    <t xml:space="preserve">D31.6</t>
  </si>
  <si>
    <t xml:space="preserve">Benign neoplasm: Orbit, unspecified</t>
  </si>
  <si>
    <r>
      <rPr>
        <sz val="10"/>
        <rFont val="WenQuanYi Zen Hei"/>
        <family val="2"/>
      </rPr>
      <t xml:space="preserve">안구의 악성 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망막모세포종</t>
    </r>
    <r>
      <rPr>
        <sz val="10"/>
        <rFont val="Arial"/>
        <family val="0"/>
        <charset val="1"/>
      </rPr>
      <t xml:space="preserve">)</t>
    </r>
  </si>
  <si>
    <t xml:space="preserve">C69.2</t>
  </si>
  <si>
    <t xml:space="preserve">Malignant neoplasm: Retina</t>
  </si>
  <si>
    <t xml:space="preserve">맥락막 악성 흑색종</t>
  </si>
  <si>
    <t xml:space="preserve">C69.3</t>
  </si>
  <si>
    <t xml:space="preserve">Malignant neoplasm: Choroid</t>
  </si>
  <si>
    <r>
      <rPr>
        <sz val="10"/>
        <rFont val="WenQuanYi Zen Hei"/>
        <family val="2"/>
      </rPr>
      <t xml:space="preserve">안구의 퇴행 상태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통증성 맹안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안구위축</t>
    </r>
    <r>
      <rPr>
        <sz val="10"/>
        <rFont val="Arial"/>
        <family val="0"/>
        <charset val="1"/>
      </rPr>
      <t xml:space="preserve">)</t>
    </r>
  </si>
  <si>
    <t xml:space="preserve">H44.5</t>
  </si>
  <si>
    <t xml:space="preserve">Degenerated conditions of globe</t>
  </si>
  <si>
    <t xml:space="preserve">C043, C044, C045, C046</t>
  </si>
  <si>
    <t xml:space="preserve">열공을 동반한 망막박리</t>
  </si>
  <si>
    <t xml:space="preserve">H33.0</t>
  </si>
  <si>
    <t xml:space="preserve">Retinal detachment with retinal break</t>
  </si>
  <si>
    <r>
      <rPr>
        <sz val="10"/>
        <rFont val="WenQuanYi Zen Hei"/>
        <family val="2"/>
      </rPr>
      <t xml:space="preserve">당뇨병성 망막병증</t>
    </r>
    <r>
      <rPr>
        <sz val="10"/>
        <rFont val="Arial"/>
        <family val="0"/>
        <charset val="1"/>
      </rPr>
      <t xml:space="preserve">(2</t>
    </r>
    <r>
      <rPr>
        <sz val="10"/>
        <rFont val="WenQuanYi Zen Hei"/>
        <family val="2"/>
      </rPr>
      <t xml:space="preserve">형 당뇨병 안과 합병증</t>
    </r>
    <r>
      <rPr>
        <sz val="10"/>
        <rFont val="Arial"/>
        <family val="0"/>
        <charset val="1"/>
      </rPr>
      <t xml:space="preserve">)</t>
    </r>
  </si>
  <si>
    <t xml:space="preserve">E11.3</t>
  </si>
  <si>
    <t xml:space="preserve">Type 2 diabetes mellitus with ophthalmic complications</t>
  </si>
  <si>
    <r>
      <rPr>
        <sz val="10"/>
        <rFont val="WenQuanYi Zen Hei"/>
        <family val="2"/>
      </rPr>
      <t xml:space="preserve">황반의 변성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황반원공 등</t>
    </r>
    <r>
      <rPr>
        <sz val="10"/>
        <rFont val="Arial"/>
        <family val="0"/>
        <charset val="1"/>
      </rPr>
      <t xml:space="preserve">)</t>
    </r>
  </si>
  <si>
    <t xml:space="preserve">Degeneration of macula and posterior pole</t>
  </si>
  <si>
    <t xml:space="preserve">유리체출혈</t>
  </si>
  <si>
    <t xml:space="preserve">H43.1</t>
  </si>
  <si>
    <t xml:space="preserve">Vitreous haemorrhage</t>
  </si>
  <si>
    <t xml:space="preserve">C051, C052, C053</t>
  </si>
  <si>
    <t xml:space="preserve">원추각막</t>
  </si>
  <si>
    <t xml:space="preserve">H18.6</t>
  </si>
  <si>
    <t xml:space="preserve">Keratoconus</t>
  </si>
  <si>
    <t xml:space="preserve">각막 반흔 및 혼탁</t>
  </si>
  <si>
    <t xml:space="preserve">H17.9</t>
  </si>
  <si>
    <t xml:space="preserve">Corneal scar and opacity, unspecified</t>
  </si>
  <si>
    <t xml:space="preserve">수포성 각막병증</t>
  </si>
  <si>
    <t xml:space="preserve">H18.1</t>
  </si>
  <si>
    <t xml:space="preserve">Bullous keratopathy</t>
  </si>
  <si>
    <r>
      <rPr>
        <sz val="10"/>
        <rFont val="WenQuanYi Zen Hei"/>
        <family val="2"/>
      </rPr>
      <t xml:space="preserve">익상편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재발성</t>
    </r>
    <r>
      <rPr>
        <sz val="10"/>
        <rFont val="Arial"/>
        <family val="0"/>
        <charset val="1"/>
      </rPr>
      <t xml:space="preserve">)</t>
    </r>
  </si>
  <si>
    <t xml:space="preserve">H11.0</t>
  </si>
  <si>
    <t xml:space="preserve">Pterygium</t>
  </si>
  <si>
    <r>
      <rPr>
        <sz val="10"/>
        <rFont val="WenQuanYi Zen Hei"/>
        <family val="2"/>
      </rPr>
      <t xml:space="preserve">공막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윤부이식</t>
    </r>
  </si>
  <si>
    <t xml:space="preserve">C061, C062, C063, C064</t>
  </si>
  <si>
    <r>
      <rPr>
        <sz val="10"/>
        <rFont val="WenQuanYi Zen Hei"/>
        <family val="2"/>
      </rPr>
      <t xml:space="preserve">노년 백내장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노년성 핵백내장</t>
    </r>
    <r>
      <rPr>
        <sz val="10"/>
        <rFont val="Arial"/>
        <family val="0"/>
        <charset val="1"/>
      </rPr>
      <t xml:space="preserve">)</t>
    </r>
  </si>
  <si>
    <t xml:space="preserve">H25.1</t>
  </si>
  <si>
    <t xml:space="preserve">Senile nuclear cataract</t>
  </si>
  <si>
    <t xml:space="preserve">노년 백내장</t>
  </si>
  <si>
    <t xml:space="preserve">H25.9</t>
  </si>
  <si>
    <t xml:space="preserve">Senile cataract, unspecified</t>
  </si>
  <si>
    <r>
      <rPr>
        <sz val="10"/>
        <rFont val="WenQuanYi Zen Hei"/>
        <family val="2"/>
      </rPr>
      <t xml:space="preserve">당뇨병성 백내장</t>
    </r>
    <r>
      <rPr>
        <sz val="10"/>
        <rFont val="Arial"/>
        <family val="0"/>
        <charset val="1"/>
      </rPr>
      <t xml:space="preserve">(2</t>
    </r>
    <r>
      <rPr>
        <sz val="10"/>
        <rFont val="WenQuanYi Zen Hei"/>
        <family val="2"/>
      </rPr>
      <t xml:space="preserve">형 당뇨병 안과 합병증</t>
    </r>
    <r>
      <rPr>
        <sz val="10"/>
        <rFont val="Arial"/>
        <family val="0"/>
        <charset val="1"/>
      </rPr>
      <t xml:space="preserve">)</t>
    </r>
  </si>
  <si>
    <t xml:space="preserve">C071, C072, C073</t>
  </si>
  <si>
    <r>
      <rPr>
        <sz val="10"/>
        <rFont val="WenQuanYi Zen Hei"/>
        <family val="2"/>
      </rPr>
      <t xml:space="preserve">노년 백내장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성숙 백내장 등</t>
    </r>
    <r>
      <rPr>
        <sz val="10"/>
        <rFont val="Arial"/>
        <family val="0"/>
        <charset val="1"/>
      </rPr>
      <t xml:space="preserve">)</t>
    </r>
  </si>
  <si>
    <t xml:space="preserve">H25.2</t>
  </si>
  <si>
    <t xml:space="preserve">Senile cataract, morgagnian type</t>
  </si>
  <si>
    <t xml:space="preserve">외상성 백내장</t>
  </si>
  <si>
    <t xml:space="preserve">H26.1</t>
  </si>
  <si>
    <t xml:space="preserve">Traumatic cataract</t>
  </si>
  <si>
    <t xml:space="preserve">수정체 탈구</t>
  </si>
  <si>
    <t xml:space="preserve">H27.1</t>
  </si>
  <si>
    <t xml:space="preserve">Dislocation of lens</t>
  </si>
  <si>
    <t xml:space="preserve">후발 백내장</t>
  </si>
  <si>
    <t xml:space="preserve">H26.4</t>
  </si>
  <si>
    <t xml:space="preserve">After-cataract</t>
  </si>
  <si>
    <t xml:space="preserve">C091, C092, C093, C094</t>
  </si>
  <si>
    <t xml:space="preserve">원발 개방각 녹내장</t>
  </si>
  <si>
    <t xml:space="preserve">H40.1</t>
  </si>
  <si>
    <t xml:space="preserve">Primary open-angle glaucoma</t>
  </si>
  <si>
    <t xml:space="preserve">원발 폐쇄각 녹내장</t>
  </si>
  <si>
    <t xml:space="preserve">H40.2</t>
  </si>
  <si>
    <t xml:space="preserve">Primary angle-closure glaucoma</t>
  </si>
  <si>
    <r>
      <rPr>
        <sz val="10"/>
        <rFont val="WenQuanYi Zen Hei"/>
        <family val="2"/>
      </rPr>
      <t xml:space="preserve">이차성 녹내장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염증</t>
    </r>
    <r>
      <rPr>
        <sz val="10"/>
        <rFont val="Arial"/>
        <family val="0"/>
        <charset val="1"/>
      </rPr>
      <t xml:space="preserve">)</t>
    </r>
  </si>
  <si>
    <t xml:space="preserve">H40.4</t>
  </si>
  <si>
    <t xml:space="preserve">Glaucoma secondary to eye inflammation</t>
  </si>
  <si>
    <t xml:space="preserve">C101, C102</t>
  </si>
  <si>
    <r>
      <rPr>
        <sz val="10"/>
        <rFont val="WenQuanYi Zen Hei"/>
        <family val="2"/>
      </rPr>
      <t xml:space="preserve">인공수정체 기계적 합병증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탈구</t>
    </r>
    <r>
      <rPr>
        <sz val="10"/>
        <rFont val="Arial"/>
        <family val="0"/>
        <charset val="1"/>
      </rPr>
      <t xml:space="preserve">)</t>
    </r>
  </si>
  <si>
    <t xml:space="preserve">T85.2</t>
  </si>
  <si>
    <t xml:space="preserve">Mechanical complication of intraocular lens</t>
  </si>
  <si>
    <t xml:space="preserve">홍채모양체염</t>
  </si>
  <si>
    <t xml:space="preserve">H20.0</t>
  </si>
  <si>
    <t xml:space="preserve">Acute and subacute iridocyclitis</t>
  </si>
  <si>
    <t xml:space="preserve">C111, C112</t>
  </si>
  <si>
    <r>
      <rPr>
        <sz val="10"/>
        <rFont val="WenQuanYi Zen Hei"/>
        <family val="2"/>
      </rPr>
      <t xml:space="preserve">외사시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간헐외사시</t>
    </r>
    <r>
      <rPr>
        <sz val="10"/>
        <rFont val="Arial"/>
        <family val="0"/>
        <charset val="1"/>
      </rPr>
      <t xml:space="preserve">)</t>
    </r>
  </si>
  <si>
    <t xml:space="preserve">H50.3</t>
  </si>
  <si>
    <t xml:space="preserve">Intermittent heterotropia</t>
  </si>
  <si>
    <r>
      <rPr>
        <sz val="10"/>
        <rFont val="WenQuanYi Zen Hei"/>
        <family val="2"/>
      </rPr>
      <t xml:space="preserve">내사시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공동내사시</t>
    </r>
    <r>
      <rPr>
        <sz val="10"/>
        <rFont val="Arial"/>
        <family val="0"/>
        <charset val="1"/>
      </rPr>
      <t xml:space="preserve">)</t>
    </r>
  </si>
  <si>
    <t xml:space="preserve">H50.0</t>
  </si>
  <si>
    <t xml:space="preserve">Convergent concomitant strabismus</t>
  </si>
  <si>
    <t xml:space="preserve">마비성 사시</t>
  </si>
  <si>
    <t xml:space="preserve">H49.9</t>
  </si>
  <si>
    <t xml:space="preserve">Paralytic strabismus, unspecified</t>
  </si>
  <si>
    <t xml:space="preserve">C121, C122, C123, C124, C125, C126, C127</t>
  </si>
  <si>
    <t xml:space="preserve">안검하수</t>
  </si>
  <si>
    <t xml:space="preserve">H02.4</t>
  </si>
  <si>
    <t xml:space="preserve">Ptosis of eyelid</t>
  </si>
  <si>
    <t xml:space="preserve">안검내반 및 첩모난생</t>
  </si>
  <si>
    <t xml:space="preserve">H02.0</t>
  </si>
  <si>
    <t xml:space="preserve">Entropion and trichiasis of eyelid</t>
  </si>
  <si>
    <t xml:space="preserve">안검외반</t>
  </si>
  <si>
    <t xml:space="preserve">H02.1</t>
  </si>
  <si>
    <t xml:space="preserve">Ectropion of eyelid</t>
  </si>
  <si>
    <t xml:space="preserve">눈꺼풀의 악성 신생물</t>
  </si>
  <si>
    <t xml:space="preserve">C44.1</t>
  </si>
  <si>
    <t xml:space="preserve">Malignant neoplasm: Skin of eyelid, including canthus</t>
  </si>
  <si>
    <t xml:space="preserve">C131, C132, C133, C135, C136</t>
  </si>
  <si>
    <t xml:space="preserve">만성 눈물주머니염</t>
  </si>
  <si>
    <t xml:space="preserve">H04.4</t>
  </si>
  <si>
    <t xml:space="preserve">Chronic inflammation of lacrimal passages</t>
  </si>
  <si>
    <t xml:space="preserve">코눈물관 협착 및 폐쇄</t>
  </si>
  <si>
    <t xml:space="preserve">H04.5</t>
  </si>
  <si>
    <t xml:space="preserve">Stenosis and insufficiency of lacrimal passages</t>
  </si>
  <si>
    <t xml:space="preserve">선천성 눈물관 협착</t>
  </si>
  <si>
    <t xml:space="preserve">Q10.5</t>
  </si>
  <si>
    <t xml:space="preserve">Congenital stenosis and stricture of lacrimal duct</t>
  </si>
  <si>
    <t xml:space="preserve">C141, C142, C143</t>
  </si>
  <si>
    <t xml:space="preserve">익상편</t>
  </si>
  <si>
    <t xml:space="preserve">결막의 양성 신생물</t>
  </si>
  <si>
    <t xml:space="preserve">D31.0</t>
  </si>
  <si>
    <t xml:space="preserve">Benign neoplasm: Conjunctiva</t>
  </si>
  <si>
    <t xml:space="preserve">결막이완증 등 기타 결막장애</t>
  </si>
  <si>
    <t xml:space="preserve">H11.8</t>
  </si>
  <si>
    <t xml:space="preserve">Other specified disorders of conjunctiva</t>
  </si>
  <si>
    <r>
      <rPr>
        <sz val="10"/>
        <rFont val="WenQuanYi Zen Hei"/>
        <family val="2"/>
      </rPr>
      <t xml:space="preserve">눈꺼풀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눈 주위 열상</t>
    </r>
  </si>
  <si>
    <t xml:space="preserve">S01.1</t>
  </si>
  <si>
    <t xml:space="preserve">Open wound of eyelid and periocular area</t>
  </si>
  <si>
    <t xml:space="preserve">결막의 이물</t>
  </si>
  <si>
    <t xml:space="preserve">T15.1</t>
  </si>
  <si>
    <t xml:space="preserve">Foreign body in conjunctival sac</t>
  </si>
  <si>
    <t xml:space="preserve">기타 눈 및 눈 부속기 장애</t>
  </si>
  <si>
    <t xml:space="preserve">H57.8</t>
  </si>
  <si>
    <t xml:space="preserve">Other specified disorders of eye and adnexa</t>
  </si>
  <si>
    <t xml:space="preserve">D011, D012, D013</t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</si>
  <si>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종</t>
    </r>
    <r>
      <rPr>
        <sz val="10"/>
        <rFont val="Arial"/>
        <family val="0"/>
        <charset val="1"/>
      </rPr>
      <t xml:space="preserve">~5</t>
    </r>
    <r>
      <rPr>
        <sz val="10"/>
        <rFont val="WenQuanYi Zen Hei"/>
        <family val="2"/>
      </rPr>
      <t xml:space="preserve">종</t>
    </r>
  </si>
  <si>
    <r>
      <rPr>
        <sz val="10"/>
        <rFont val="WenQuanYi Zen Hei"/>
        <family val="2"/>
      </rPr>
      <t xml:space="preserve">양측 감각신경성 난청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인공와우 대상</t>
    </r>
    <r>
      <rPr>
        <sz val="10"/>
        <rFont val="Arial"/>
        <family val="0"/>
        <charset val="1"/>
      </rPr>
      <t xml:space="preserve">)</t>
    </r>
  </si>
  <si>
    <t xml:space="preserve">H90.3</t>
  </si>
  <si>
    <t xml:space="preserve">Sensorineural hearing loss, bilateral</t>
  </si>
  <si>
    <t xml:space="preserve">메니에르병</t>
  </si>
  <si>
    <t xml:space="preserve">H81.0</t>
  </si>
  <si>
    <t xml:space="preserve">Ménière disease</t>
  </si>
  <si>
    <t xml:space="preserve">양성 발작성 현기증</t>
  </si>
  <si>
    <t xml:space="preserve">H81.1</t>
  </si>
  <si>
    <t xml:space="preserve">Benign paroxysmal vertigo</t>
  </si>
  <si>
    <t xml:space="preserve">D021, D022, D023, D024, D025, D026</t>
  </si>
  <si>
    <r>
      <rPr>
        <sz val="10"/>
        <rFont val="WenQuanYi Zen Hei"/>
        <family val="2"/>
      </rPr>
      <t xml:space="preserve">만성 화농성 중이염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진주종 포함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상고실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유양동</t>
    </r>
    <r>
      <rPr>
        <sz val="10"/>
        <rFont val="Arial"/>
        <family val="0"/>
        <charset val="1"/>
      </rPr>
      <t xml:space="preserve">)</t>
    </r>
  </si>
  <si>
    <t xml:space="preserve">H66.2</t>
  </si>
  <si>
    <t xml:space="preserve">Chronic atticoantral suppurative otitis media</t>
  </si>
  <si>
    <t xml:space="preserve">중이 진주종</t>
  </si>
  <si>
    <t xml:space="preserve">H71</t>
  </si>
  <si>
    <t xml:space="preserve">Cholesteatoma of middle ear</t>
  </si>
  <si>
    <r>
      <rPr>
        <sz val="10"/>
        <rFont val="WenQuanYi Zen Hei"/>
        <family val="2"/>
      </rPr>
      <t xml:space="preserve">삼출성 중이염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만성 장액성</t>
    </r>
    <r>
      <rPr>
        <sz val="10"/>
        <rFont val="Arial"/>
        <family val="0"/>
        <charset val="1"/>
      </rPr>
      <t xml:space="preserve">)</t>
    </r>
  </si>
  <si>
    <t xml:space="preserve">H65.2</t>
  </si>
  <si>
    <t xml:space="preserve">Chronic serous otitis media</t>
  </si>
  <si>
    <t xml:space="preserve">환기관 삽입</t>
  </si>
  <si>
    <t xml:space="preserve">이경화증</t>
  </si>
  <si>
    <t xml:space="preserve">H80.9</t>
  </si>
  <si>
    <t xml:space="preserve">Otosclerosis, unspecified</t>
  </si>
  <si>
    <t xml:space="preserve">D031, D032</t>
  </si>
  <si>
    <r>
      <rPr>
        <sz val="10"/>
        <rFont val="WenQuanYi Zen Hei"/>
        <family val="2"/>
      </rPr>
      <t xml:space="preserve">선천성 귀 기형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소이증</t>
    </r>
    <r>
      <rPr>
        <sz val="10"/>
        <rFont val="Arial"/>
        <family val="0"/>
        <charset val="1"/>
      </rPr>
      <t xml:space="preserve">)</t>
    </r>
  </si>
  <si>
    <t xml:space="preserve">Q17.2</t>
  </si>
  <si>
    <t xml:space="preserve">Microtia</t>
  </si>
  <si>
    <t xml:space="preserve">귓바퀴 피부 양성 신생물</t>
  </si>
  <si>
    <t xml:space="preserve">D23.2</t>
  </si>
  <si>
    <t xml:space="preserve">Benign neoplasm: Skin of ear and external auricular canal</t>
  </si>
  <si>
    <t xml:space="preserve">후천성 외이도 협착</t>
  </si>
  <si>
    <t xml:space="preserve">H61.3</t>
  </si>
  <si>
    <t xml:space="preserve">Acquired stenosis of external ear canal</t>
  </si>
  <si>
    <r>
      <rPr>
        <sz val="10"/>
        <rFont val="WenQuanYi Zen Hei"/>
        <family val="2"/>
      </rPr>
      <t xml:space="preserve">귀의 표재성 손상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이개혈종 등</t>
    </r>
    <r>
      <rPr>
        <sz val="10"/>
        <rFont val="Arial"/>
        <family val="0"/>
        <charset val="1"/>
      </rPr>
      <t xml:space="preserve">)</t>
    </r>
  </si>
  <si>
    <t xml:space="preserve">S00.4</t>
  </si>
  <si>
    <t xml:space="preserve">Superficial injury of ear</t>
  </si>
  <si>
    <t xml:space="preserve">D041, D042</t>
  </si>
  <si>
    <t xml:space="preserve">비강의 악성 신생물</t>
  </si>
  <si>
    <t xml:space="preserve">C30.0</t>
  </si>
  <si>
    <t xml:space="preserve">Malignant neoplasm: Nasal cavity</t>
  </si>
  <si>
    <t xml:space="preserve">상악동의 악성 신생물</t>
  </si>
  <si>
    <t xml:space="preserve">C31.0</t>
  </si>
  <si>
    <t xml:space="preserve">Malignant neoplasm: Maxillary sinus</t>
  </si>
  <si>
    <t xml:space="preserve">비인두의 악성 신생물</t>
  </si>
  <si>
    <t xml:space="preserve">C11.9</t>
  </si>
  <si>
    <t xml:space="preserve">Malignant neoplasm: Nasopharynx, unspecified</t>
  </si>
  <si>
    <t xml:space="preserve">중이의 악성 신생물</t>
  </si>
  <si>
    <t xml:space="preserve">C30.1</t>
  </si>
  <si>
    <t xml:space="preserve">Malignant neoplasm: Middle ear</t>
  </si>
  <si>
    <t xml:space="preserve">D051, D052, D053, D054</t>
  </si>
  <si>
    <t xml:space="preserve">만성 상악동염</t>
  </si>
  <si>
    <t xml:space="preserve">J32.0</t>
  </si>
  <si>
    <t xml:space="preserve">Chronic maxillary sinusitis</t>
  </si>
  <si>
    <t xml:space="preserve">만성 범부비동염</t>
  </si>
  <si>
    <t xml:space="preserve">J32.4</t>
  </si>
  <si>
    <t xml:space="preserve">Chronic pansinusitis</t>
  </si>
  <si>
    <t xml:space="preserve">부비동 점액류 등 기타 장애</t>
  </si>
  <si>
    <t xml:space="preserve">J34.1</t>
  </si>
  <si>
    <t xml:space="preserve">Cyst and mucocele of nose and nasal sinus</t>
  </si>
  <si>
    <t xml:space="preserve">D061, D062, D065, D066, D067, D068</t>
  </si>
  <si>
    <t xml:space="preserve">비강 폴립</t>
  </si>
  <si>
    <t xml:space="preserve">J33.9</t>
  </si>
  <si>
    <t xml:space="preserve">Nasal polyp, unspecified</t>
  </si>
  <si>
    <t xml:space="preserve">부비동 진균증 등 만성 부비동염</t>
  </si>
  <si>
    <t xml:space="preserve">J32.9</t>
  </si>
  <si>
    <t xml:space="preserve">Chronic sinusitis, unspecified</t>
  </si>
  <si>
    <t xml:space="preserve">D081, D082, D083</t>
  </si>
  <si>
    <t xml:space="preserve">비중격 만곡증</t>
  </si>
  <si>
    <t xml:space="preserve">J34.2</t>
  </si>
  <si>
    <t xml:space="preserve">Deviated nasal septum</t>
  </si>
  <si>
    <t xml:space="preserve">비갑개 비대</t>
  </si>
  <si>
    <t xml:space="preserve">J34.3</t>
  </si>
  <si>
    <t xml:space="preserve">Hypertrophy of nasal turbinates</t>
  </si>
  <si>
    <t xml:space="preserve">코뼈 골절</t>
  </si>
  <si>
    <t xml:space="preserve">S02.2</t>
  </si>
  <si>
    <t xml:space="preserve">Fracture of nasal bones</t>
  </si>
  <si>
    <t xml:space="preserve">혀의 악성 신생물</t>
  </si>
  <si>
    <t xml:space="preserve">C02.9</t>
  </si>
  <si>
    <t xml:space="preserve">Malignant neoplasm: Tongue, unspecified</t>
  </si>
  <si>
    <t xml:space="preserve">이하선의 악성 신생물</t>
  </si>
  <si>
    <t xml:space="preserve">C07</t>
  </si>
  <si>
    <t xml:space="preserve">Malignant neoplasm of parotid gland</t>
  </si>
  <si>
    <t xml:space="preserve">입바닥의 악성 신생물</t>
  </si>
  <si>
    <t xml:space="preserve">C04.9</t>
  </si>
  <si>
    <t xml:space="preserve">Malignant neoplasm: Floor of mouth, unspecified</t>
  </si>
  <si>
    <t xml:space="preserve">잇몸의 악성 신생물</t>
  </si>
  <si>
    <t xml:space="preserve">C03.9</t>
  </si>
  <si>
    <t xml:space="preserve">Malignant neoplasm: Gum, unspecified</t>
  </si>
  <si>
    <t xml:space="preserve">D101, D102</t>
  </si>
  <si>
    <r>
      <rPr>
        <sz val="10"/>
        <rFont val="WenQuanYi Zen Hei"/>
        <family val="2"/>
      </rPr>
      <t xml:space="preserve">후두의 악성 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성문</t>
    </r>
    <r>
      <rPr>
        <sz val="10"/>
        <rFont val="Arial"/>
        <family val="0"/>
        <charset val="1"/>
      </rPr>
      <t xml:space="preserve">)</t>
    </r>
  </si>
  <si>
    <t xml:space="preserve">C32.0</t>
  </si>
  <si>
    <t xml:space="preserve">Malignant neoplasm: Glottis</t>
  </si>
  <si>
    <t xml:space="preserve">편도의 악성 신생물</t>
  </si>
  <si>
    <t xml:space="preserve">C09.9</t>
  </si>
  <si>
    <t xml:space="preserve">Malignant neoplasm: Tonsil, unspecified</t>
  </si>
  <si>
    <t xml:space="preserve">하인두의 악성 신생물</t>
  </si>
  <si>
    <t xml:space="preserve">C13.9</t>
  </si>
  <si>
    <t xml:space="preserve">Malignant neoplasm: Hypopharynx, unspecified</t>
  </si>
  <si>
    <t xml:space="preserve">D111, D112</t>
  </si>
  <si>
    <t xml:space="preserve">두경부 림프절 이차성 악성 신생물</t>
  </si>
  <si>
    <t xml:space="preserve">C77.0</t>
  </si>
  <si>
    <t xml:space="preserve">Secondary and unspecified malignant neoplasm: Lymph nodes of head, face and neck</t>
  </si>
  <si>
    <t xml:space="preserve">갑상선의 악성 신생물</t>
  </si>
  <si>
    <t xml:space="preserve">C73</t>
  </si>
  <si>
    <t xml:space="preserve">Malignant neoplasm of thyroid gland</t>
  </si>
  <si>
    <t xml:space="preserve">D121, D122, D123</t>
  </si>
  <si>
    <t xml:space="preserve">하악골 골절</t>
  </si>
  <si>
    <t xml:space="preserve">S02.6</t>
  </si>
  <si>
    <t xml:space="preserve">Fracture of mandible</t>
  </si>
  <si>
    <t xml:space="preserve">광대뼈 및 상악골 골절</t>
  </si>
  <si>
    <t xml:space="preserve">S02.4</t>
  </si>
  <si>
    <t xml:space="preserve">Fracture of malar and maxillary bones</t>
  </si>
  <si>
    <t xml:space="preserve">턱관절 장애</t>
  </si>
  <si>
    <t xml:space="preserve">K07.6</t>
  </si>
  <si>
    <r>
      <rPr>
        <sz val="10"/>
        <rFont val="Arial"/>
        <family val="0"/>
        <charset val="1"/>
      </rPr>
      <t xml:space="preserve">⚠ 1-7</t>
    </r>
    <r>
      <rPr>
        <sz val="10"/>
        <rFont val="WenQuanYi Zen Hei"/>
        <family val="2"/>
      </rPr>
      <t xml:space="preserve">종</t>
    </r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질병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미보장 — 치과질환</t>
    </r>
    <r>
      <rPr>
        <sz val="10"/>
        <rFont val="Arial"/>
        <family val="0"/>
        <charset val="1"/>
      </rPr>
      <t xml:space="preserve">(K00~K08) </t>
    </r>
    <r>
      <rPr>
        <sz val="10"/>
        <rFont val="WenQuanYi Zen Hei"/>
        <family val="2"/>
      </rPr>
      <t xml:space="preserve">제외</t>
    </r>
  </si>
  <si>
    <t xml:space="preserve">Temporomandibular joint disorders</t>
  </si>
  <si>
    <r>
      <rPr>
        <sz val="10"/>
        <rFont val="WenQuanYi Zen Hei"/>
        <family val="2"/>
      </rPr>
      <t xml:space="preserve">치성 낭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턱뼈 낭</t>
    </r>
    <r>
      <rPr>
        <sz val="10"/>
        <rFont val="Arial"/>
        <family val="0"/>
        <charset val="1"/>
      </rPr>
      <t xml:space="preserve">)</t>
    </r>
  </si>
  <si>
    <t xml:space="preserve">K09.0</t>
  </si>
  <si>
    <t xml:space="preserve">Developmental odontogenic cysts</t>
  </si>
  <si>
    <r>
      <rPr>
        <sz val="10"/>
        <rFont val="WenQuanYi Zen Hei"/>
        <family val="2"/>
      </rPr>
      <t xml:space="preserve">두경부 악성 종양 절제 후 결손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혀암 등</t>
    </r>
    <r>
      <rPr>
        <sz val="10"/>
        <rFont val="Arial"/>
        <family val="0"/>
        <charset val="1"/>
      </rPr>
      <t xml:space="preserve">)</t>
    </r>
  </si>
  <si>
    <t xml:space="preserve">재건 동반</t>
  </si>
  <si>
    <r>
      <rPr>
        <sz val="10"/>
        <rFont val="WenQuanYi Zen Hei"/>
        <family val="2"/>
      </rPr>
      <t xml:space="preserve">구강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두경부 연조직 손상</t>
    </r>
  </si>
  <si>
    <t xml:space="preserve">S01.5</t>
  </si>
  <si>
    <t xml:space="preserve">Open wound of lip and oral cavity</t>
  </si>
  <si>
    <r>
      <rPr>
        <sz val="10"/>
        <rFont val="WenQuanYi Zen Hei"/>
        <family val="2"/>
      </rPr>
      <t xml:space="preserve">구순구개열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편측 구순열 동반 구개열</t>
    </r>
    <r>
      <rPr>
        <sz val="10"/>
        <rFont val="Arial"/>
        <family val="0"/>
        <charset val="1"/>
      </rPr>
      <t xml:space="preserve">)</t>
    </r>
  </si>
  <si>
    <t xml:space="preserve">Q37.9</t>
  </si>
  <si>
    <t xml:space="preserve">Unspecified cleft palate with unilateral cleft lip</t>
  </si>
  <si>
    <t xml:space="preserve">D141, D142, D143, D144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</si>
  <si>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종</t>
    </r>
    <r>
      <rPr>
        <sz val="10"/>
        <rFont val="Arial"/>
        <family val="0"/>
        <charset val="1"/>
      </rPr>
      <t xml:space="preserve">~2</t>
    </r>
    <r>
      <rPr>
        <sz val="10"/>
        <rFont val="WenQuanYi Zen Hei"/>
        <family val="2"/>
      </rPr>
      <t xml:space="preserve">종</t>
    </r>
  </si>
  <si>
    <r>
      <rPr>
        <sz val="10"/>
        <rFont val="WenQuanYi Zen Hei"/>
        <family val="2"/>
      </rPr>
      <t xml:space="preserve">이하선의 양성 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다형선종</t>
    </r>
    <r>
      <rPr>
        <sz val="10"/>
        <rFont val="Arial"/>
        <family val="0"/>
        <charset val="1"/>
      </rPr>
      <t xml:space="preserve">)</t>
    </r>
  </si>
  <si>
    <t xml:space="preserve">D11.0</t>
  </si>
  <si>
    <t xml:space="preserve">Benign neoplasm: Parotid gland</t>
  </si>
  <si>
    <r>
      <rPr>
        <sz val="10"/>
        <rFont val="WenQuanYi Zen Hei"/>
        <family val="2"/>
      </rPr>
      <t xml:space="preserve">침샘 결석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타석증</t>
    </r>
    <r>
      <rPr>
        <sz val="10"/>
        <rFont val="Arial"/>
        <family val="0"/>
        <charset val="1"/>
      </rPr>
      <t xml:space="preserve">)</t>
    </r>
  </si>
  <si>
    <t xml:space="preserve">K11.5</t>
  </si>
  <si>
    <t xml:space="preserve">Sialolithiasis</t>
  </si>
  <si>
    <r>
      <rPr>
        <sz val="10"/>
        <rFont val="WenQuanYi Zen Hei"/>
        <family val="2"/>
      </rPr>
      <t xml:space="preserve">침샘염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악하선염</t>
    </r>
    <r>
      <rPr>
        <sz val="10"/>
        <rFont val="Arial"/>
        <family val="0"/>
        <charset val="1"/>
      </rPr>
      <t xml:space="preserve">)</t>
    </r>
  </si>
  <si>
    <t xml:space="preserve">K11.2</t>
  </si>
  <si>
    <t xml:space="preserve">Sialoadenitis</t>
  </si>
  <si>
    <r>
      <rPr>
        <sz val="10"/>
        <rFont val="WenQuanYi Zen Hei"/>
        <family val="2"/>
      </rPr>
      <t xml:space="preserve">갑상설관 낭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기타 내분비샘 선천기형</t>
    </r>
    <r>
      <rPr>
        <sz val="10"/>
        <rFont val="Arial"/>
        <family val="0"/>
        <charset val="1"/>
      </rPr>
      <t xml:space="preserve">)</t>
    </r>
  </si>
  <si>
    <t xml:space="preserve">Q89.2</t>
  </si>
  <si>
    <t xml:space="preserve">Congenital malformations of other endocrine glands</t>
  </si>
  <si>
    <r>
      <rPr>
        <sz val="10"/>
        <rFont val="Arial"/>
        <family val="0"/>
        <charset val="1"/>
      </rPr>
      <t xml:space="preserve">ICD-10 </t>
    </r>
    <r>
      <rPr>
        <sz val="10"/>
        <rFont val="WenQuanYi Zen Hei"/>
        <family val="2"/>
      </rPr>
      <t xml:space="preserve">포함 용어에 갑상설관낭</t>
    </r>
    <r>
      <rPr>
        <sz val="10"/>
        <rFont val="Arial"/>
        <family val="0"/>
        <charset val="1"/>
      </rPr>
      <t xml:space="preserve">(thyroglossal cyst) </t>
    </r>
    <r>
      <rPr>
        <sz val="10"/>
        <rFont val="WenQuanYi Zen Hei"/>
        <family val="2"/>
      </rPr>
      <t xml:space="preserve">명시 확인</t>
    </r>
  </si>
  <si>
    <r>
      <rPr>
        <sz val="10"/>
        <rFont val="WenQuanYi Zen Hei"/>
        <family val="2"/>
      </rPr>
      <t xml:space="preserve">아가미틈새 낭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새열낭</t>
    </r>
    <r>
      <rPr>
        <sz val="10"/>
        <rFont val="Arial"/>
        <family val="0"/>
        <charset val="1"/>
      </rPr>
      <t xml:space="preserve">)</t>
    </r>
  </si>
  <si>
    <t xml:space="preserve">Q18.0</t>
  </si>
  <si>
    <t xml:space="preserve">Sinus, fistula and cyst of branchial cleft</t>
  </si>
  <si>
    <t xml:space="preserve">목의 림프절염</t>
  </si>
  <si>
    <t xml:space="preserve">L04.0</t>
  </si>
  <si>
    <t xml:space="preserve">Acute lymphadenitis of face, head and neck</t>
  </si>
  <si>
    <t xml:space="preserve">목의 지방종</t>
  </si>
  <si>
    <t xml:space="preserve">D17.0</t>
  </si>
  <si>
    <t xml:space="preserve">Benign lipomatous neoplasm of skin and subcutaneous tissue of head, face and neck</t>
  </si>
  <si>
    <t xml:space="preserve">D161, D162</t>
  </si>
  <si>
    <t xml:space="preserve">만성 편도염</t>
  </si>
  <si>
    <t xml:space="preserve">J35.0</t>
  </si>
  <si>
    <t xml:space="preserve">Chronic tonsillitis</t>
  </si>
  <si>
    <t xml:space="preserve">편도 및 아데노이드 비대</t>
  </si>
  <si>
    <t xml:space="preserve">J35.3</t>
  </si>
  <si>
    <t xml:space="preserve">Hypertrophy of tonsils with hypertrophy of adenoids</t>
  </si>
  <si>
    <t xml:space="preserve">Peritonsillar abscess</t>
  </si>
  <si>
    <t xml:space="preserve">D171, D172</t>
  </si>
  <si>
    <t xml:space="preserve">성대 폴립</t>
  </si>
  <si>
    <t xml:space="preserve">J38.1</t>
  </si>
  <si>
    <t xml:space="preserve">Polyp of vocal cord and larynx</t>
  </si>
  <si>
    <t xml:space="preserve">성대 결절</t>
  </si>
  <si>
    <t xml:space="preserve">J38.2</t>
  </si>
  <si>
    <t xml:space="preserve">Nodules of vocal cords</t>
  </si>
  <si>
    <t xml:space="preserve">구강 백반증</t>
  </si>
  <si>
    <t xml:space="preserve">K13.2</t>
  </si>
  <si>
    <t xml:space="preserve">Leukoplakia and other disturbances of oral epithelium, including tongue</t>
  </si>
  <si>
    <r>
      <rPr>
        <sz val="10"/>
        <rFont val="WenQuanYi Zen Hei"/>
        <family val="2"/>
      </rPr>
      <t xml:space="preserve">혀유착증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설소대 단축</t>
    </r>
    <r>
      <rPr>
        <sz val="10"/>
        <rFont val="Arial"/>
        <family val="0"/>
        <charset val="1"/>
      </rPr>
      <t xml:space="preserve">)</t>
    </r>
  </si>
  <si>
    <t xml:space="preserve">Q38.1</t>
  </si>
  <si>
    <t xml:space="preserve">Ankyloglossia</t>
  </si>
  <si>
    <r>
      <rPr>
        <sz val="10"/>
        <rFont val="WenQuanYi Zen Hei"/>
        <family val="2"/>
      </rPr>
      <t xml:space="preserve">구강 점액류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침샘 점액낭</t>
    </r>
    <r>
      <rPr>
        <sz val="10"/>
        <rFont val="Arial"/>
        <family val="0"/>
        <charset val="1"/>
      </rPr>
      <t xml:space="preserve">)</t>
    </r>
  </si>
  <si>
    <t xml:space="preserve">K11.6</t>
  </si>
  <si>
    <t xml:space="preserve">Mucocele of salivary gland</t>
  </si>
  <si>
    <r>
      <rPr>
        <sz val="10"/>
        <rFont val="WenQuanYi Zen Hei"/>
        <family val="2"/>
      </rPr>
      <t xml:space="preserve">코피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비출혈</t>
    </r>
    <r>
      <rPr>
        <sz val="10"/>
        <rFont val="Arial"/>
        <family val="0"/>
        <charset val="1"/>
      </rPr>
      <t xml:space="preserve">)</t>
    </r>
  </si>
  <si>
    <t xml:space="preserve">R04.0</t>
  </si>
  <si>
    <t xml:space="preserve">Epistaxis</t>
  </si>
  <si>
    <r>
      <rPr>
        <sz val="10"/>
        <rFont val="WenQuanYi Zen Hei"/>
        <family val="2"/>
      </rPr>
      <t xml:space="preserve">구강 연조직 손상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입술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입안 열상</t>
    </r>
    <r>
      <rPr>
        <sz val="10"/>
        <rFont val="Arial"/>
        <family val="0"/>
        <charset val="1"/>
      </rPr>
      <t xml:space="preserve">)</t>
    </r>
  </si>
  <si>
    <t xml:space="preserve">E011, E012, E013, E014, E015, E016, E017, E018, E019</t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</si>
  <si>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종</t>
    </r>
    <r>
      <rPr>
        <sz val="10"/>
        <rFont val="Arial"/>
        <family val="0"/>
        <charset val="1"/>
      </rPr>
      <t xml:space="preserve">~6</t>
    </r>
    <r>
      <rPr>
        <sz val="10"/>
        <rFont val="WenQuanYi Zen Hei"/>
        <family val="2"/>
      </rPr>
      <t xml:space="preserve">종</t>
    </r>
  </si>
  <si>
    <t xml:space="preserve">기관지 및 폐의 악성 신생물</t>
  </si>
  <si>
    <t xml:space="preserve">C34.9</t>
  </si>
  <si>
    <t xml:space="preserve">Malignant neoplasm: Bronchus or lung, unspecified</t>
  </si>
  <si>
    <t xml:space="preserve">자연 기흉</t>
  </si>
  <si>
    <t xml:space="preserve">J93.1</t>
  </si>
  <si>
    <t xml:space="preserve">Other spontaneous pneumothorax</t>
  </si>
  <si>
    <r>
      <rPr>
        <sz val="10"/>
        <rFont val="WenQuanYi Zen Hei"/>
        <family val="2"/>
      </rPr>
      <t xml:space="preserve">흉선종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흉선 양성 신생물</t>
    </r>
    <r>
      <rPr>
        <sz val="10"/>
        <rFont val="Arial"/>
        <family val="0"/>
        <charset val="1"/>
      </rPr>
      <t xml:space="preserve">)</t>
    </r>
  </si>
  <si>
    <t xml:space="preserve">D15.0</t>
  </si>
  <si>
    <t xml:space="preserve">Benign neoplasm: Thymus</t>
  </si>
  <si>
    <t xml:space="preserve">농흉</t>
  </si>
  <si>
    <t xml:space="preserve">J86.9</t>
  </si>
  <si>
    <t xml:space="preserve">Pyothorax without fistula</t>
  </si>
  <si>
    <t xml:space="preserve">기관지 협착 등 달리 분류되지 않은 기관지 질환</t>
  </si>
  <si>
    <t xml:space="preserve">J98.0</t>
  </si>
  <si>
    <t xml:space="preserve">Diseases of bronchus, not elsewhere classified</t>
  </si>
  <si>
    <t xml:space="preserve">객혈</t>
  </si>
  <si>
    <t xml:space="preserve">R04.2</t>
  </si>
  <si>
    <t xml:space="preserve">Haemoptysis</t>
  </si>
  <si>
    <t xml:space="preserve">기관지동맥색전술</t>
  </si>
  <si>
    <t xml:space="preserve">E032, E033, E034</t>
  </si>
  <si>
    <t xml:space="preserve">폐쇄성 수면무호흡</t>
  </si>
  <si>
    <t xml:space="preserve">Sleep apnoea</t>
  </si>
  <si>
    <r>
      <rPr>
        <sz val="10"/>
        <rFont val="WenQuanYi Zen Hei"/>
        <family val="2"/>
      </rPr>
      <t xml:space="preserve">후두 협착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성문하 협착 포함</t>
    </r>
    <r>
      <rPr>
        <sz val="10"/>
        <rFont val="Arial"/>
        <family val="0"/>
        <charset val="1"/>
      </rPr>
      <t xml:space="preserve">)</t>
    </r>
  </si>
  <si>
    <t xml:space="preserve">J38.6</t>
  </si>
  <si>
    <t xml:space="preserve">Stenosis of larynx</t>
  </si>
  <si>
    <t xml:space="preserve">처치 후 성문하 협착</t>
  </si>
  <si>
    <t xml:space="preserve">J95.5</t>
  </si>
  <si>
    <t xml:space="preserve">Postprocedural subglottic stenosis</t>
  </si>
  <si>
    <t xml:space="preserve">폐렴을 동반한 폐농양</t>
  </si>
  <si>
    <t xml:space="preserve">J85.1</t>
  </si>
  <si>
    <t xml:space="preserve">Abscess of lung with pneumonia</t>
  </si>
  <si>
    <t xml:space="preserve">폐렴이 없는 폐농양</t>
  </si>
  <si>
    <t xml:space="preserve">J85.2</t>
  </si>
  <si>
    <t xml:space="preserve">Abscess of lung without pneumonia</t>
  </si>
  <si>
    <t xml:space="preserve">악성 흉막 삼출</t>
  </si>
  <si>
    <t xml:space="preserve">Pleural effusion in conditions classified elsewhere</t>
  </si>
  <si>
    <t xml:space="preserve">달리 분류되지 않은 흉막삼출</t>
  </si>
  <si>
    <t xml:space="preserve">Pleural effusion, not elsewhere classified</t>
  </si>
  <si>
    <t xml:space="preserve">F011, F012</t>
  </si>
  <si>
    <t xml:space="preserve">심실빈맥</t>
  </si>
  <si>
    <t xml:space="preserve">I47.2</t>
  </si>
  <si>
    <t xml:space="preserve">Ventricular tachycardia</t>
  </si>
  <si>
    <t xml:space="preserve">심실세동</t>
  </si>
  <si>
    <t xml:space="preserve">I49.0</t>
  </si>
  <si>
    <t xml:space="preserve">Ventricular fibrillation and flutter</t>
  </si>
  <si>
    <t xml:space="preserve">심장정지 후 소생</t>
  </si>
  <si>
    <t xml:space="preserve">I46.0</t>
  </si>
  <si>
    <t xml:space="preserve">Cardiac arrest with successful resuscitation</t>
  </si>
  <si>
    <t xml:space="preserve">F021, F022, F023</t>
  </si>
  <si>
    <r>
      <rPr>
        <sz val="10"/>
        <rFont val="WenQuanYi Zen Hei"/>
        <family val="2"/>
      </rPr>
      <t xml:space="preserve">대동맥판 협착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비류마티스성</t>
    </r>
    <r>
      <rPr>
        <sz val="10"/>
        <rFont val="Arial"/>
        <family val="0"/>
        <charset val="1"/>
      </rPr>
      <t xml:space="preserve">)</t>
    </r>
  </si>
  <si>
    <t xml:space="preserve">I35.0</t>
  </si>
  <si>
    <t xml:space="preserve">Aortic (valve) stenosis</t>
  </si>
  <si>
    <t xml:space="preserve">비류마티스성 승모판 기능부전</t>
  </si>
  <si>
    <t xml:space="preserve">I34.0</t>
  </si>
  <si>
    <t xml:space="preserve">Mitral (valve) insufficiency</t>
  </si>
  <si>
    <t xml:space="preserve">폐동맥판 질환</t>
  </si>
  <si>
    <t xml:space="preserve">I37.9</t>
  </si>
  <si>
    <t xml:space="preserve">Pulmonary valve disorder, unspecified</t>
  </si>
  <si>
    <t xml:space="preserve">F031, F032, F033</t>
  </si>
  <si>
    <t xml:space="preserve">류마티스성 승모판 협착</t>
  </si>
  <si>
    <t xml:space="preserve">I05.0</t>
  </si>
  <si>
    <t xml:space="preserve">Mitral stenosis</t>
  </si>
  <si>
    <t xml:space="preserve">감염성 심내막염</t>
  </si>
  <si>
    <t xml:space="preserve">I33.0</t>
  </si>
  <si>
    <t xml:space="preserve">Acute and subacute infective endocarditis</t>
  </si>
  <si>
    <t xml:space="preserve">F041, F042, F043, F044</t>
  </si>
  <si>
    <t xml:space="preserve">불안정 협심증</t>
  </si>
  <si>
    <t xml:space="preserve">I20.0</t>
  </si>
  <si>
    <t xml:space="preserve">Unstable angina</t>
  </si>
  <si>
    <r>
      <rPr>
        <sz val="10"/>
        <rFont val="WenQuanYi Zen Hei"/>
        <family val="2"/>
      </rPr>
      <t xml:space="preserve">죽상경화성 심장병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다혈관 관상동맥질환</t>
    </r>
    <r>
      <rPr>
        <sz val="10"/>
        <rFont val="Arial"/>
        <family val="0"/>
        <charset val="1"/>
      </rPr>
      <t xml:space="preserve">)</t>
    </r>
  </si>
  <si>
    <t xml:space="preserve">I25.1</t>
  </si>
  <si>
    <t xml:space="preserve">Atherosclerotic heart disease</t>
  </si>
  <si>
    <t xml:space="preserve">F053, F054</t>
  </si>
  <si>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종</t>
    </r>
    <r>
      <rPr>
        <sz val="10"/>
        <rFont val="Arial"/>
        <family val="0"/>
        <charset val="1"/>
      </rPr>
      <t xml:space="preserve">~6</t>
    </r>
    <r>
      <rPr>
        <sz val="10"/>
        <rFont val="WenQuanYi Zen Hei"/>
        <family val="2"/>
      </rPr>
      <t xml:space="preserve">종</t>
    </r>
  </si>
  <si>
    <t xml:space="preserve">심방중격결손</t>
  </si>
  <si>
    <t xml:space="preserve">Q21.1</t>
  </si>
  <si>
    <t xml:space="preserve">Atrial septal defect</t>
  </si>
  <si>
    <t xml:space="preserve">심실중격결손</t>
  </si>
  <si>
    <t xml:space="preserve">Q21.0</t>
  </si>
  <si>
    <t xml:space="preserve">Ventricular septal defect</t>
  </si>
  <si>
    <t xml:space="preserve">팔로네징후</t>
  </si>
  <si>
    <t xml:space="preserve">Q21.3</t>
  </si>
  <si>
    <t xml:space="preserve">Tetralogy of Fallot</t>
  </si>
  <si>
    <r>
      <rPr>
        <sz val="10"/>
        <rFont val="WenQuanYi Zen Hei"/>
        <family val="2"/>
      </rPr>
      <t xml:space="preserve">심장의 양성 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점액종</t>
    </r>
    <r>
      <rPr>
        <sz val="10"/>
        <rFont val="Arial"/>
        <family val="0"/>
        <charset val="1"/>
      </rPr>
      <t xml:space="preserve">)</t>
    </r>
  </si>
  <si>
    <t xml:space="preserve">D15.1</t>
  </si>
  <si>
    <t xml:space="preserve">Benign neoplasm: Heart</t>
  </si>
  <si>
    <t xml:space="preserve">F061, F062, F063</t>
  </si>
  <si>
    <t xml:space="preserve">대동맥 박리</t>
  </si>
  <si>
    <t xml:space="preserve">I71.0</t>
  </si>
  <si>
    <t xml:space="preserve">Dissection of aorta [any part]</t>
  </si>
  <si>
    <t xml:space="preserve">흉부 대동맥류 파열</t>
  </si>
  <si>
    <t xml:space="preserve">I71.1</t>
  </si>
  <si>
    <t xml:space="preserve">Thoracic aortic aneurysm, ruptured</t>
  </si>
  <si>
    <t xml:space="preserve">대동맥 축착</t>
  </si>
  <si>
    <t xml:space="preserve">Q25.1</t>
  </si>
  <si>
    <t xml:space="preserve">Coarctation of aorta</t>
  </si>
  <si>
    <r>
      <rPr>
        <sz val="10"/>
        <rFont val="WenQuanYi Zen Hei"/>
        <family val="2"/>
      </rPr>
      <t xml:space="preserve">흉부 대동맥류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파열 미동반</t>
    </r>
    <r>
      <rPr>
        <sz val="10"/>
        <rFont val="Arial"/>
        <family val="0"/>
        <charset val="1"/>
      </rPr>
      <t xml:space="preserve">)</t>
    </r>
  </si>
  <si>
    <t xml:space="preserve">I71.2</t>
  </si>
  <si>
    <t xml:space="preserve">Thoracic aortic aneurysm, without mention of rupture</t>
  </si>
  <si>
    <t xml:space="preserve">F071, F072, F073</t>
  </si>
  <si>
    <t xml:space="preserve">복부 대동맥류 파열</t>
  </si>
  <si>
    <t xml:space="preserve">I71.3</t>
  </si>
  <si>
    <t xml:space="preserve">Abdominal aortic aneurysm, ruptured</t>
  </si>
  <si>
    <r>
      <rPr>
        <sz val="10"/>
        <rFont val="WenQuanYi Zen Hei"/>
        <family val="2"/>
      </rPr>
      <t xml:space="preserve">복부 대동맥류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파열 미동반</t>
    </r>
    <r>
      <rPr>
        <sz val="10"/>
        <rFont val="Arial"/>
        <family val="0"/>
        <charset val="1"/>
      </rPr>
      <t xml:space="preserve">)</t>
    </r>
  </si>
  <si>
    <t xml:space="preserve">I71.4</t>
  </si>
  <si>
    <t xml:space="preserve">Abdominal aortic aneurysm, without mention of rupture</t>
  </si>
  <si>
    <t xml:space="preserve">F081, F082, F083, F084</t>
  </si>
  <si>
    <t xml:space="preserve">F091, F092</t>
  </si>
  <si>
    <t xml:space="preserve">하지 심부정맥 혈전증</t>
  </si>
  <si>
    <t xml:space="preserve">I80.2</t>
  </si>
  <si>
    <t xml:space="preserve">Phlebitis and thrombophlebitis of other deep vessels of lower extremities</t>
  </si>
  <si>
    <t xml:space="preserve">I26.9</t>
  </si>
  <si>
    <t xml:space="preserve">Pulmonary embolism without mention of acute cor pulmonale</t>
  </si>
  <si>
    <t xml:space="preserve">하대정맥 색전증 및 혈전증</t>
  </si>
  <si>
    <t xml:space="preserve">I82.2</t>
  </si>
  <si>
    <t xml:space="preserve">Embolism and thrombosis of vena cava</t>
  </si>
  <si>
    <t xml:space="preserve">F101, F102, F103</t>
  </si>
  <si>
    <t xml:space="preserve">동맥관 개존</t>
  </si>
  <si>
    <t xml:space="preserve">Q25.0</t>
  </si>
  <si>
    <t xml:space="preserve">Patent ductus arteriosus</t>
  </si>
  <si>
    <t xml:space="preserve">F111, F112</t>
  </si>
  <si>
    <t xml:space="preserve">급성 전벽 심근경색증</t>
  </si>
  <si>
    <t xml:space="preserve">I21.0</t>
  </si>
  <si>
    <t xml:space="preserve">Acute transmural myocardial infarction of anterior wall</t>
  </si>
  <si>
    <t xml:space="preserve">급성 하벽 심근경색증</t>
  </si>
  <si>
    <t xml:space="preserve">I21.1</t>
  </si>
  <si>
    <t xml:space="preserve">Acute transmural myocardial infarction of inferior wall</t>
  </si>
  <si>
    <t xml:space="preserve">심각한 합병증</t>
  </si>
  <si>
    <t xml:space="preserve">F121, F122</t>
  </si>
  <si>
    <t xml:space="preserve">급성 심내막하 심근경색증</t>
  </si>
  <si>
    <t xml:space="preserve">I21.4</t>
  </si>
  <si>
    <t xml:space="preserve">Acute subendocardial myocardial infarction</t>
  </si>
  <si>
    <t xml:space="preserve">F133, F134, F135, F136</t>
  </si>
  <si>
    <r>
      <rPr>
        <sz val="10"/>
        <rFont val="WenQuanYi Zen Hei"/>
        <family val="2"/>
      </rPr>
      <t xml:space="preserve">기타 형태의 협심증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안정형 협심증</t>
    </r>
    <r>
      <rPr>
        <sz val="10"/>
        <rFont val="Arial"/>
        <family val="0"/>
        <charset val="1"/>
      </rPr>
      <t xml:space="preserve">)</t>
    </r>
  </si>
  <si>
    <t xml:space="preserve">I20.8</t>
  </si>
  <si>
    <t xml:space="preserve">Other forms of angina pectoris</t>
  </si>
  <si>
    <t xml:space="preserve">죽상경화성 심장병</t>
  </si>
  <si>
    <r>
      <rPr>
        <sz val="10"/>
        <rFont val="WenQuanYi Zen Hei"/>
        <family val="2"/>
      </rPr>
      <t xml:space="preserve">기타 형태의 만성 허혈성 심장병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관상동맥 만성 완전폐쇄</t>
    </r>
    <r>
      <rPr>
        <sz val="10"/>
        <rFont val="Arial"/>
        <family val="0"/>
        <charset val="1"/>
      </rPr>
      <t xml:space="preserve">)</t>
    </r>
  </si>
  <si>
    <t xml:space="preserve">I25.8</t>
  </si>
  <si>
    <t xml:space="preserve">Other forms of chronic ischaemic heart disease</t>
  </si>
  <si>
    <t xml:space="preserve">만성폐쇄성병변</t>
  </si>
  <si>
    <t xml:space="preserve">F141, F142, F143</t>
  </si>
  <si>
    <t xml:space="preserve">심방세동</t>
  </si>
  <si>
    <t xml:space="preserve">I48.9</t>
  </si>
  <si>
    <t xml:space="preserve">Atrial fibrillation and atrial flutter, unspecified</t>
  </si>
  <si>
    <t xml:space="preserve">발작성 심실상성 빈맥</t>
  </si>
  <si>
    <t xml:space="preserve">I47.1</t>
  </si>
  <si>
    <t xml:space="preserve">Supraventricular tachycardia</t>
  </si>
  <si>
    <t xml:space="preserve">전형적 심방조동</t>
  </si>
  <si>
    <t xml:space="preserve">I48.3</t>
  </si>
  <si>
    <t xml:space="preserve">Typical atrial flutter</t>
  </si>
  <si>
    <t xml:space="preserve">F151, F152, F153</t>
  </si>
  <si>
    <r>
      <rPr>
        <sz val="10"/>
        <rFont val="WenQuanYi Zen Hei"/>
        <family val="2"/>
      </rPr>
      <t xml:space="preserve">볼프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파킨슨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화이트 증후군</t>
    </r>
  </si>
  <si>
    <t xml:space="preserve">I45.6</t>
  </si>
  <si>
    <t xml:space="preserve">Pre-excitation syndrome</t>
  </si>
  <si>
    <t xml:space="preserve">F161, F162</t>
  </si>
  <si>
    <t xml:space="preserve">선천성 폐동맥판 협착</t>
  </si>
  <si>
    <t xml:space="preserve">Q22.1</t>
  </si>
  <si>
    <t xml:space="preserve">Congenital pulmonary valve stenosis</t>
  </si>
  <si>
    <t xml:space="preserve">선천성 대동맥판 협착</t>
  </si>
  <si>
    <t xml:space="preserve">Q23.0</t>
  </si>
  <si>
    <t xml:space="preserve">Congenital stenosis of aortic valve</t>
  </si>
  <si>
    <t xml:space="preserve">F181, F182</t>
  </si>
  <si>
    <t xml:space="preserve">말초혈관계 동정맥 기형</t>
  </si>
  <si>
    <t xml:space="preserve">Q27.3</t>
  </si>
  <si>
    <t xml:space="preserve">Peripheral arteriovenous malformation</t>
  </si>
  <si>
    <r>
      <rPr>
        <sz val="10"/>
        <rFont val="WenQuanYi Zen Hei"/>
        <family val="2"/>
      </rPr>
      <t xml:space="preserve">폐동정맥루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폐동맥 기형</t>
    </r>
    <r>
      <rPr>
        <sz val="10"/>
        <rFont val="Arial"/>
        <family val="0"/>
        <charset val="1"/>
      </rPr>
      <t xml:space="preserve">)</t>
    </r>
  </si>
  <si>
    <t xml:space="preserve">Q25.7</t>
  </si>
  <si>
    <t xml:space="preserve">Other congenital malformations of pulmonary artery</t>
  </si>
  <si>
    <t xml:space="preserve">관상동맥 동정맥루</t>
  </si>
  <si>
    <t xml:space="preserve">Q24.5</t>
  </si>
  <si>
    <t xml:space="preserve">Malformation of coronary vessels</t>
  </si>
  <si>
    <t xml:space="preserve">F192, F193, F194, F195</t>
  </si>
  <si>
    <r>
      <rPr>
        <sz val="10"/>
        <rFont val="WenQuanYi Zen Hei"/>
        <family val="2"/>
      </rPr>
      <t xml:space="preserve">사지 동맥의 죽상경화증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간헐파행</t>
    </r>
    <r>
      <rPr>
        <sz val="10"/>
        <rFont val="Arial"/>
        <family val="0"/>
        <charset val="1"/>
      </rPr>
      <t xml:space="preserve">)</t>
    </r>
  </si>
  <si>
    <t xml:space="preserve">I70.2</t>
  </si>
  <si>
    <t xml:space="preserve">Atherosclerosis of arteries of extremities</t>
  </si>
  <si>
    <t xml:space="preserve">하지 동맥 색전증 및 혈전증</t>
  </si>
  <si>
    <t xml:space="preserve">I74.3</t>
  </si>
  <si>
    <t xml:space="preserve">Embolism and thrombosis of arteries of lower extremities</t>
  </si>
  <si>
    <t xml:space="preserve">기타 동맥의 동맥류</t>
  </si>
  <si>
    <t xml:space="preserve">I72.8</t>
  </si>
  <si>
    <t xml:space="preserve">Aneurysm and dissection of other specified arteries</t>
  </si>
  <si>
    <t xml:space="preserve">당뇨병성 말초순환장애</t>
  </si>
  <si>
    <t xml:space="preserve">E11.5</t>
  </si>
  <si>
    <t xml:space="preserve">Type 2 diabetes mellitus with peripheral circulatory complications</t>
  </si>
  <si>
    <t xml:space="preserve">신동맥 협착 등 신혈관성 고혈압</t>
  </si>
  <si>
    <t xml:space="preserve">I15.0</t>
  </si>
  <si>
    <t xml:space="preserve">Renovascular hypertension</t>
  </si>
  <si>
    <t xml:space="preserve">동맥류</t>
  </si>
  <si>
    <t xml:space="preserve">I72.9</t>
  </si>
  <si>
    <t xml:space="preserve">Aneurysm and dissection of unspecified site</t>
  </si>
  <si>
    <t xml:space="preserve">쇄골하 동맥 협착</t>
  </si>
  <si>
    <t xml:space="preserve">I77.1</t>
  </si>
  <si>
    <t xml:space="preserve">Stricture of artery</t>
  </si>
  <si>
    <t xml:space="preserve">F211, F212, F213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</si>
  <si>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종</t>
    </r>
    <r>
      <rPr>
        <sz val="10"/>
        <rFont val="Arial"/>
        <family val="0"/>
        <charset val="1"/>
      </rPr>
      <t xml:space="preserve">~5</t>
    </r>
    <r>
      <rPr>
        <sz val="10"/>
        <rFont val="WenQuanYi Zen Hei"/>
        <family val="2"/>
      </rPr>
      <t xml:space="preserve">종</t>
    </r>
  </si>
  <si>
    <t xml:space="preserve">완전 방실차단</t>
  </si>
  <si>
    <t xml:space="preserve">I44.2</t>
  </si>
  <si>
    <t xml:space="preserve">Atrioventricular block, complete</t>
  </si>
  <si>
    <t xml:space="preserve">동기능부전증후군</t>
  </si>
  <si>
    <t xml:space="preserve">I49.5</t>
  </si>
  <si>
    <t xml:space="preserve">Sick sinus syndrome</t>
  </si>
  <si>
    <r>
      <rPr>
        <sz val="10"/>
        <rFont val="WenQuanYi Zen Hei"/>
        <family val="2"/>
      </rPr>
      <t xml:space="preserve">급성 심근경색증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방실차단 동반</t>
    </r>
    <r>
      <rPr>
        <sz val="10"/>
        <rFont val="Arial"/>
        <family val="0"/>
        <charset val="1"/>
      </rPr>
      <t xml:space="preserve">)</t>
    </r>
  </si>
  <si>
    <t xml:space="preserve">설치 사유 범위 확인</t>
  </si>
  <si>
    <t xml:space="preserve">사지 동맥의 죽상경화증</t>
  </si>
  <si>
    <t xml:space="preserve">하지 정맥류</t>
  </si>
  <si>
    <t xml:space="preserve">I83.9</t>
  </si>
  <si>
    <t xml:space="preserve">Varicose veins of lower extremities without ulcer or inflammation</t>
  </si>
  <si>
    <r>
      <rPr>
        <sz val="10"/>
        <rFont val="WenQuanYi Zen Hei"/>
        <family val="2"/>
      </rPr>
      <t xml:space="preserve">말기 신장병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혈액투석용 동정맥루 조성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</si>
  <si>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손목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손 혈관 손상</t>
    </r>
  </si>
  <si>
    <t xml:space="preserve">S65.9</t>
  </si>
  <si>
    <t xml:space="preserve">Injury of unspecified blood vessel at wrist and hand level</t>
  </si>
  <si>
    <r>
      <rPr>
        <sz val="10"/>
        <rFont val="WenQuanYi Zen Hei"/>
        <family val="2"/>
      </rPr>
      <t xml:space="preserve">당뇨병성 말초순환장애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괴저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</si>
  <si>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사지 동맥의 죽상경화증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괴저 동반</t>
    </r>
    <r>
      <rPr>
        <sz val="10"/>
        <rFont val="Arial"/>
        <family val="0"/>
        <charset val="1"/>
      </rPr>
      <t xml:space="preserve">)</t>
    </r>
  </si>
  <si>
    <t xml:space="preserve">괴저</t>
  </si>
  <si>
    <t xml:space="preserve">R02</t>
  </si>
  <si>
    <t xml:space="preserve">Gangrene, not elsewhere classified</t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</si>
  <si>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형 당뇨병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말초순환 합병증 동반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당뇨발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</si>
  <si>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사지동맥의 죽상경화증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괴저 포함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</si>
  <si>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폐쇄성 혈전혈관염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버거병</t>
    </r>
    <r>
      <rPr>
        <sz val="10"/>
        <rFont val="Arial"/>
        <family val="0"/>
        <charset val="1"/>
      </rPr>
      <t xml:space="preserve">)</t>
    </r>
  </si>
  <si>
    <t xml:space="preserve">Thromboangiitis obliterans [Buerger]</t>
  </si>
  <si>
    <t xml:space="preserve">F252, F253, F254</t>
  </si>
  <si>
    <r>
      <rPr>
        <sz val="10"/>
        <rFont val="WenQuanYi Zen Hei"/>
        <family val="2"/>
      </rPr>
      <t xml:space="preserve">하지의 정맥류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궤양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염증 없음</t>
    </r>
    <r>
      <rPr>
        <sz val="10"/>
        <rFont val="Arial"/>
        <family val="0"/>
        <charset val="1"/>
      </rPr>
      <t xml:space="preserve">)</t>
    </r>
  </si>
  <si>
    <t xml:space="preserve">궤양을 동반한 하지의 정맥류</t>
  </si>
  <si>
    <t xml:space="preserve">I83.0</t>
  </si>
  <si>
    <t xml:space="preserve">Varicose veins of lower extremities with ulcer</t>
  </si>
  <si>
    <t xml:space="preserve">염증을 동반한 하지의 정맥류</t>
  </si>
  <si>
    <t xml:space="preserve">I83.1</t>
  </si>
  <si>
    <t xml:space="preserve">Varicose veins of lower extremities with inflammation</t>
  </si>
  <si>
    <t xml:space="preserve">하지동맥의 색전증 및 혈전증</t>
  </si>
  <si>
    <t xml:space="preserve">하지동맥의 동맥류</t>
  </si>
  <si>
    <t xml:space="preserve">I72.4</t>
  </si>
  <si>
    <t xml:space="preserve">Aneurysm and dissection of artery of lower extremity</t>
  </si>
  <si>
    <t xml:space="preserve">후천성 동정맥루</t>
  </si>
  <si>
    <t xml:space="preserve">I77.0</t>
  </si>
  <si>
    <t xml:space="preserve">Arteriovenous fistula, acquired</t>
  </si>
  <si>
    <t xml:space="preserve">G011, G012, G013</t>
  </si>
  <si>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종</t>
    </r>
    <r>
      <rPr>
        <sz val="10"/>
        <rFont val="Arial"/>
        <family val="0"/>
        <charset val="1"/>
      </rPr>
      <t xml:space="preserve">~6</t>
    </r>
    <r>
      <rPr>
        <sz val="10"/>
        <rFont val="WenQuanYi Zen Hei"/>
        <family val="2"/>
      </rPr>
      <t xml:space="preserve">종</t>
    </r>
  </si>
  <si>
    <r>
      <rPr>
        <sz val="10"/>
        <rFont val="WenQuanYi Zen Hei"/>
        <family val="2"/>
      </rPr>
      <t xml:space="preserve">식도의 악성신생물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식도암</t>
    </r>
    <r>
      <rPr>
        <sz val="10"/>
        <rFont val="Arial"/>
        <family val="0"/>
        <charset val="1"/>
      </rPr>
      <t xml:space="preserve">)</t>
    </r>
  </si>
  <si>
    <t xml:space="preserve">C15.9</t>
  </si>
  <si>
    <t xml:space="preserve">Malignant neoplasm: Oesophagus, unspecified</t>
  </si>
  <si>
    <r>
      <rPr>
        <sz val="10"/>
        <rFont val="WenQuanYi Zen Hei"/>
        <family val="2"/>
      </rPr>
      <t xml:space="preserve">식도 이완불능증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아칼라지아</t>
    </r>
    <r>
      <rPr>
        <sz val="10"/>
        <rFont val="Arial"/>
        <family val="0"/>
        <charset val="1"/>
      </rPr>
      <t xml:space="preserve">)</t>
    </r>
  </si>
  <si>
    <t xml:space="preserve">K22.0</t>
  </si>
  <si>
    <t xml:space="preserve">Achalasia of cardia</t>
  </si>
  <si>
    <r>
      <rPr>
        <sz val="10"/>
        <rFont val="WenQuanYi Zen Hei"/>
        <family val="2"/>
      </rPr>
      <t xml:space="preserve">식도의 폐쇄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식도협착</t>
    </r>
    <r>
      <rPr>
        <sz val="10"/>
        <rFont val="Arial"/>
        <family val="0"/>
        <charset val="1"/>
      </rPr>
      <t xml:space="preserve">)</t>
    </r>
  </si>
  <si>
    <t xml:space="preserve">K22.2</t>
  </si>
  <si>
    <t xml:space="preserve">Oesophageal obstruction</t>
  </si>
  <si>
    <t xml:space="preserve">식도의 양성신생물</t>
  </si>
  <si>
    <t xml:space="preserve">D13.0</t>
  </si>
  <si>
    <t xml:space="preserve">Benign neoplasm: Oesophagus</t>
  </si>
  <si>
    <t xml:space="preserve">G021, G022</t>
  </si>
  <si>
    <r>
      <rPr>
        <sz val="10"/>
        <rFont val="WenQuanYi Zen Hei"/>
        <family val="2"/>
      </rPr>
      <t xml:space="preserve">직장의 악성신생물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직장암</t>
    </r>
    <r>
      <rPr>
        <sz val="10"/>
        <rFont val="Arial"/>
        <family val="0"/>
        <charset val="1"/>
      </rPr>
      <t xml:space="preserve">)</t>
    </r>
  </si>
  <si>
    <t xml:space="preserve">C20</t>
  </si>
  <si>
    <t xml:space="preserve">Malignant neoplasm of rectum</t>
  </si>
  <si>
    <t xml:space="preserve">직장구불결장 이행부의 악성신생물</t>
  </si>
  <si>
    <t xml:space="preserve">C19</t>
  </si>
  <si>
    <t xml:space="preserve">Malignant neoplasm of rectosigmoid junction</t>
  </si>
  <si>
    <t xml:space="preserve">G031, G032</t>
  </si>
  <si>
    <r>
      <rPr>
        <sz val="10"/>
        <rFont val="WenQuanYi Zen Hei"/>
        <family val="2"/>
      </rPr>
      <t xml:space="preserve">직장의 양성신생물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선종</t>
    </r>
    <r>
      <rPr>
        <sz val="10"/>
        <rFont val="Arial"/>
        <family val="0"/>
        <charset val="1"/>
      </rPr>
      <t xml:space="preserve">)</t>
    </r>
  </si>
  <si>
    <t xml:space="preserve">D12.8</t>
  </si>
  <si>
    <t xml:space="preserve">Benign neoplasm: Rectum</t>
  </si>
  <si>
    <t xml:space="preserve">직장의 제자리암종</t>
  </si>
  <si>
    <t xml:space="preserve">D01.2</t>
  </si>
  <si>
    <t xml:space="preserve">Carcinoma in situ: Rectum</t>
  </si>
  <si>
    <t xml:space="preserve">직장 탈출</t>
  </si>
  <si>
    <t xml:space="preserve">K62.3</t>
  </si>
  <si>
    <t xml:space="preserve">Rectal prolapse</t>
  </si>
  <si>
    <t xml:space="preserve">G041, G042</t>
  </si>
  <si>
    <r>
      <rPr>
        <sz val="10"/>
        <rFont val="WenQuanYi Zen Hei"/>
        <family val="2"/>
      </rPr>
      <t xml:space="preserve">직장의 악성신생물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조기 직장암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</si>
  <si>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악성종양의 경우</t>
    </r>
    <r>
      <rPr>
        <sz val="10"/>
        <rFont val="Arial"/>
        <family val="0"/>
        <charset val="1"/>
      </rPr>
      <t xml:space="preserve">(G041)</t>
    </r>
  </si>
  <si>
    <r>
      <rPr>
        <sz val="10"/>
        <rFont val="WenQuanYi Zen Hei"/>
        <family val="2"/>
      </rPr>
      <t xml:space="preserve">직장의 행동양식 불명 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직장 신경내분비종양 등</t>
    </r>
    <r>
      <rPr>
        <sz val="10"/>
        <rFont val="Arial"/>
        <family val="0"/>
        <charset val="1"/>
      </rPr>
      <t xml:space="preserve">)</t>
    </r>
  </si>
  <si>
    <t xml:space="preserve">D37.5</t>
  </si>
  <si>
    <t xml:space="preserve">Neoplasm of uncertain or unknown behaviour: Rectum</t>
  </si>
  <si>
    <r>
      <rPr>
        <sz val="10"/>
        <rFont val="WenQuanYi Zen Hei"/>
        <family val="2"/>
      </rPr>
      <t xml:space="preserve">직장 신경내분비종양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유암종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은 병리 결과에 따라 </t>
    </r>
    <r>
      <rPr>
        <sz val="10"/>
        <rFont val="Arial"/>
        <family val="0"/>
        <charset val="1"/>
      </rPr>
      <t xml:space="preserve">C20(</t>
    </r>
    <r>
      <rPr>
        <sz val="10"/>
        <rFont val="WenQuanYi Zen Hei"/>
        <family val="2"/>
      </rPr>
      <t xml:space="preserve">악성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으로 분류되는 경우가 많고 보험 분쟁이 잦음 — 진단서 코드 확인</t>
    </r>
  </si>
  <si>
    <t xml:space="preserve">십이지장의 악성신생물</t>
  </si>
  <si>
    <t xml:space="preserve">C17.0</t>
  </si>
  <si>
    <t xml:space="preserve">Malignant neoplasm: Duodenum</t>
  </si>
  <si>
    <t xml:space="preserve">천공을 동반한 만성 십이지장궤양</t>
  </si>
  <si>
    <t xml:space="preserve">K26.5</t>
  </si>
  <si>
    <t xml:space="preserve">Duodenal ulcer : chronic or unspecified with perforation</t>
  </si>
  <si>
    <t xml:space="preserve">십이지장의 양성신생물</t>
  </si>
  <si>
    <t xml:space="preserve">D13.2</t>
  </si>
  <si>
    <t xml:space="preserve">Benign neoplasm: Duodenum</t>
  </si>
  <si>
    <t xml:space="preserve">출혈을 동반한 식도정맥류</t>
  </si>
  <si>
    <t xml:space="preserve">I85.0</t>
  </si>
  <si>
    <t xml:space="preserve">Oesophageal varices with bleeding</t>
  </si>
  <si>
    <r>
      <rPr>
        <sz val="10"/>
        <rFont val="WenQuanYi Zen Hei"/>
        <family val="2"/>
      </rPr>
      <t xml:space="preserve">간경화증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원인 질환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</si>
  <si>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알코올성 간경화증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원인 질환</t>
    </r>
    <r>
      <rPr>
        <sz val="10"/>
        <rFont val="Arial"/>
        <family val="0"/>
        <charset val="1"/>
      </rPr>
      <t xml:space="preserve">)</t>
    </r>
  </si>
  <si>
    <t xml:space="preserve">G071, G072</t>
  </si>
  <si>
    <t xml:space="preserve">위 분문부의 악성신생물</t>
  </si>
  <si>
    <t xml:space="preserve">C16.0</t>
  </si>
  <si>
    <t xml:space="preserve">Malignant neoplasm: Cardia</t>
  </si>
  <si>
    <t xml:space="preserve">위체부의 악성신생물</t>
  </si>
  <si>
    <t xml:space="preserve">C16.2</t>
  </si>
  <si>
    <t xml:space="preserve">Malignant neoplasm: Body of stomach</t>
  </si>
  <si>
    <r>
      <rPr>
        <sz val="10"/>
        <rFont val="WenQuanYi Zen Hei"/>
        <family val="2"/>
      </rPr>
      <t xml:space="preserve">위의 악성신생물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위암</t>
    </r>
    <r>
      <rPr>
        <sz val="10"/>
        <rFont val="Arial"/>
        <family val="0"/>
        <charset val="1"/>
      </rPr>
      <t xml:space="preserve">)</t>
    </r>
  </si>
  <si>
    <t xml:space="preserve">C16.9</t>
  </si>
  <si>
    <t xml:space="preserve">Malignant neoplasm: Stomach, unspecified</t>
  </si>
  <si>
    <t xml:space="preserve">G081, G082</t>
  </si>
  <si>
    <t xml:space="preserve">위 유문동의 악성신생물</t>
  </si>
  <si>
    <t xml:space="preserve">C16.3</t>
  </si>
  <si>
    <t xml:space="preserve">Malignant neoplasm: Pyloric antrum</t>
  </si>
  <si>
    <t xml:space="preserve">천공을 동반한 만성 위궤양</t>
  </si>
  <si>
    <t xml:space="preserve">K25.5</t>
  </si>
  <si>
    <t xml:space="preserve">Gastric ulcer : chronic or unspecified with perforation</t>
  </si>
  <si>
    <t xml:space="preserve">G091, G092, G093, G094</t>
  </si>
  <si>
    <r>
      <rPr>
        <sz val="10"/>
        <rFont val="WenQuanYi Zen Hei"/>
        <family val="2"/>
      </rPr>
      <t xml:space="preserve">위의 행동양식 불명 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위장관기질종양 등</t>
    </r>
    <r>
      <rPr>
        <sz val="10"/>
        <rFont val="Arial"/>
        <family val="0"/>
        <charset val="1"/>
      </rPr>
      <t xml:space="preserve">)</t>
    </r>
  </si>
  <si>
    <t xml:space="preserve">D37.1</t>
  </si>
  <si>
    <t xml:space="preserve">Neoplasm of uncertain or unknown behaviour: Stomach</t>
  </si>
  <si>
    <t xml:space="preserve">위의 양성신생물</t>
  </si>
  <si>
    <t xml:space="preserve">D13.1</t>
  </si>
  <si>
    <t xml:space="preserve">Benign neoplasm: Stomach</t>
  </si>
  <si>
    <r>
      <rPr>
        <sz val="10"/>
        <rFont val="WenQuanYi Zen Hei"/>
        <family val="2"/>
      </rPr>
      <t xml:space="preserve">위의 악성신생물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조기 위암</t>
    </r>
    <r>
      <rPr>
        <sz val="10"/>
        <rFont val="Arial"/>
        <family val="0"/>
        <charset val="1"/>
      </rPr>
      <t xml:space="preserve">)</t>
    </r>
  </si>
  <si>
    <t xml:space="preserve">G101, G102</t>
  </si>
  <si>
    <t xml:space="preserve">천공을 동반한 급성 위궤양</t>
  </si>
  <si>
    <t xml:space="preserve">K25.1</t>
  </si>
  <si>
    <t xml:space="preserve">Gastric ulcer : acute with perforation</t>
  </si>
  <si>
    <t xml:space="preserve">천공을 동반한 급성 십이지장궤양</t>
  </si>
  <si>
    <t xml:space="preserve">K26.1</t>
  </si>
  <si>
    <t xml:space="preserve">Duodenal ulcer : acute with perforation</t>
  </si>
  <si>
    <t xml:space="preserve">출혈을 동반한 급성 십이지장궤양</t>
  </si>
  <si>
    <t xml:space="preserve">K26.0</t>
  </si>
  <si>
    <t xml:space="preserve">Duodenal ulcer : acute with haemorrhage</t>
  </si>
  <si>
    <t xml:space="preserve">G111, G112</t>
  </si>
  <si>
    <r>
      <rPr>
        <sz val="10"/>
        <rFont val="WenQuanYi Zen Hei"/>
        <family val="2"/>
      </rPr>
      <t xml:space="preserve">식도염을 동반한 위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식도역류병</t>
    </r>
  </si>
  <si>
    <t xml:space="preserve">K21.0</t>
  </si>
  <si>
    <t xml:space="preserve">Gastro-oesophageal reflux disease with oesophagitis</t>
  </si>
  <si>
    <t xml:space="preserve">선천성 비대날문협착</t>
  </si>
  <si>
    <t xml:space="preserve">Q40.0</t>
  </si>
  <si>
    <t xml:space="preserve">Congenital hypertrophic pyloric stenosis</t>
  </si>
  <si>
    <t xml:space="preserve">G121, G122</t>
  </si>
  <si>
    <r>
      <rPr>
        <sz val="10"/>
        <rFont val="WenQuanYi Zen Hei"/>
        <family val="2"/>
      </rPr>
      <t xml:space="preserve">결장의 양성신생물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가족성 선종성 용종증</t>
    </r>
    <r>
      <rPr>
        <sz val="10"/>
        <rFont val="Arial"/>
        <family val="0"/>
        <charset val="1"/>
      </rPr>
      <t xml:space="preserve">)</t>
    </r>
  </si>
  <si>
    <t xml:space="preserve">D12.6</t>
  </si>
  <si>
    <t xml:space="preserve">Benign neoplasm: Colon, unspecified</t>
  </si>
  <si>
    <r>
      <rPr>
        <sz val="10"/>
        <rFont val="WenQuanYi Zen Hei"/>
        <family val="2"/>
      </rPr>
      <t xml:space="preserve">궤양성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만성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범결장염</t>
    </r>
  </si>
  <si>
    <t xml:space="preserve">K51.0</t>
  </si>
  <si>
    <t xml:space="preserve">Ulcerative (chronic) pancolitis</t>
  </si>
  <si>
    <r>
      <rPr>
        <sz val="10"/>
        <rFont val="WenQuanYi Zen Hei"/>
        <family val="2"/>
      </rPr>
      <t xml:space="preserve">결장의 악성신생물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다발성 대장암</t>
    </r>
    <r>
      <rPr>
        <sz val="10"/>
        <rFont val="Arial"/>
        <family val="0"/>
        <charset val="1"/>
      </rPr>
      <t xml:space="preserve">)</t>
    </r>
  </si>
  <si>
    <t xml:space="preserve">C18.9</t>
  </si>
  <si>
    <t xml:space="preserve">Malignant neoplasm: Colon, unspecified</t>
  </si>
  <si>
    <t xml:space="preserve">G131, G132</t>
  </si>
  <si>
    <t xml:space="preserve">구불결장의 악성신생물</t>
  </si>
  <si>
    <t xml:space="preserve">C18.7</t>
  </si>
  <si>
    <t xml:space="preserve">Malignant neoplasm: Sigmoid colon</t>
  </si>
  <si>
    <t xml:space="preserve">상행결장의 악성신생물</t>
  </si>
  <si>
    <t xml:space="preserve">C18.2</t>
  </si>
  <si>
    <t xml:space="preserve">Malignant neoplasm: Ascending colon</t>
  </si>
  <si>
    <t xml:space="preserve">맹장의 악성신생물</t>
  </si>
  <si>
    <t xml:space="preserve">C18.0</t>
  </si>
  <si>
    <t xml:space="preserve">Malignant neoplasm: Caecum</t>
  </si>
  <si>
    <t xml:space="preserve">G141, G142</t>
  </si>
  <si>
    <t xml:space="preserve">천공 및 농양을 동반한 대장의 게실병</t>
  </si>
  <si>
    <t xml:space="preserve">K57.2</t>
  </si>
  <si>
    <t xml:space="preserve">Diverticular disease of large intestine with perforation and abscess</t>
  </si>
  <si>
    <t xml:space="preserve">천공 또는 농양이 없는 대장의 게실병</t>
  </si>
  <si>
    <t xml:space="preserve">K57.3</t>
  </si>
  <si>
    <t xml:space="preserve">Diverticular disease of large intestine without perforation or abscess</t>
  </si>
  <si>
    <r>
      <rPr>
        <sz val="10"/>
        <rFont val="WenQuanYi Zen Hei"/>
        <family val="2"/>
      </rPr>
      <t xml:space="preserve">장의 염전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구불결장 염전</t>
    </r>
    <r>
      <rPr>
        <sz val="10"/>
        <rFont val="Arial"/>
        <family val="0"/>
        <charset val="1"/>
      </rPr>
      <t xml:space="preserve">)</t>
    </r>
  </si>
  <si>
    <t xml:space="preserve">K56.2</t>
  </si>
  <si>
    <t xml:space="preserve">Volvulus</t>
  </si>
  <si>
    <r>
      <rPr>
        <sz val="10"/>
        <rFont val="WenQuanYi Zen Hei"/>
        <family val="2"/>
      </rPr>
      <t xml:space="preserve">결장의 양성신생물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선종</t>
    </r>
    <r>
      <rPr>
        <sz val="10"/>
        <rFont val="Arial"/>
        <family val="0"/>
        <charset val="1"/>
      </rPr>
      <t xml:space="preserve">)</t>
    </r>
  </si>
  <si>
    <t xml:space="preserve">G151, G152</t>
  </si>
  <si>
    <r>
      <rPr>
        <sz val="10"/>
        <rFont val="WenQuanYi Zen Hei"/>
        <family val="2"/>
      </rPr>
      <t xml:space="preserve">장의 천공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비외상성</t>
    </r>
    <r>
      <rPr>
        <sz val="10"/>
        <rFont val="Arial"/>
        <family val="0"/>
        <charset val="1"/>
      </rPr>
      <t xml:space="preserve">)</t>
    </r>
  </si>
  <si>
    <t xml:space="preserve">K63.1</t>
  </si>
  <si>
    <t xml:space="preserve">Perforation of intestine (nontraumatic)</t>
  </si>
  <si>
    <t xml:space="preserve">장중첩증</t>
  </si>
  <si>
    <t xml:space="preserve">K56.1</t>
  </si>
  <si>
    <t xml:space="preserve">Intussusception</t>
  </si>
  <si>
    <t xml:space="preserve">대장의 크론병</t>
  </si>
  <si>
    <t xml:space="preserve">K50.1</t>
  </si>
  <si>
    <t xml:space="preserve">Crohn disease of large intestine</t>
  </si>
  <si>
    <t xml:space="preserve">G171, G172, G173</t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</si>
  <si>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종</t>
    </r>
    <r>
      <rPr>
        <sz val="10"/>
        <rFont val="Arial"/>
        <family val="0"/>
        <charset val="1"/>
      </rPr>
      <t xml:space="preserve">~5</t>
    </r>
    <r>
      <rPr>
        <sz val="10"/>
        <rFont val="WenQuanYi Zen Hei"/>
        <family val="2"/>
      </rPr>
      <t xml:space="preserve">종</t>
    </r>
  </si>
  <si>
    <r>
      <rPr>
        <sz val="10"/>
        <rFont val="WenQuanYi Zen Hei"/>
        <family val="2"/>
      </rPr>
      <t xml:space="preserve">폐쇄를 동반한 장유착</t>
    </r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띠</t>
    </r>
    <r>
      <rPr>
        <sz val="10"/>
        <rFont val="Arial"/>
        <family val="0"/>
        <charset val="1"/>
      </rPr>
      <t xml:space="preserve">](</t>
    </r>
    <r>
      <rPr>
        <sz val="10"/>
        <rFont val="WenQuanYi Zen Hei"/>
        <family val="2"/>
      </rPr>
      <t xml:space="preserve">유착성 장폐색</t>
    </r>
    <r>
      <rPr>
        <sz val="10"/>
        <rFont val="Arial"/>
        <family val="0"/>
        <charset val="1"/>
      </rPr>
      <t xml:space="preserve">)</t>
    </r>
  </si>
  <si>
    <t xml:space="preserve">K56.5</t>
  </si>
  <si>
    <t xml:space="preserve">Intestinal adhesions [bands] with obstruction</t>
  </si>
  <si>
    <r>
      <rPr>
        <sz val="10"/>
        <rFont val="WenQuanYi Zen Hei"/>
        <family val="2"/>
      </rPr>
      <t xml:space="preserve">장의 급성 혈관장애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장간막 혈관폐쇄</t>
    </r>
    <r>
      <rPr>
        <sz val="10"/>
        <rFont val="Arial"/>
        <family val="0"/>
        <charset val="1"/>
      </rPr>
      <t xml:space="preserve">)</t>
    </r>
  </si>
  <si>
    <t xml:space="preserve">K55.0</t>
  </si>
  <si>
    <t xml:space="preserve">Acute vascular disorders of intestine</t>
  </si>
  <si>
    <t xml:space="preserve">소장의 크론병</t>
  </si>
  <si>
    <t xml:space="preserve">K50.0</t>
  </si>
  <si>
    <t xml:space="preserve">Crohn disease of small intestine</t>
  </si>
  <si>
    <t xml:space="preserve">소장의 악성신생물</t>
  </si>
  <si>
    <t xml:space="preserve">C17.9</t>
  </si>
  <si>
    <t xml:space="preserve">Malignant neoplasm: Small intestine, unspecified</t>
  </si>
  <si>
    <r>
      <rPr>
        <sz val="10"/>
        <rFont val="WenQuanYi Zen Hei"/>
        <family val="2"/>
      </rPr>
      <t xml:space="preserve">직장의 악성신생물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장루 조성</t>
    </r>
    <r>
      <rPr>
        <sz val="10"/>
        <rFont val="Arial"/>
        <family val="0"/>
        <charset val="1"/>
      </rPr>
      <t xml:space="preserve">)</t>
    </r>
  </si>
  <si>
    <t xml:space="preserve">직장암 수술 시 장루 조성</t>
  </si>
  <si>
    <r>
      <rPr>
        <sz val="10"/>
        <rFont val="WenQuanYi Zen Hei"/>
        <family val="2"/>
      </rPr>
      <t xml:space="preserve">결장루 처치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장루 복원</t>
    </r>
    <r>
      <rPr>
        <sz val="10"/>
        <rFont val="Arial"/>
        <family val="0"/>
        <charset val="1"/>
      </rPr>
      <t xml:space="preserve">)</t>
    </r>
  </si>
  <si>
    <t xml:space="preserve">Z43.3</t>
  </si>
  <si>
    <r>
      <rPr>
        <sz val="10"/>
        <rFont val="WenQuanYi Zen Hei"/>
        <family val="2"/>
      </rPr>
      <t xml:space="preserve">질병 담보 — 상태 코드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원인 질병으로 판단</t>
    </r>
    <r>
      <rPr>
        <sz val="10"/>
        <rFont val="Arial"/>
        <family val="0"/>
        <charset val="1"/>
      </rPr>
      <t xml:space="preserve">)</t>
    </r>
  </si>
  <si>
    <t xml:space="preserve">Attention to colostomy</t>
  </si>
  <si>
    <t xml:space="preserve">하트만 수술 등 장루 조성 시</t>
  </si>
  <si>
    <r>
      <rPr>
        <sz val="10"/>
        <rFont val="WenQuanYi Zen Hei"/>
        <family val="2"/>
      </rPr>
      <t xml:space="preserve">횡격막 탈장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식도열공 탈장</t>
    </r>
    <r>
      <rPr>
        <sz val="10"/>
        <rFont val="Arial"/>
        <family val="0"/>
        <charset val="1"/>
      </rPr>
      <t xml:space="preserve">)</t>
    </r>
  </si>
  <si>
    <t xml:space="preserve">K44.9</t>
  </si>
  <si>
    <t xml:space="preserve">Diaphragmatic hernia without obstruction or gangrene</t>
  </si>
  <si>
    <t xml:space="preserve">폐쇄를 동반한 횡격막 탈장</t>
  </si>
  <si>
    <t xml:space="preserve">K44.0</t>
  </si>
  <si>
    <t xml:space="preserve">Diaphragmatic hernia with obstruction, without gangrene</t>
  </si>
  <si>
    <t xml:space="preserve">선천성 횡격막 탈장</t>
  </si>
  <si>
    <t xml:space="preserve">Q79.0</t>
  </si>
  <si>
    <t xml:space="preserve">Congenital diaphragmatic hernia</t>
  </si>
  <si>
    <t xml:space="preserve">G201, G202, G203, G204</t>
  </si>
  <si>
    <r>
      <rPr>
        <sz val="10"/>
        <rFont val="WenQuanYi Zen Hei"/>
        <family val="2"/>
      </rPr>
      <t xml:space="preserve">절개 탈장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반흔탈장</t>
    </r>
    <r>
      <rPr>
        <sz val="10"/>
        <rFont val="Arial"/>
        <family val="0"/>
        <charset val="1"/>
      </rPr>
      <t xml:space="preserve">)</t>
    </r>
  </si>
  <si>
    <t xml:space="preserve">K43.2</t>
  </si>
  <si>
    <t xml:space="preserve">Incisional hernia without obstruction or gangrene</t>
  </si>
  <si>
    <t xml:space="preserve">배꼽 탈장</t>
  </si>
  <si>
    <t xml:space="preserve">K42.9</t>
  </si>
  <si>
    <t xml:space="preserve">Umbilical hernia without obstruction or gangrene</t>
  </si>
  <si>
    <t xml:space="preserve">괴저를 동반한 배꼽 탈장</t>
  </si>
  <si>
    <t xml:space="preserve">K42.1</t>
  </si>
  <si>
    <t xml:space="preserve">Umbilical hernia with gangrene</t>
  </si>
  <si>
    <t xml:space="preserve">장절제 동반 시</t>
  </si>
  <si>
    <t xml:space="preserve">G211, G212, G213, G214</t>
  </si>
  <si>
    <r>
      <rPr>
        <sz val="10"/>
        <rFont val="WenQuanYi Zen Hei"/>
        <family val="2"/>
      </rPr>
      <t xml:space="preserve">급성 충수염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단순</t>
    </r>
    <r>
      <rPr>
        <sz val="10"/>
        <rFont val="Arial"/>
        <family val="0"/>
        <charset val="1"/>
      </rPr>
      <t xml:space="preserve">)</t>
    </r>
  </si>
  <si>
    <t xml:space="preserve">K35.8</t>
  </si>
  <si>
    <t xml:space="preserve">Acute appendicitis, other and unspecified</t>
  </si>
  <si>
    <t xml:space="preserve">국한성 복막염을 동반한 급성 충수염</t>
  </si>
  <si>
    <t xml:space="preserve">K35.3</t>
  </si>
  <si>
    <t xml:space="preserve">Acute appendicitis with localized peritonitis</t>
  </si>
  <si>
    <t xml:space="preserve">복잡 주진단</t>
  </si>
  <si>
    <t xml:space="preserve">범발성 복막염을 동반한 급성 충수염</t>
  </si>
  <si>
    <t xml:space="preserve">K35.2</t>
  </si>
  <si>
    <t xml:space="preserve">Acute appendicitis with generalized peritonitis</t>
  </si>
  <si>
    <t xml:space="preserve">G221, G222, G223, G224</t>
  </si>
  <si>
    <r>
      <rPr>
        <sz val="10"/>
        <rFont val="WenQuanYi Zen Hei"/>
        <family val="2"/>
      </rPr>
      <t xml:space="preserve">서혜 탈장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한쪽</t>
    </r>
    <r>
      <rPr>
        <sz val="10"/>
        <rFont val="Arial"/>
        <family val="0"/>
        <charset val="1"/>
      </rPr>
      <t xml:space="preserve">)</t>
    </r>
  </si>
  <si>
    <t xml:space="preserve">K40.9</t>
  </si>
  <si>
    <t xml:space="preserve">Unilateral or unspecified inguinal hernia, without obstruction or gangrene</t>
  </si>
  <si>
    <t xml:space="preserve">재발 시</t>
  </si>
  <si>
    <t xml:space="preserve">양쪽 서혜 탈장</t>
  </si>
  <si>
    <t xml:space="preserve">K40.2</t>
  </si>
  <si>
    <t xml:space="preserve">Bilateral inguinal hernia, without obstruction or gangrene</t>
  </si>
  <si>
    <t xml:space="preserve">대퇴 탈장</t>
  </si>
  <si>
    <t xml:space="preserve">K41.9</t>
  </si>
  <si>
    <t xml:space="preserve">Unilateral or unspecified femoral hernia, without obstruction or gangrene</t>
  </si>
  <si>
    <t xml:space="preserve">괴저를 동반한 한쪽 서혜 탈장</t>
  </si>
  <si>
    <t xml:space="preserve">K40.4</t>
  </si>
  <si>
    <t xml:space="preserve">Unilateral or unspecified inguinal hernia, with gangrene</t>
  </si>
  <si>
    <t xml:space="preserve">괴저를 동반한 양쪽 서혜 탈장</t>
  </si>
  <si>
    <t xml:space="preserve">K40.1</t>
  </si>
  <si>
    <t xml:space="preserve">Bilateral inguinal hernia, with gangrene</t>
  </si>
  <si>
    <t xml:space="preserve">괴저를 동반한 한쪽 대퇴 탈장</t>
  </si>
  <si>
    <t xml:space="preserve">K41.4</t>
  </si>
  <si>
    <t xml:space="preserve">Unilateral or unspecified femoral hernia, with gangrene</t>
  </si>
  <si>
    <t xml:space="preserve">G241, G242</t>
  </si>
  <si>
    <r>
      <rPr>
        <sz val="10"/>
        <rFont val="WenQuanYi Zen Hei"/>
        <family val="2"/>
      </rPr>
      <t xml:space="preserve">대퇴 탈장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한쪽</t>
    </r>
    <r>
      <rPr>
        <sz val="10"/>
        <rFont val="Arial"/>
        <family val="0"/>
        <charset val="1"/>
      </rPr>
      <t xml:space="preserve">)</t>
    </r>
  </si>
  <si>
    <t xml:space="preserve">G251, G252, G253</t>
  </si>
  <si>
    <r>
      <rPr>
        <sz val="10"/>
        <rFont val="WenQuanYi Zen Hei"/>
        <family val="2"/>
      </rPr>
      <t xml:space="preserve">폐쇄를 동반한 한쪽 서혜 탈장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감돈탈장</t>
    </r>
    <r>
      <rPr>
        <sz val="10"/>
        <rFont val="Arial"/>
        <family val="0"/>
        <charset val="1"/>
      </rPr>
      <t xml:space="preserve">)</t>
    </r>
  </si>
  <si>
    <t xml:space="preserve">K40.3</t>
  </si>
  <si>
    <t xml:space="preserve">Unilateral or unspecified inguinal hernia, with obstruction, without gangrene</t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</si>
  <si>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도 치핵</t>
    </r>
  </si>
  <si>
    <t xml:space="preserve">K64.2</t>
  </si>
  <si>
    <t xml:space="preserve">Third degree haemorrhoids</t>
  </si>
  <si>
    <r>
      <rPr>
        <sz val="10"/>
        <rFont val="WenQuanYi Zen Hei"/>
        <family val="2"/>
      </rPr>
      <t xml:space="preserve">치루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치열 동시 수술 시</t>
    </r>
  </si>
  <si>
    <r>
      <rPr>
        <sz val="10"/>
        <rFont val="WenQuanYi Zen Hei"/>
        <family val="2"/>
      </rPr>
      <t xml:space="preserve">항문 누공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치루</t>
    </r>
    <r>
      <rPr>
        <sz val="10"/>
        <rFont val="Arial"/>
        <family val="0"/>
        <charset val="1"/>
      </rPr>
      <t xml:space="preserve">)</t>
    </r>
  </si>
  <si>
    <t xml:space="preserve">K60.3</t>
  </si>
  <si>
    <t xml:space="preserve">Anal fistula</t>
  </si>
  <si>
    <r>
      <rPr>
        <sz val="10"/>
        <rFont val="WenQuanYi Zen Hei"/>
        <family val="2"/>
      </rPr>
      <t xml:space="preserve">만성 항문열창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치열</t>
    </r>
    <r>
      <rPr>
        <sz val="10"/>
        <rFont val="Arial"/>
        <family val="0"/>
        <charset val="1"/>
      </rPr>
      <t xml:space="preserve">)</t>
    </r>
  </si>
  <si>
    <t xml:space="preserve">K60.1</t>
  </si>
  <si>
    <t xml:space="preserve">Chronic anal fissure</t>
  </si>
  <si>
    <t xml:space="preserve">G271, G272</t>
  </si>
  <si>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도 치핵</t>
    </r>
  </si>
  <si>
    <t xml:space="preserve">K64.3</t>
  </si>
  <si>
    <t xml:space="preserve">Fourth degree haemorrhoids</t>
  </si>
  <si>
    <r>
      <rPr>
        <sz val="10"/>
        <rFont val="WenQuanYi Zen Hei"/>
        <family val="2"/>
      </rPr>
      <t xml:space="preserve">항문주위 정맥혈전증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혈전성 외치핵</t>
    </r>
    <r>
      <rPr>
        <sz val="10"/>
        <rFont val="Arial"/>
        <family val="0"/>
        <charset val="1"/>
      </rPr>
      <t xml:space="preserve">)</t>
    </r>
  </si>
  <si>
    <t xml:space="preserve">K64.5</t>
  </si>
  <si>
    <t xml:space="preserve">Perianal venous thrombosis</t>
  </si>
  <si>
    <t xml:space="preserve">G281, G282</t>
  </si>
  <si>
    <t xml:space="preserve">항문 농양</t>
  </si>
  <si>
    <t xml:space="preserve">K61.0</t>
  </si>
  <si>
    <t xml:space="preserve">Anal abscess</t>
  </si>
  <si>
    <t xml:space="preserve">직장 농양</t>
  </si>
  <si>
    <t xml:space="preserve">K61.1</t>
  </si>
  <si>
    <t xml:space="preserve">Rectal abscess</t>
  </si>
  <si>
    <t xml:space="preserve">좌골직장 농양</t>
  </si>
  <si>
    <t xml:space="preserve">K61.3</t>
  </si>
  <si>
    <t xml:space="preserve">Ischiorectal abscess</t>
  </si>
  <si>
    <t xml:space="preserve">G291, G292</t>
  </si>
  <si>
    <t xml:space="preserve">직장 누공</t>
  </si>
  <si>
    <t xml:space="preserve">K60.4</t>
  </si>
  <si>
    <t xml:space="preserve">Rectal fistula</t>
  </si>
  <si>
    <t xml:space="preserve">항문 및 직장의 협착</t>
  </si>
  <si>
    <t xml:space="preserve">K62.4</t>
  </si>
  <si>
    <t xml:space="preserve">Stenosis of anus and rectum</t>
  </si>
  <si>
    <t xml:space="preserve">G311, G312</t>
  </si>
  <si>
    <r>
      <rPr>
        <sz val="10"/>
        <rFont val="WenQuanYi Zen Hei"/>
        <family val="2"/>
      </rPr>
      <t xml:space="preserve">질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대장 누공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직장질루</t>
    </r>
    <r>
      <rPr>
        <sz val="10"/>
        <rFont val="Arial"/>
        <family val="0"/>
        <charset val="1"/>
      </rPr>
      <t xml:space="preserve">)</t>
    </r>
  </si>
  <si>
    <t xml:space="preserve">N82.3</t>
  </si>
  <si>
    <t xml:space="preserve">Fistula of vagina to large intestine</t>
  </si>
  <si>
    <t xml:space="preserve">직장류</t>
  </si>
  <si>
    <t xml:space="preserve">N81.6</t>
  </si>
  <si>
    <t xml:space="preserve">Rectocele</t>
  </si>
  <si>
    <t xml:space="preserve">화농성 한선염</t>
  </si>
  <si>
    <t xml:space="preserve">L73.2</t>
  </si>
  <si>
    <t xml:space="preserve">Hidradenitis suppurativa</t>
  </si>
  <si>
    <t xml:space="preserve">복막 농양</t>
  </si>
  <si>
    <t xml:space="preserve">K65.0</t>
  </si>
  <si>
    <t xml:space="preserve">Acute peritonitis</t>
  </si>
  <si>
    <t xml:space="preserve">농양을 동반한 모소낭</t>
  </si>
  <si>
    <t xml:space="preserve">L05.0</t>
  </si>
  <si>
    <t xml:space="preserve">Pilonidal cyst with abscess</t>
  </si>
  <si>
    <t xml:space="preserve">복막유착</t>
  </si>
  <si>
    <t xml:space="preserve">K66.0</t>
  </si>
  <si>
    <t xml:space="preserve">Peritoneal adhesions</t>
  </si>
  <si>
    <t xml:space="preserve">상세불명의 위장관 출혈</t>
  </si>
  <si>
    <t xml:space="preserve">K92.2</t>
  </si>
  <si>
    <t xml:space="preserve">Gastrointestinal haemorrhage, unspecified</t>
  </si>
  <si>
    <t xml:space="preserve">출혈을 동반한 만성 위궤양</t>
  </si>
  <si>
    <t xml:space="preserve">K25.4</t>
  </si>
  <si>
    <t xml:space="preserve">Gastric ulcer : chronic or unspecified with haemorrhage</t>
  </si>
  <si>
    <t xml:space="preserve">출혈을 동반한 만성 십이지장궤양</t>
  </si>
  <si>
    <t xml:space="preserve">K26.4</t>
  </si>
  <si>
    <t xml:space="preserve">Duodenal ulcer : chronic or unspecified with haemorrhage</t>
  </si>
  <si>
    <t xml:space="preserve">G503, G504, G505</t>
  </si>
  <si>
    <r>
      <rPr>
        <sz val="10"/>
        <rFont val="WenQuanYi Zen Hei"/>
        <family val="2"/>
      </rPr>
      <t xml:space="preserve">위의 양성신생물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위선종</t>
    </r>
    <r>
      <rPr>
        <sz val="10"/>
        <rFont val="Arial"/>
        <family val="0"/>
        <charset val="1"/>
      </rPr>
      <t xml:space="preserve">)</t>
    </r>
  </si>
  <si>
    <t xml:space="preserve">내시경 점막하박리술</t>
  </si>
  <si>
    <t xml:space="preserve">내시경 지혈술</t>
  </si>
  <si>
    <t xml:space="preserve">식도 내 이물</t>
  </si>
  <si>
    <t xml:space="preserve">T18.1</t>
  </si>
  <si>
    <t xml:space="preserve">Foreign body in oesophagus</t>
  </si>
  <si>
    <t xml:space="preserve">G523, G524, G525</t>
  </si>
  <si>
    <r>
      <rPr>
        <sz val="10"/>
        <rFont val="WenQuanYi Zen Hei"/>
        <family val="2"/>
      </rPr>
      <t xml:space="preserve">결장의 폴립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대장 용종</t>
    </r>
    <r>
      <rPr>
        <sz val="10"/>
        <rFont val="Arial"/>
        <family val="0"/>
        <charset val="1"/>
      </rPr>
      <t xml:space="preserve">)</t>
    </r>
  </si>
  <si>
    <t xml:space="preserve">K63.5</t>
  </si>
  <si>
    <t xml:space="preserve">Polyp of colon</t>
  </si>
  <si>
    <t xml:space="preserve">G531, G532</t>
  </si>
  <si>
    <r>
      <rPr>
        <sz val="10"/>
        <rFont val="WenQuanYi Zen Hei"/>
        <family val="2"/>
      </rPr>
      <t xml:space="preserve">내시경 감압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정복</t>
    </r>
  </si>
  <si>
    <t xml:space="preserve">직장 폴립</t>
  </si>
  <si>
    <t xml:space="preserve">K62.1</t>
  </si>
  <si>
    <t xml:space="preserve">Rectal polyp</t>
  </si>
  <si>
    <t xml:space="preserve">구불결장의 양성신생물</t>
  </si>
  <si>
    <t xml:space="preserve">D12.5</t>
  </si>
  <si>
    <t xml:space="preserve">Benign neoplasm: Sigmoid colon</t>
  </si>
  <si>
    <t xml:space="preserve">위의 악성신생물</t>
  </si>
  <si>
    <t xml:space="preserve">결장의 악성신생물</t>
  </si>
  <si>
    <t xml:space="preserve">식도의 악성신생물</t>
  </si>
  <si>
    <r>
      <rPr>
        <sz val="10"/>
        <rFont val="WenQuanYi Zen Hei"/>
        <family val="2"/>
      </rPr>
      <t xml:space="preserve">상세불명의 위장관 출혈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소장 출혈</t>
    </r>
    <r>
      <rPr>
        <sz val="10"/>
        <rFont val="Arial"/>
        <family val="0"/>
        <charset val="1"/>
      </rPr>
      <t xml:space="preserve">)</t>
    </r>
  </si>
  <si>
    <t xml:space="preserve">소장의 기타 부위 양성신생물</t>
  </si>
  <si>
    <t xml:space="preserve">D13.3</t>
  </si>
  <si>
    <t xml:space="preserve">Benign neoplasm: Other and unspecified parts of small intestine</t>
  </si>
  <si>
    <r>
      <rPr>
        <sz val="10"/>
        <rFont val="WenQuanYi Zen Hei"/>
        <family val="2"/>
      </rPr>
      <t xml:space="preserve">식도의 악성신생물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식도 협착</t>
    </r>
    <r>
      <rPr>
        <sz val="10"/>
        <rFont val="Arial"/>
        <family val="0"/>
        <charset val="1"/>
      </rPr>
      <t xml:space="preserve">)</t>
    </r>
  </si>
  <si>
    <t xml:space="preserve">스텐트 삽입</t>
  </si>
  <si>
    <r>
      <rPr>
        <sz val="10"/>
        <rFont val="WenQuanYi Zen Hei"/>
        <family val="2"/>
      </rPr>
      <t xml:space="preserve">구불결장의 악성신생물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대장 폐색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</si>
  <si>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위 유문동의 악성신생물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위출구 폐색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</si>
  <si>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국한성 복막염을 동반한 급성 충수염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충수 주위 농양</t>
    </r>
    <r>
      <rPr>
        <sz val="10"/>
        <rFont val="Arial"/>
        <family val="0"/>
        <charset val="1"/>
      </rPr>
      <t xml:space="preserve">)</t>
    </r>
  </si>
  <si>
    <t xml:space="preserve">담낭의 악성신생물</t>
  </si>
  <si>
    <t xml:space="preserve">C23</t>
  </si>
  <si>
    <t xml:space="preserve">Malignant neoplasm of gallbladder</t>
  </si>
  <si>
    <t xml:space="preserve">간외담관의 악성신생물</t>
  </si>
  <si>
    <t xml:space="preserve">C24.0</t>
  </si>
  <si>
    <t xml:space="preserve">Malignant neoplasm: Extrahepatic bile duct</t>
  </si>
  <si>
    <t xml:space="preserve">팽대부의 악성신생물</t>
  </si>
  <si>
    <t xml:space="preserve">C24.1</t>
  </si>
  <si>
    <t xml:space="preserve">Malignant neoplasm: Ampulla of Vater</t>
  </si>
  <si>
    <t xml:space="preserve">췌장 머리의 악성신생물</t>
  </si>
  <si>
    <t xml:space="preserve">C25.0</t>
  </si>
  <si>
    <t xml:space="preserve">Malignant neoplasm: Head of pancreas</t>
  </si>
  <si>
    <t xml:space="preserve">H021, H022</t>
  </si>
  <si>
    <r>
      <rPr>
        <sz val="10"/>
        <rFont val="WenQuanYi Zen Hei"/>
        <family val="2"/>
      </rPr>
      <t xml:space="preserve">간외담관의 악성신생물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간문부 담관암</t>
    </r>
    <r>
      <rPr>
        <sz val="10"/>
        <rFont val="Arial"/>
        <family val="0"/>
        <charset val="1"/>
      </rPr>
      <t xml:space="preserve">)</t>
    </r>
  </si>
  <si>
    <t xml:space="preserve">간내담관암종</t>
  </si>
  <si>
    <t xml:space="preserve">C22.1</t>
  </si>
  <si>
    <t xml:space="preserve">Malignant neoplasm: Intrahepatic bile duct carcinoma</t>
  </si>
  <si>
    <r>
      <rPr>
        <sz val="10"/>
        <rFont val="WenQuanYi Zen Hei"/>
        <family val="2"/>
      </rPr>
      <t xml:space="preserve">간내 담석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담관결석</t>
    </r>
    <r>
      <rPr>
        <sz val="10"/>
        <rFont val="Arial"/>
        <family val="0"/>
        <charset val="1"/>
      </rPr>
      <t xml:space="preserve">)</t>
    </r>
  </si>
  <si>
    <t xml:space="preserve">K80.5</t>
  </si>
  <si>
    <t xml:space="preserve">Calculus of bile duct without cholangitis or cholecystitis</t>
  </si>
  <si>
    <r>
      <rPr>
        <sz val="10"/>
        <rFont val="WenQuanYi Zen Hei"/>
        <family val="2"/>
      </rPr>
      <t xml:space="preserve">간외담관의 악성신생물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원위부 담관암</t>
    </r>
    <r>
      <rPr>
        <sz val="10"/>
        <rFont val="Arial"/>
        <family val="0"/>
        <charset val="1"/>
      </rPr>
      <t xml:space="preserve">)</t>
    </r>
  </si>
  <si>
    <t xml:space="preserve">H041, H042, H043, H044</t>
  </si>
  <si>
    <r>
      <rPr>
        <sz val="10"/>
        <rFont val="WenQuanYi Zen Hei"/>
        <family val="2"/>
      </rPr>
      <t xml:space="preserve">간의 이차성 악성신생물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전이성 간암</t>
    </r>
    <r>
      <rPr>
        <sz val="10"/>
        <rFont val="Arial"/>
        <family val="0"/>
        <charset val="1"/>
      </rPr>
      <t xml:space="preserve">)</t>
    </r>
  </si>
  <si>
    <t xml:space="preserve">C78.7</t>
  </si>
  <si>
    <t xml:space="preserve">Secondary malignant neoplasm of liver and intrahepatic bile duct</t>
  </si>
  <si>
    <t xml:space="preserve">간의 양성신생물</t>
  </si>
  <si>
    <t xml:space="preserve">D13.4</t>
  </si>
  <si>
    <t xml:space="preserve">Benign neoplasm: Liver</t>
  </si>
  <si>
    <t xml:space="preserve">H051, H052</t>
  </si>
  <si>
    <t xml:space="preserve">간농양</t>
  </si>
  <si>
    <t xml:space="preserve">K75.0</t>
  </si>
  <si>
    <t xml:space="preserve">Abscess of liver</t>
  </si>
  <si>
    <r>
      <rPr>
        <sz val="10"/>
        <rFont val="WenQuanYi Zen Hei"/>
        <family val="2"/>
      </rPr>
      <t xml:space="preserve">기타 명시된 간질환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간낭종</t>
    </r>
    <r>
      <rPr>
        <sz val="10"/>
        <rFont val="Arial"/>
        <family val="0"/>
        <charset val="1"/>
      </rPr>
      <t xml:space="preserve">)</t>
    </r>
  </si>
  <si>
    <t xml:space="preserve">K76.8</t>
  </si>
  <si>
    <t xml:space="preserve">Other specified diseases of liver</t>
  </si>
  <si>
    <t xml:space="preserve">간의 손상</t>
  </si>
  <si>
    <t xml:space="preserve">S36.1</t>
  </si>
  <si>
    <t xml:space="preserve">Injury of liver or gallbladder</t>
  </si>
  <si>
    <t xml:space="preserve">문맥고혈압</t>
  </si>
  <si>
    <t xml:space="preserve">K76.6</t>
  </si>
  <si>
    <t xml:space="preserve">Portal hypertension</t>
  </si>
  <si>
    <t xml:space="preserve">간경화증</t>
  </si>
  <si>
    <t xml:space="preserve">H071, H072</t>
  </si>
  <si>
    <t xml:space="preserve">H081, H082</t>
  </si>
  <si>
    <r>
      <rPr>
        <sz val="10"/>
        <rFont val="WenQuanYi Zen Hei"/>
        <family val="2"/>
      </rPr>
      <t xml:space="preserve">총담관낭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선천성 담관 낭종</t>
    </r>
    <r>
      <rPr>
        <sz val="10"/>
        <rFont val="Arial"/>
        <family val="0"/>
        <charset val="1"/>
      </rPr>
      <t xml:space="preserve">)</t>
    </r>
  </si>
  <si>
    <t xml:space="preserve">Q44.4</t>
  </si>
  <si>
    <t xml:space="preserve">Choledochal cyst</t>
  </si>
  <si>
    <t xml:space="preserve">담관의 양성신생물</t>
  </si>
  <si>
    <t xml:space="preserve">D13.5</t>
  </si>
  <si>
    <t xml:space="preserve">Benign neoplasm: Extrahepatic bile ducts</t>
  </si>
  <si>
    <r>
      <rPr>
        <sz val="10"/>
        <rFont val="WenQuanYi Zen Hei"/>
        <family val="2"/>
      </rPr>
      <t xml:space="preserve">담관의 폐쇄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담관협착</t>
    </r>
    <r>
      <rPr>
        <sz val="10"/>
        <rFont val="Arial"/>
        <family val="0"/>
        <charset val="1"/>
      </rPr>
      <t xml:space="preserve">)</t>
    </r>
  </si>
  <si>
    <t xml:space="preserve">K83.1</t>
  </si>
  <si>
    <t xml:space="preserve">Obstruction of bile duct</t>
  </si>
  <si>
    <t xml:space="preserve">H091, H092</t>
  </si>
  <si>
    <r>
      <rPr>
        <sz val="10"/>
        <rFont val="WenQuanYi Zen Hei"/>
        <family val="2"/>
      </rPr>
      <t xml:space="preserve">담관결석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담관염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담낭염 없음</t>
    </r>
    <r>
      <rPr>
        <sz val="10"/>
        <rFont val="Arial"/>
        <family val="0"/>
        <charset val="1"/>
      </rPr>
      <t xml:space="preserve">)</t>
    </r>
  </si>
  <si>
    <t xml:space="preserve">담관염을 동반한 담관결석</t>
  </si>
  <si>
    <t xml:space="preserve">K80.3</t>
  </si>
  <si>
    <t xml:space="preserve">Calculus of bile duct with cholangitis</t>
  </si>
  <si>
    <t xml:space="preserve">총담관낭</t>
  </si>
  <si>
    <t xml:space="preserve">H101, H102, H103, H104, H105, H106, H107, H108</t>
  </si>
  <si>
    <t xml:space="preserve">담낭염을 동반하지 않은 담낭의 결석</t>
  </si>
  <si>
    <t xml:space="preserve">K80.2</t>
  </si>
  <si>
    <t xml:space="preserve">Calculus of gallbladder without cholecystitis</t>
  </si>
  <si>
    <t xml:space="preserve">급성 담낭염을 동반한 담낭의 결석</t>
  </si>
  <si>
    <t xml:space="preserve">K80.0</t>
  </si>
  <si>
    <t xml:space="preserve">Calculus of gallbladder with acute cholecystitis</t>
  </si>
  <si>
    <t xml:space="preserve">급성 담낭염</t>
  </si>
  <si>
    <t xml:space="preserve">K81.0</t>
  </si>
  <si>
    <t xml:space="preserve">Acute cholecystitis</t>
  </si>
  <si>
    <r>
      <rPr>
        <sz val="10"/>
        <rFont val="WenQuanYi Zen Hei"/>
        <family val="2"/>
      </rPr>
      <t xml:space="preserve">기타 명시된 담낭의 질환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담낭 용종</t>
    </r>
    <r>
      <rPr>
        <sz val="10"/>
        <rFont val="Arial"/>
        <family val="0"/>
        <charset val="1"/>
      </rPr>
      <t xml:space="preserve">)</t>
    </r>
  </si>
  <si>
    <t xml:space="preserve">K82.8</t>
  </si>
  <si>
    <t xml:space="preserve">Other specified diseases of gallbladder</t>
  </si>
  <si>
    <r>
      <rPr>
        <sz val="10"/>
        <rFont val="WenQuanYi Zen Hei"/>
        <family val="2"/>
      </rPr>
      <t xml:space="preserve">공식 포함 목록에 「용종」은 명시 없음 — 선종이면 </t>
    </r>
    <r>
      <rPr>
        <sz val="10"/>
        <rFont val="Arial"/>
        <family val="0"/>
        <charset val="1"/>
      </rPr>
      <t xml:space="preserve">D13.5, </t>
    </r>
    <r>
      <rPr>
        <sz val="10"/>
        <rFont val="WenQuanYi Zen Hei"/>
        <family val="2"/>
      </rPr>
      <t xml:space="preserve">최종 코드는 진단서 확인</t>
    </r>
  </si>
  <si>
    <t xml:space="preserve">H111, H112</t>
  </si>
  <si>
    <t xml:space="preserve">췌장 몸통의 악성신생물</t>
  </si>
  <si>
    <t xml:space="preserve">C25.1</t>
  </si>
  <si>
    <t xml:space="preserve">Malignant neoplasm: Body of pancreas</t>
  </si>
  <si>
    <r>
      <rPr>
        <sz val="10"/>
        <rFont val="WenQuanYi Zen Hei"/>
        <family val="2"/>
      </rPr>
      <t xml:space="preserve">췌장의 양성신생물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낭성종양 등</t>
    </r>
    <r>
      <rPr>
        <sz val="10"/>
        <rFont val="Arial"/>
        <family val="0"/>
        <charset val="1"/>
      </rPr>
      <t xml:space="preserve">)</t>
    </r>
  </si>
  <si>
    <t xml:space="preserve">D13.6</t>
  </si>
  <si>
    <t xml:space="preserve">Benign neoplasm: Pancreas</t>
  </si>
  <si>
    <t xml:space="preserve">H121, H122</t>
  </si>
  <si>
    <t xml:space="preserve">기타 만성 췌장염</t>
  </si>
  <si>
    <t xml:space="preserve">K86.1</t>
  </si>
  <si>
    <t xml:space="preserve">Other chronic pancreatitis</t>
  </si>
  <si>
    <r>
      <rPr>
        <sz val="10"/>
        <rFont val="WenQuanYi Zen Hei"/>
        <family val="2"/>
      </rPr>
      <t xml:space="preserve">췌장의 거짓낭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가성낭종</t>
    </r>
    <r>
      <rPr>
        <sz val="10"/>
        <rFont val="Arial"/>
        <family val="0"/>
        <charset val="1"/>
      </rPr>
      <t xml:space="preserve">)</t>
    </r>
  </si>
  <si>
    <t xml:space="preserve">K86.3</t>
  </si>
  <si>
    <t xml:space="preserve">Pseudocyst of pancreas</t>
  </si>
  <si>
    <r>
      <rPr>
        <sz val="10"/>
        <rFont val="WenQuanYi Zen Hei"/>
        <family val="2"/>
      </rPr>
      <t xml:space="preserve">급성 췌장염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괴사성</t>
    </r>
    <r>
      <rPr>
        <sz val="10"/>
        <rFont val="Arial"/>
        <family val="0"/>
        <charset val="1"/>
      </rPr>
      <t xml:space="preserve">)</t>
    </r>
  </si>
  <si>
    <t xml:space="preserve">K85.9</t>
  </si>
  <si>
    <t xml:space="preserve">Acute pancreatitis, unspecified</t>
  </si>
  <si>
    <t xml:space="preserve">H142, H143, H144, H145, H146</t>
  </si>
  <si>
    <t xml:space="preserve">내시경 결석 제거</t>
  </si>
  <si>
    <t xml:space="preserve">담관염</t>
  </si>
  <si>
    <t xml:space="preserve">K83.0</t>
  </si>
  <si>
    <t xml:space="preserve">Cholangitis</t>
  </si>
  <si>
    <t xml:space="preserve">담석성 급성 췌장염</t>
  </si>
  <si>
    <t xml:space="preserve">K85.1</t>
  </si>
  <si>
    <t xml:space="preserve">Biliary acute pancreatitis</t>
  </si>
  <si>
    <r>
      <rPr>
        <sz val="10"/>
        <rFont val="WenQuanYi Zen Hei"/>
        <family val="2"/>
      </rPr>
      <t xml:space="preserve">간외담관의 악성신생물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담관 폐쇄</t>
    </r>
    <r>
      <rPr>
        <sz val="10"/>
        <rFont val="Arial"/>
        <family val="0"/>
        <charset val="1"/>
      </rPr>
      <t xml:space="preserve">)</t>
    </r>
  </si>
  <si>
    <t xml:space="preserve">H152, H154, H155, H156, H157</t>
  </si>
  <si>
    <t xml:space="preserve">담관결석</t>
  </si>
  <si>
    <r>
      <rPr>
        <sz val="10"/>
        <rFont val="WenQuanYi Zen Hei"/>
        <family val="2"/>
      </rPr>
      <t xml:space="preserve">간동맥 화학색전술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악성종양의 경우</t>
    </r>
    <r>
      <rPr>
        <sz val="10"/>
        <rFont val="Arial"/>
        <family val="0"/>
        <charset val="1"/>
      </rPr>
      <t xml:space="preserve">)</t>
    </r>
  </si>
  <si>
    <t xml:space="preserve">위정맥류</t>
  </si>
  <si>
    <t xml:space="preserve">I86.4</t>
  </si>
  <si>
    <t xml:space="preserve">Gastric varices</t>
  </si>
  <si>
    <t xml:space="preserve">고주파열치료 등</t>
  </si>
  <si>
    <t xml:space="preserve">경피적 담낭배액술</t>
  </si>
  <si>
    <t xml:space="preserve">담관의 폐쇄</t>
  </si>
  <si>
    <t xml:space="preserve">경피적 담도배액술</t>
  </si>
  <si>
    <t xml:space="preserve">I011, I012</t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</si>
  <si>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종</t>
    </r>
    <r>
      <rPr>
        <sz val="10"/>
        <rFont val="Arial"/>
        <family val="0"/>
        <charset val="1"/>
      </rPr>
      <t xml:space="preserve">~4</t>
    </r>
    <r>
      <rPr>
        <sz val="10"/>
        <rFont val="WenQuanYi Zen Hei"/>
        <family val="2"/>
      </rPr>
      <t xml:space="preserve">종</t>
    </r>
  </si>
  <si>
    <t xml:space="preserve">원발성 양쪽 무릎관절증</t>
  </si>
  <si>
    <t xml:space="preserve">M17.0</t>
  </si>
  <si>
    <t xml:space="preserve">Primary gonarthrosis, bilateral</t>
  </si>
  <si>
    <t xml:space="preserve">원발성 양쪽 고관절증</t>
  </si>
  <si>
    <t xml:space="preserve">M16.0</t>
  </si>
  <si>
    <t xml:space="preserve">Primary coxarthrosis, bilateral</t>
  </si>
  <si>
    <t xml:space="preserve">I021, I022, I023</t>
  </si>
  <si>
    <t xml:space="preserve">대퇴골 경부의 골절</t>
  </si>
  <si>
    <t xml:space="preserve">S72.0</t>
  </si>
  <si>
    <t xml:space="preserve">Fracture of neck of femur</t>
  </si>
  <si>
    <r>
      <rPr>
        <sz val="10"/>
        <rFont val="WenQuanYi Zen Hei"/>
        <family val="2"/>
      </rPr>
      <t xml:space="preserve">특발성 무균성 뼈괴사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대퇴골두 무혈성괴사</t>
    </r>
    <r>
      <rPr>
        <sz val="10"/>
        <rFont val="Arial"/>
        <family val="0"/>
        <charset val="1"/>
      </rPr>
      <t xml:space="preserve">)</t>
    </r>
  </si>
  <si>
    <t xml:space="preserve">M87.0</t>
  </si>
  <si>
    <t xml:space="preserve">Idiopathic aseptic necrosis of bone</t>
  </si>
  <si>
    <t xml:space="preserve">기타 원발성 고관절증</t>
  </si>
  <si>
    <t xml:space="preserve">M16.1</t>
  </si>
  <si>
    <t xml:space="preserve">Other primary coxarthrosis</t>
  </si>
  <si>
    <t xml:space="preserve">내부 관절 인공삽입물의 기계적 합병증</t>
  </si>
  <si>
    <t xml:space="preserve">T84.0</t>
  </si>
  <si>
    <t xml:space="preserve">Mechanical complication of internal joint prosthesis</t>
  </si>
  <si>
    <t xml:space="preserve">재치환술</t>
  </si>
  <si>
    <t xml:space="preserve">I031, I032, I033</t>
  </si>
  <si>
    <r>
      <rPr>
        <sz val="10"/>
        <rFont val="WenQuanYi Zen Hei"/>
        <family val="2"/>
      </rPr>
      <t xml:space="preserve">기타 원발성 무릎관절증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한쪽</t>
    </r>
    <r>
      <rPr>
        <sz val="10"/>
        <rFont val="Arial"/>
        <family val="0"/>
        <charset val="1"/>
      </rPr>
      <t xml:space="preserve">)</t>
    </r>
  </si>
  <si>
    <t xml:space="preserve">M17.1</t>
  </si>
  <si>
    <t xml:space="preserve">Other primary gonarthrosis</t>
  </si>
  <si>
    <t xml:space="preserve">류마티스관절염</t>
  </si>
  <si>
    <t xml:space="preserve">M06.9</t>
  </si>
  <si>
    <t xml:space="preserve">Rheumatoid arthritis, unspecified</t>
  </si>
  <si>
    <t xml:space="preserve">I041, I042, I043, I044</t>
  </si>
  <si>
    <r>
      <rPr>
        <sz val="10"/>
        <rFont val="WenQuanYi Zen Hei"/>
        <family val="2"/>
      </rPr>
      <t xml:space="preserve">기타 관절의 원발성 관절증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어깨관절증 등</t>
    </r>
    <r>
      <rPr>
        <sz val="10"/>
        <rFont val="Arial"/>
        <family val="0"/>
        <charset val="1"/>
      </rPr>
      <t xml:space="preserve">)</t>
    </r>
  </si>
  <si>
    <t xml:space="preserve">M19.0</t>
  </si>
  <si>
    <t xml:space="preserve">Primary arthrosis of other joints</t>
  </si>
  <si>
    <t xml:space="preserve">상완골 근위부의 골절</t>
  </si>
  <si>
    <t xml:space="preserve">S42.2</t>
  </si>
  <si>
    <t xml:space="preserve">Fracture of upper end of humerus</t>
  </si>
  <si>
    <t xml:space="preserve">내부 관절 인공삽입물에 의한 감염</t>
  </si>
  <si>
    <t xml:space="preserve">T84.5</t>
  </si>
  <si>
    <t xml:space="preserve">Infection and inflammatory reaction due to internal joint prosthesis</t>
  </si>
  <si>
    <t xml:space="preserve">인공관절 제거술</t>
  </si>
  <si>
    <t xml:space="preserve">기타 손가락의 외상성 절단</t>
  </si>
  <si>
    <t xml:space="preserve">S68.1</t>
  </si>
  <si>
    <t xml:space="preserve">Traumatic amputation of other single finger (complete)(partial)</t>
  </si>
  <si>
    <t xml:space="preserve">재접합술</t>
  </si>
  <si>
    <t xml:space="preserve">엄지손가락의 외상성 절단</t>
  </si>
  <si>
    <t xml:space="preserve">S68.0</t>
  </si>
  <si>
    <t xml:space="preserve">Traumatic amputation of thumb (complete)(partial)</t>
  </si>
  <si>
    <r>
      <rPr>
        <sz val="10"/>
        <rFont val="WenQuanYi Zen Hei"/>
        <family val="2"/>
      </rPr>
      <t xml:space="preserve">골절의 불유합</t>
    </r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가관절</t>
    </r>
    <r>
      <rPr>
        <sz val="10"/>
        <rFont val="Arial"/>
        <family val="0"/>
        <charset val="1"/>
      </rPr>
      <t xml:space="preserve">]</t>
    </r>
  </si>
  <si>
    <t xml:space="preserve">M84.1</t>
  </si>
  <si>
    <t xml:space="preserve">Nonunion of fracture [pseudarthrosis]</t>
  </si>
  <si>
    <t xml:space="preserve">골피부판 이식</t>
  </si>
  <si>
    <t xml:space="preserve">I061, I062, I063, I064</t>
  </si>
  <si>
    <r>
      <rPr>
        <sz val="10"/>
        <rFont val="WenQuanYi Zen Hei"/>
        <family val="2"/>
      </rPr>
      <t xml:space="preserve">척수 수막의 양성신생물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척수 수막종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</si>
  <si>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척수의 양성신생물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신경초종 등</t>
    </r>
    <r>
      <rPr>
        <sz val="10"/>
        <rFont val="Arial"/>
        <family val="0"/>
        <charset val="1"/>
      </rPr>
      <t xml:space="preserve">)</t>
    </r>
  </si>
  <si>
    <t xml:space="preserve">척수의 악성신생물</t>
  </si>
  <si>
    <t xml:space="preserve">척수내 및 경막외 농양</t>
  </si>
  <si>
    <t xml:space="preserve">G06.1</t>
  </si>
  <si>
    <t xml:space="preserve">Intraspinal abscess and granuloma</t>
  </si>
  <si>
    <t xml:space="preserve">I071, I072, I073</t>
  </si>
  <si>
    <r>
      <rPr>
        <sz val="10"/>
        <rFont val="WenQuanYi Zen Hei"/>
        <family val="2"/>
      </rPr>
      <t xml:space="preserve">연소성 특발성 척추옆굽음증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청소년기 척추측만증</t>
    </r>
    <r>
      <rPr>
        <sz val="10"/>
        <rFont val="Arial"/>
        <family val="0"/>
        <charset val="1"/>
      </rPr>
      <t xml:space="preserve">)</t>
    </r>
  </si>
  <si>
    <t xml:space="preserve">기타 특발성 척추옆굽음증</t>
  </si>
  <si>
    <r>
      <rPr>
        <sz val="10"/>
        <rFont val="WenQuanYi Zen Hei"/>
        <family val="2"/>
      </rPr>
      <t xml:space="preserve">기타 이차성 척추옆굽음증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성인 퇴행성 측만증</t>
    </r>
    <r>
      <rPr>
        <sz val="10"/>
        <rFont val="Arial"/>
        <family val="0"/>
        <charset val="1"/>
      </rPr>
      <t xml:space="preserve">)</t>
    </r>
  </si>
  <si>
    <t xml:space="preserve">M41.5</t>
  </si>
  <si>
    <t xml:space="preserve">Other secondary scoliosis</t>
  </si>
  <si>
    <t xml:space="preserve">편평등 증후군</t>
  </si>
  <si>
    <t xml:space="preserve">M40.3</t>
  </si>
  <si>
    <t xml:space="preserve">Flatback syndrome</t>
  </si>
  <si>
    <t xml:space="preserve">I081, I082, I083, I084, I085, I086</t>
  </si>
  <si>
    <r>
      <rPr>
        <sz val="10"/>
        <rFont val="WenQuanYi Zen Hei"/>
        <family val="2"/>
      </rPr>
      <t xml:space="preserve">신경뿌리병증을 동반한 요추 및 기타 추간판장애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허리디스크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</si>
  <si>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척추협착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척추관협착증</t>
    </r>
    <r>
      <rPr>
        <sz val="10"/>
        <rFont val="Arial"/>
        <family val="0"/>
        <charset val="1"/>
      </rPr>
      <t xml:space="preserve">)</t>
    </r>
  </si>
  <si>
    <t xml:space="preserve">척수병증을 동반한 경추간판장애</t>
  </si>
  <si>
    <t xml:space="preserve">척수병증 동반</t>
  </si>
  <si>
    <t xml:space="preserve">I091, I092</t>
  </si>
  <si>
    <r>
      <rPr>
        <sz val="10"/>
        <rFont val="WenQuanYi Zen Hei"/>
        <family val="2"/>
      </rPr>
      <t xml:space="preserve">병적 골절을 동반한 폐경후 골다공증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척추 압박골절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</si>
  <si>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척추성형술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뼈에 시행</t>
    </r>
    <r>
      <rPr>
        <sz val="10"/>
        <rFont val="Arial"/>
        <family val="0"/>
        <charset val="1"/>
      </rPr>
      <t xml:space="preserve">)</t>
    </r>
  </si>
  <si>
    <t xml:space="preserve">신경뿌리병증을 동반한 요추 추간판장애</t>
  </si>
  <si>
    <r>
      <rPr>
        <sz val="10"/>
        <rFont val="WenQuanYi Zen Hei"/>
        <family val="2"/>
      </rPr>
      <t xml:space="preserve">신경성형술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신경에 시행</t>
    </r>
    <r>
      <rPr>
        <sz val="10"/>
        <rFont val="Arial"/>
        <family val="0"/>
        <charset val="1"/>
      </rPr>
      <t xml:space="preserve">)</t>
    </r>
  </si>
  <si>
    <t xml:space="preserve">I101, I102</t>
  </si>
  <si>
    <r>
      <rPr>
        <sz val="10"/>
        <rFont val="WenQuanYi Zen Hei"/>
        <family val="2"/>
      </rPr>
      <t xml:space="preserve">달리 분류되지 않은 척추후궁절제술후 증후군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척추수술실패증후군</t>
    </r>
    <r>
      <rPr>
        <sz val="10"/>
        <rFont val="Arial"/>
        <family val="0"/>
        <charset val="1"/>
      </rPr>
      <t xml:space="preserve">)</t>
    </r>
  </si>
  <si>
    <t xml:space="preserve">M96.1</t>
  </si>
  <si>
    <t xml:space="preserve">Postlaminectomy syndrome, not elsewhere classified</t>
  </si>
  <si>
    <r>
      <rPr>
        <sz val="10"/>
        <rFont val="WenQuanYi Zen Hei"/>
        <family val="2"/>
      </rPr>
      <t xml:space="preserve">복합부위통증증후군 </t>
    </r>
    <r>
      <rPr>
        <sz val="10"/>
        <rFont val="Arial"/>
        <family val="0"/>
        <charset val="1"/>
      </rPr>
      <t xml:space="preserve">I</t>
    </r>
    <r>
      <rPr>
        <sz val="10"/>
        <rFont val="WenQuanYi Zen Hei"/>
        <family val="2"/>
      </rPr>
      <t xml:space="preserve">형</t>
    </r>
  </si>
  <si>
    <t xml:space="preserve">경직성 사지마비 뇌성마비</t>
  </si>
  <si>
    <t xml:space="preserve">G80.0</t>
  </si>
  <si>
    <t xml:space="preserve">Spastic quadriplegic cerebral palsy</t>
  </si>
  <si>
    <t xml:space="preserve">척수강내 약물주입펌프</t>
  </si>
  <si>
    <t xml:space="preserve">I111, I112</t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</si>
  <si>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형 당뇨병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말초순환 합병증 동반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당뇨발 괴저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</si>
  <si>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사지동맥의 죽상경화증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괴저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</si>
  <si>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하지 긴뼈의 악성신생물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골육종</t>
    </r>
    <r>
      <rPr>
        <sz val="10"/>
        <rFont val="Arial"/>
        <family val="0"/>
        <charset val="1"/>
      </rPr>
      <t xml:space="preserve">)</t>
    </r>
  </si>
  <si>
    <t xml:space="preserve">C40.2</t>
  </si>
  <si>
    <t xml:space="preserve">Malignant neoplasm: Long bones of lower limb</t>
  </si>
  <si>
    <t xml:space="preserve">I121, I122, I123, I124</t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</si>
  <si>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종</t>
    </r>
    <r>
      <rPr>
        <sz val="10"/>
        <rFont val="Arial"/>
        <family val="0"/>
        <charset val="1"/>
      </rPr>
      <t xml:space="preserve">~6</t>
    </r>
    <r>
      <rPr>
        <sz val="10"/>
        <rFont val="WenQuanYi Zen Hei"/>
        <family val="2"/>
      </rPr>
      <t xml:space="preserve">종</t>
    </r>
  </si>
  <si>
    <r>
      <rPr>
        <sz val="10"/>
        <rFont val="WenQuanYi Zen Hei"/>
        <family val="2"/>
      </rPr>
      <t xml:space="preserve">골반뼈의 악성신생물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연골육종 등</t>
    </r>
    <r>
      <rPr>
        <sz val="10"/>
        <rFont val="Arial"/>
        <family val="0"/>
        <charset val="1"/>
      </rPr>
      <t xml:space="preserve">)</t>
    </r>
  </si>
  <si>
    <t xml:space="preserve">C41.4</t>
  </si>
  <si>
    <t xml:space="preserve">Malignant neoplasm: Pelvic bones, sacrum and coccyx</t>
  </si>
  <si>
    <r>
      <rPr>
        <sz val="10"/>
        <rFont val="WenQuanYi Zen Hei"/>
        <family val="2"/>
      </rPr>
      <t xml:space="preserve">뼈 및 골수의 이차성 악성신생물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골전이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</si>
  <si>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하지 긴뼈의 양성신생물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골연골종 등</t>
    </r>
    <r>
      <rPr>
        <sz val="10"/>
        <rFont val="Arial"/>
        <family val="0"/>
        <charset val="1"/>
      </rPr>
      <t xml:space="preserve">)</t>
    </r>
  </si>
  <si>
    <t xml:space="preserve">D16.2</t>
  </si>
  <si>
    <t xml:space="preserve">Benign neoplasm: Long bones of lower limb</t>
  </si>
  <si>
    <t xml:space="preserve">I131, I132, I133</t>
  </si>
  <si>
    <t xml:space="preserve">급성 혈행성 골수염</t>
  </si>
  <si>
    <t xml:space="preserve">M86.0</t>
  </si>
  <si>
    <t xml:space="preserve">Acute haematogenous osteomyelitis</t>
  </si>
  <si>
    <t xml:space="preserve">기타 만성 골수염</t>
  </si>
  <si>
    <t xml:space="preserve">M86.6</t>
  </si>
  <si>
    <t xml:space="preserve">Other chronic osteomyelitis</t>
  </si>
  <si>
    <r>
      <rPr>
        <sz val="10"/>
        <rFont val="WenQuanYi Zen Hei"/>
        <family val="2"/>
      </rPr>
      <t xml:space="preserve">감염성 근염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근농양</t>
    </r>
    <r>
      <rPr>
        <sz val="10"/>
        <rFont val="Arial"/>
        <family val="0"/>
        <charset val="1"/>
      </rPr>
      <t xml:space="preserve">)</t>
    </r>
  </si>
  <si>
    <t xml:space="preserve">M60.0</t>
  </si>
  <si>
    <t xml:space="preserve">Infective myositis</t>
  </si>
  <si>
    <t xml:space="preserve">I141, I142</t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</si>
  <si>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종</t>
    </r>
    <r>
      <rPr>
        <sz val="10"/>
        <rFont val="Arial"/>
        <family val="0"/>
        <charset val="1"/>
      </rPr>
      <t xml:space="preserve">~3</t>
    </r>
    <r>
      <rPr>
        <sz val="10"/>
        <rFont val="WenQuanYi Zen Hei"/>
        <family val="2"/>
      </rPr>
      <t xml:space="preserve">종</t>
    </r>
  </si>
  <si>
    <t xml:space="preserve">대퇴골 전자관통골절</t>
  </si>
  <si>
    <t xml:space="preserve">S72.1</t>
  </si>
  <si>
    <t xml:space="preserve">Pertrochanteric fracture</t>
  </si>
  <si>
    <t xml:space="preserve">대퇴골 몸통의 골절</t>
  </si>
  <si>
    <t xml:space="preserve">S72.3</t>
  </si>
  <si>
    <t xml:space="preserve">Fracture of shaft of femur</t>
  </si>
  <si>
    <t xml:space="preserve">상완골 몸통의 골절</t>
  </si>
  <si>
    <t xml:space="preserve">S42.3</t>
  </si>
  <si>
    <t xml:space="preserve">Fracture of shaft of humerus</t>
  </si>
  <si>
    <t xml:space="preserve">경골 몸통의 골절</t>
  </si>
  <si>
    <t xml:space="preserve">S82.2</t>
  </si>
  <si>
    <t xml:space="preserve">Fracture of shaft of tibia</t>
  </si>
  <si>
    <t xml:space="preserve">비골 단독 골절</t>
  </si>
  <si>
    <t xml:space="preserve">S82.4</t>
  </si>
  <si>
    <t xml:space="preserve">Fracture of fibula alone</t>
  </si>
  <si>
    <t xml:space="preserve">I171, I172</t>
  </si>
  <si>
    <t xml:space="preserve">절단단의 신경종</t>
  </si>
  <si>
    <t xml:space="preserve">T87.3</t>
  </si>
  <si>
    <t xml:space="preserve">Neuroma of amputation stump</t>
  </si>
  <si>
    <t xml:space="preserve">절단단의 기타 및 상세불명의 합병증</t>
  </si>
  <si>
    <t xml:space="preserve">T87.6</t>
  </si>
  <si>
    <t xml:space="preserve">Other and unspecified complications of amputation stump</t>
  </si>
  <si>
    <t xml:space="preserve">I181, I182, I183, I184</t>
  </si>
  <si>
    <r>
      <rPr>
        <sz val="10"/>
        <rFont val="WenQuanYi Zen Hei"/>
        <family val="2"/>
      </rPr>
      <t xml:space="preserve">어깨의 회전근개 증후군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회전근개 파열</t>
    </r>
    <r>
      <rPr>
        <sz val="10"/>
        <rFont val="Arial"/>
        <family val="0"/>
        <charset val="1"/>
      </rPr>
      <t xml:space="preserve">)</t>
    </r>
  </si>
  <si>
    <t xml:space="preserve">M75.1</t>
  </si>
  <si>
    <t xml:space="preserve">Rotator cuff syndrome</t>
  </si>
  <si>
    <r>
      <rPr>
        <sz val="10"/>
        <rFont val="WenQuanYi Zen Hei"/>
        <family val="2"/>
      </rPr>
      <t xml:space="preserve">어깨관절의 염좌 및 긴장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관절와순 손상</t>
    </r>
    <r>
      <rPr>
        <sz val="10"/>
        <rFont val="Arial"/>
        <family val="0"/>
        <charset val="1"/>
      </rPr>
      <t xml:space="preserve">)</t>
    </r>
  </si>
  <si>
    <t xml:space="preserve">S43.4</t>
  </si>
  <si>
    <t xml:space="preserve">Sprain and strain of shoulder joint</t>
  </si>
  <si>
    <t xml:space="preserve">어깨의 충돌증후군</t>
  </si>
  <si>
    <t xml:space="preserve">M75.4</t>
  </si>
  <si>
    <t xml:space="preserve">Impingement syndrome of shoulder</t>
  </si>
  <si>
    <r>
      <rPr>
        <sz val="10"/>
        <rFont val="WenQuanYi Zen Hei"/>
        <family val="2"/>
      </rPr>
      <t xml:space="preserve">관절의 재발성 탈구 및 아탈구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습관성 어깨탈구</t>
    </r>
    <r>
      <rPr>
        <sz val="10"/>
        <rFont val="Arial"/>
        <family val="0"/>
        <charset val="1"/>
      </rPr>
      <t xml:space="preserve">)</t>
    </r>
  </si>
  <si>
    <t xml:space="preserve">M24.4</t>
  </si>
  <si>
    <t xml:space="preserve">Recurrent dislocation and subluxation of joint</t>
  </si>
  <si>
    <t xml:space="preserve">I191, I192, I193, I194</t>
  </si>
  <si>
    <r>
      <rPr>
        <sz val="10"/>
        <rFont val="WenQuanYi Zen Hei"/>
        <family val="2"/>
      </rPr>
      <t xml:space="preserve">무릎의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전</t>
    </r>
    <r>
      <rPr>
        <sz val="10"/>
        <rFont val="Arial"/>
        <family val="0"/>
        <charset val="1"/>
      </rPr>
      <t xml:space="preserve">)(</t>
    </r>
    <r>
      <rPr>
        <sz val="10"/>
        <rFont val="WenQuanYi Zen Hei"/>
        <family val="2"/>
      </rPr>
      <t xml:space="preserve">후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십자인대를 침범한 염좌 및 긴장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십자인대 파열</t>
    </r>
    <r>
      <rPr>
        <sz val="10"/>
        <rFont val="Arial"/>
        <family val="0"/>
        <charset val="1"/>
      </rPr>
      <t xml:space="preserve">)</t>
    </r>
  </si>
  <si>
    <t xml:space="preserve">S83.5</t>
  </si>
  <si>
    <t xml:space="preserve">Sprain and strain involving (anterior)(posterior) cruciate ligament of knee</t>
  </si>
  <si>
    <r>
      <rPr>
        <sz val="10"/>
        <rFont val="WenQuanYi Zen Hei"/>
        <family val="2"/>
      </rPr>
      <t xml:space="preserve">반달연골의 찢김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현재 손상</t>
    </r>
    <r>
      <rPr>
        <sz val="10"/>
        <rFont val="Arial"/>
        <family val="0"/>
        <charset val="1"/>
      </rPr>
      <t xml:space="preserve">)</t>
    </r>
  </si>
  <si>
    <t xml:space="preserve">S83.2</t>
  </si>
  <si>
    <t xml:space="preserve">Tear of meniscus, current</t>
  </si>
  <si>
    <t xml:space="preserve">오래된 찢김 또는 손상에 의한 반달연골의 장애</t>
  </si>
  <si>
    <t xml:space="preserve">M23.2</t>
  </si>
  <si>
    <t xml:space="preserve">Derangement of meniscus due to old tear or injury</t>
  </si>
  <si>
    <r>
      <rPr>
        <sz val="10"/>
        <rFont val="WenQuanYi Zen Hei"/>
        <family val="2"/>
      </rPr>
      <t xml:space="preserve">가쪽위관절융기염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테니스엘보</t>
    </r>
    <r>
      <rPr>
        <sz val="10"/>
        <rFont val="Arial"/>
        <family val="0"/>
        <charset val="1"/>
      </rPr>
      <t xml:space="preserve">)</t>
    </r>
  </si>
  <si>
    <t xml:space="preserve">M77.1</t>
  </si>
  <si>
    <t xml:space="preserve">Lateral epicondylitis</t>
  </si>
  <si>
    <r>
      <rPr>
        <sz val="10"/>
        <rFont val="WenQuanYi Zen Hei"/>
        <family val="2"/>
      </rPr>
      <t xml:space="preserve">척골신경의 병변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주관증후군</t>
    </r>
    <r>
      <rPr>
        <sz val="10"/>
        <rFont val="Arial"/>
        <family val="0"/>
        <charset val="1"/>
      </rPr>
      <t xml:space="preserve">)</t>
    </r>
  </si>
  <si>
    <t xml:space="preserve">팔꿈치머리 윤활낭염</t>
  </si>
  <si>
    <t xml:space="preserve">M70.2</t>
  </si>
  <si>
    <t xml:space="preserve">Olecranon bursitis</t>
  </si>
  <si>
    <t xml:space="preserve">I211, I212, I213</t>
  </si>
  <si>
    <r>
      <rPr>
        <sz val="10"/>
        <rFont val="WenQuanYi Zen Hei"/>
        <family val="2"/>
      </rPr>
      <t xml:space="preserve">아킬레스힘줄의 손상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파열</t>
    </r>
    <r>
      <rPr>
        <sz val="10"/>
        <rFont val="Arial"/>
        <family val="0"/>
        <charset val="1"/>
      </rPr>
      <t xml:space="preserve">)</t>
    </r>
  </si>
  <si>
    <t xml:space="preserve">S86.0</t>
  </si>
  <si>
    <t xml:space="preserve">Injury of Achilles tendon</t>
  </si>
  <si>
    <t xml:space="preserve">무지외반증</t>
  </si>
  <si>
    <t xml:space="preserve">M20.1</t>
  </si>
  <si>
    <t xml:space="preserve">Hallux valgus (acquired)</t>
  </si>
  <si>
    <r>
      <rPr>
        <sz val="10"/>
        <rFont val="WenQuanYi Zen Hei"/>
        <family val="2"/>
      </rPr>
      <t xml:space="preserve">발목의 염좌 및 긴장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발목인대 손상</t>
    </r>
    <r>
      <rPr>
        <sz val="10"/>
        <rFont val="Arial"/>
        <family val="0"/>
        <charset val="1"/>
      </rPr>
      <t xml:space="preserve">)</t>
    </r>
  </si>
  <si>
    <t xml:space="preserve">S93.4</t>
  </si>
  <si>
    <t xml:space="preserve">Sprain and strain of ankle</t>
  </si>
  <si>
    <r>
      <rPr>
        <sz val="10"/>
        <rFont val="WenQuanYi Zen Hei"/>
        <family val="2"/>
      </rPr>
      <t xml:space="preserve">박리성 골연골염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거골 골연골병변</t>
    </r>
    <r>
      <rPr>
        <sz val="10"/>
        <rFont val="Arial"/>
        <family val="0"/>
        <charset val="1"/>
      </rPr>
      <t xml:space="preserve">)</t>
    </r>
  </si>
  <si>
    <t xml:space="preserve">M93.2</t>
  </si>
  <si>
    <t xml:space="preserve">Osteochondritis dissecans</t>
  </si>
  <si>
    <t xml:space="preserve">골절판 및 기타 내부고정장치의 제거를 포함한 추적치료</t>
  </si>
  <si>
    <t xml:space="preserve">Z47.0</t>
  </si>
  <si>
    <t xml:space="preserve">Follow-up care involving removal of fracture plate and other internal fixation device</t>
  </si>
  <si>
    <t xml:space="preserve">골의 내부고정장치의 기계적 합병증</t>
  </si>
  <si>
    <t xml:space="preserve">T84.1</t>
  </si>
  <si>
    <t xml:space="preserve">Mechanical complication of internal fixation device of bones of limb</t>
  </si>
  <si>
    <t xml:space="preserve">내부고정장치에 의한 감염</t>
  </si>
  <si>
    <t xml:space="preserve">T84.6</t>
  </si>
  <si>
    <t xml:space="preserve">Infection and inflammatory reaction due to internal fixation device [any site]</t>
  </si>
  <si>
    <t xml:space="preserve">I251, I252</t>
  </si>
  <si>
    <r>
      <rPr>
        <sz val="10"/>
        <rFont val="WenQuanYi Zen Hei"/>
        <family val="2"/>
      </rPr>
      <t xml:space="preserve">손목굴증후군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수근관증후군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</si>
  <si>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기타 활액낭종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결절종</t>
    </r>
    <r>
      <rPr>
        <sz val="10"/>
        <rFont val="Arial"/>
        <family val="0"/>
        <charset val="1"/>
      </rPr>
      <t xml:space="preserve">)</t>
    </r>
  </si>
  <si>
    <t xml:space="preserve">M67.4</t>
  </si>
  <si>
    <t xml:space="preserve">Ganglion</t>
  </si>
  <si>
    <t xml:space="preserve">기타 손가락의 굽힘근 및 힘줄의 손상</t>
  </si>
  <si>
    <t xml:space="preserve">S66.1</t>
  </si>
  <si>
    <t xml:space="preserve">Injury of flexor muscle and tendon of other finger at wrist and hand level</t>
  </si>
  <si>
    <t xml:space="preserve">I261, I262, I263</t>
  </si>
  <si>
    <r>
      <rPr>
        <sz val="10"/>
        <rFont val="WenQuanYi Zen Hei"/>
        <family val="2"/>
      </rPr>
      <t xml:space="preserve">발목 및 발을 제외한 하지의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도 화상</t>
    </r>
  </si>
  <si>
    <t xml:space="preserve">T24.3</t>
  </si>
  <si>
    <t xml:space="preserve">Burn of third degree of hip and lower limb, except ankle and foot</t>
  </si>
  <si>
    <r>
      <rPr>
        <sz val="10"/>
        <rFont val="WenQuanYi Zen Hei"/>
        <family val="2"/>
      </rPr>
      <t xml:space="preserve">욕창</t>
    </r>
    <r>
      <rPr>
        <sz val="10"/>
        <rFont val="Arial"/>
        <family val="0"/>
        <charset val="1"/>
      </rPr>
      <t xml:space="preserve">(4</t>
    </r>
    <r>
      <rPr>
        <sz val="10"/>
        <rFont val="WenQuanYi Zen Hei"/>
        <family val="2"/>
      </rPr>
      <t xml:space="preserve">단계</t>
    </r>
    <r>
      <rPr>
        <sz val="10"/>
        <rFont val="Arial"/>
        <family val="0"/>
        <charset val="1"/>
      </rPr>
      <t xml:space="preserve">)</t>
    </r>
  </si>
  <si>
    <t xml:space="preserve">L89.3</t>
  </si>
  <si>
    <t xml:space="preserve">Stage IV decubitus ulcer</t>
  </si>
  <si>
    <t xml:space="preserve">아래다리의 기타 부분의 열린상처</t>
  </si>
  <si>
    <t xml:space="preserve">S81.8</t>
  </si>
  <si>
    <t xml:space="preserve">Open wound of other parts of lower leg</t>
  </si>
  <si>
    <t xml:space="preserve">I271, I272, I273</t>
  </si>
  <si>
    <t xml:space="preserve">사지 피부 및 피하조직의 지방종</t>
  </si>
  <si>
    <t xml:space="preserve">D17.2</t>
  </si>
  <si>
    <t xml:space="preserve">Benign lipomatous neoplasm of skin and subcutaneous tissue of limbs</t>
  </si>
  <si>
    <r>
      <rPr>
        <sz val="10"/>
        <rFont val="WenQuanYi Zen Hei"/>
        <family val="2"/>
      </rPr>
      <t xml:space="preserve">하지 결합조직 및 연조직의 악성신생물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연부조직육종</t>
    </r>
    <r>
      <rPr>
        <sz val="10"/>
        <rFont val="Arial"/>
        <family val="0"/>
        <charset val="1"/>
      </rPr>
      <t xml:space="preserve">)</t>
    </r>
  </si>
  <si>
    <t xml:space="preserve">C49.2</t>
  </si>
  <si>
    <t xml:space="preserve">Malignant neoplasm: Connective and soft tissue of lower limb, including hip</t>
  </si>
  <si>
    <t xml:space="preserve">괴사성 근막염</t>
  </si>
  <si>
    <t xml:space="preserve">M72.6</t>
  </si>
  <si>
    <t xml:space="preserve">Necrotizing fasciitis</t>
  </si>
  <si>
    <t xml:space="preserve">사지의 기타 부분의 연조직염</t>
  </si>
  <si>
    <t xml:space="preserve">L03.1</t>
  </si>
  <si>
    <t xml:space="preserve">Cellulitis of other parts of limb</t>
  </si>
  <si>
    <t xml:space="preserve">I281, I282, I283, I284, I285, I286, I287</t>
  </si>
  <si>
    <t xml:space="preserve">요골 하단의 골절</t>
  </si>
  <si>
    <t xml:space="preserve">S52.5</t>
  </si>
  <si>
    <t xml:space="preserve">Fracture of lower end of radius</t>
  </si>
  <si>
    <t xml:space="preserve">외측복사의 골절</t>
  </si>
  <si>
    <t xml:space="preserve">S82.6</t>
  </si>
  <si>
    <t xml:space="preserve">Fracture of lateral malleolus</t>
  </si>
  <si>
    <t xml:space="preserve">상완골 상단의 골절</t>
  </si>
  <si>
    <t xml:space="preserve">비구의 골절</t>
  </si>
  <si>
    <t xml:space="preserve">S32.4</t>
  </si>
  <si>
    <t xml:space="preserve">Fracture of acetabulum</t>
  </si>
  <si>
    <r>
      <rPr>
        <sz val="10"/>
        <rFont val="WenQuanYi Zen Hei"/>
        <family val="2"/>
      </rPr>
      <t xml:space="preserve">손바닥근막섬유종증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듀피트렌 구축</t>
    </r>
    <r>
      <rPr>
        <sz val="10"/>
        <rFont val="Arial"/>
        <family val="0"/>
        <charset val="1"/>
      </rPr>
      <t xml:space="preserve">)</t>
    </r>
  </si>
  <si>
    <t xml:space="preserve">M72.0</t>
  </si>
  <si>
    <t xml:space="preserve">Palmar fascial fibromatosis [Dupuytren]</t>
  </si>
  <si>
    <r>
      <rPr>
        <sz val="10"/>
        <rFont val="WenQuanYi Zen Hei"/>
        <family val="2"/>
      </rPr>
      <t xml:space="preserve">요골 경상돌기 건초염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드퀘르벵병</t>
    </r>
    <r>
      <rPr>
        <sz val="10"/>
        <rFont val="Arial"/>
        <family val="0"/>
        <charset val="1"/>
      </rPr>
      <t xml:space="preserve">)</t>
    </r>
  </si>
  <si>
    <t xml:space="preserve">M65.4</t>
  </si>
  <si>
    <t xml:space="preserve">Radial styloid tenosynovitis [de Quervain]</t>
  </si>
  <si>
    <r>
      <rPr>
        <sz val="10"/>
        <rFont val="WenQuanYi Zen Hei"/>
        <family val="2"/>
      </rPr>
      <t xml:space="preserve">슬와낭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베이커낭</t>
    </r>
    <r>
      <rPr>
        <sz val="10"/>
        <rFont val="Arial"/>
        <family val="0"/>
        <charset val="1"/>
      </rPr>
      <t xml:space="preserve">)</t>
    </r>
  </si>
  <si>
    <t xml:space="preserve">M71.2</t>
  </si>
  <si>
    <t xml:space="preserve">Synovial cyst of popliteal space [Baker]</t>
  </si>
  <si>
    <t xml:space="preserve">I301, I302, I303, I304, I305, I306</t>
  </si>
  <si>
    <t xml:space="preserve">기타 원발성 무릎관절증</t>
  </si>
  <si>
    <t xml:space="preserve">I311, I312</t>
  </si>
  <si>
    <t xml:space="preserve">요추의 골절</t>
  </si>
  <si>
    <r>
      <rPr>
        <sz val="10"/>
        <rFont val="WenQuanYi Zen Hei"/>
        <family val="2"/>
      </rPr>
      <t xml:space="preserve">추간판의 감염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화농성</t>
    </r>
    <r>
      <rPr>
        <sz val="10"/>
        <rFont val="Arial"/>
        <family val="0"/>
        <charset val="1"/>
      </rPr>
      <t xml:space="preserve">)</t>
    </r>
  </si>
  <si>
    <t xml:space="preserve">M46.3</t>
  </si>
  <si>
    <t xml:space="preserve">Infection of intervertebral disc (pyogenic)</t>
  </si>
  <si>
    <t xml:space="preserve">I321, I322, I323, I324, I325</t>
  </si>
  <si>
    <r>
      <rPr>
        <sz val="10"/>
        <rFont val="WenQuanYi Zen Hei"/>
        <family val="2"/>
      </rPr>
      <t xml:space="preserve">기타 관절의 외상후 관절증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발목관절증</t>
    </r>
    <r>
      <rPr>
        <sz val="10"/>
        <rFont val="Arial"/>
        <family val="0"/>
        <charset val="1"/>
      </rPr>
      <t xml:space="preserve">)</t>
    </r>
  </si>
  <si>
    <t xml:space="preserve">M19.1</t>
  </si>
  <si>
    <t xml:space="preserve">Post-traumatic arthrosis of other joints</t>
  </si>
  <si>
    <t xml:space="preserve">관절고정술</t>
  </si>
  <si>
    <t xml:space="preserve">I331, I332</t>
  </si>
  <si>
    <t xml:space="preserve">상세불명의 화농성 관절염</t>
  </si>
  <si>
    <t xml:space="preserve">M00.9</t>
  </si>
  <si>
    <t xml:space="preserve">Pyogenic arthritis, unspecified</t>
  </si>
  <si>
    <t xml:space="preserve">포도알균성 관절염 및 다발관절염</t>
  </si>
  <si>
    <t xml:space="preserve">M00.0</t>
  </si>
  <si>
    <t xml:space="preserve">Staphylococcal arthritis and polyarthritis</t>
  </si>
  <si>
    <r>
      <rPr>
        <sz val="10"/>
        <rFont val="WenQuanYi Zen Hei"/>
        <family val="2"/>
      </rPr>
      <t xml:space="preserve">감염성 근염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근육 농양</t>
    </r>
    <r>
      <rPr>
        <sz val="10"/>
        <rFont val="Arial"/>
        <family val="0"/>
        <charset val="1"/>
      </rPr>
      <t xml:space="preserve">)</t>
    </r>
  </si>
  <si>
    <t xml:space="preserve">감염성 윤활낭염</t>
  </si>
  <si>
    <t xml:space="preserve">M71.1</t>
  </si>
  <si>
    <t xml:space="preserve">Other infective bursitis</t>
  </si>
  <si>
    <t xml:space="preserve">급성 골수염</t>
  </si>
  <si>
    <t xml:space="preserve">M86.1</t>
  </si>
  <si>
    <t xml:space="preserve">Other acute osteomyelitis</t>
  </si>
  <si>
    <t xml:space="preserve">얼굴 피부의 악성 신생물</t>
  </si>
  <si>
    <t xml:space="preserve">C44.3</t>
  </si>
  <si>
    <t xml:space="preserve">Malignant neoplasm: Skin of other and unspecified parts of face</t>
  </si>
  <si>
    <t xml:space="preserve">절제 후 결손 재건</t>
  </si>
  <si>
    <t xml:space="preserve">하지의 악성 흑색종</t>
  </si>
  <si>
    <t xml:space="preserve">C43.7</t>
  </si>
  <si>
    <t xml:space="preserve">Malignant neoplasm: Malignant melanoma of lower limb, including hip</t>
  </si>
  <si>
    <r>
      <rPr>
        <sz val="10"/>
        <rFont val="WenQuanYi Zen Hei"/>
        <family val="2"/>
      </rPr>
      <t xml:space="preserve">욕창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압박궤양</t>
    </r>
    <r>
      <rPr>
        <sz val="10"/>
        <rFont val="Arial"/>
        <family val="0"/>
        <charset val="1"/>
      </rPr>
      <t xml:space="preserve">)</t>
    </r>
  </si>
  <si>
    <t xml:space="preserve">L89</t>
  </si>
  <si>
    <t xml:space="preserve">Decubitus ulcer and pressure area</t>
  </si>
  <si>
    <t xml:space="preserve">J021, J022</t>
  </si>
  <si>
    <r>
      <rPr>
        <sz val="10"/>
        <rFont val="WenQuanYi Zen Hei"/>
        <family val="2"/>
      </rPr>
      <t xml:space="preserve">사지의 연조직염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봉소염</t>
    </r>
    <r>
      <rPr>
        <sz val="10"/>
        <rFont val="Arial"/>
        <family val="0"/>
        <charset val="1"/>
      </rPr>
      <t xml:space="preserve">)</t>
    </r>
  </si>
  <si>
    <t xml:space="preserve">하지의 궤양</t>
  </si>
  <si>
    <t xml:space="preserve">L97</t>
  </si>
  <si>
    <t xml:space="preserve">Ulcer of lower limb, not elsewhere classified</t>
  </si>
  <si>
    <t xml:space="preserve">J031, J032</t>
  </si>
  <si>
    <t xml:space="preserve">비대성 흉터</t>
  </si>
  <si>
    <t xml:space="preserve">L91.0</t>
  </si>
  <si>
    <t xml:space="preserve">Hypertrophic scar</t>
  </si>
  <si>
    <r>
      <rPr>
        <sz val="10"/>
        <rFont val="WenQuanYi Zen Hei"/>
        <family val="2"/>
      </rPr>
      <t xml:space="preserve">흉터 상태 및 피부 섬유증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반흔구축</t>
    </r>
    <r>
      <rPr>
        <sz val="10"/>
        <rFont val="Arial"/>
        <family val="0"/>
        <charset val="1"/>
      </rPr>
      <t xml:space="preserve">)</t>
    </r>
  </si>
  <si>
    <t xml:space="preserve">L90.5</t>
  </si>
  <si>
    <t xml:space="preserve">Scar conditions and fibrosis of skin</t>
  </si>
  <si>
    <t xml:space="preserve">피부의 기타 양성 신생물</t>
  </si>
  <si>
    <t xml:space="preserve">D23.9</t>
  </si>
  <si>
    <t xml:space="preserve">Benign neoplasm: Skin, unspecified</t>
  </si>
  <si>
    <t xml:space="preserve">J041, J042, J043</t>
  </si>
  <si>
    <t xml:space="preserve">표피낭종</t>
  </si>
  <si>
    <t xml:space="preserve">L72.0</t>
  </si>
  <si>
    <t xml:space="preserve">Epidermal cyst</t>
  </si>
  <si>
    <r>
      <rPr>
        <sz val="10"/>
        <rFont val="WenQuanYi Zen Hei"/>
        <family val="2"/>
      </rPr>
      <t xml:space="preserve">몸통 피부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피하조직의 지방종</t>
    </r>
  </si>
  <si>
    <t xml:space="preserve">D17.1</t>
  </si>
  <si>
    <t xml:space="preserve">Benign lipomatous neoplasm of skin and subcutaneous tissue of trunk</t>
  </si>
  <si>
    <r>
      <rPr>
        <sz val="10"/>
        <rFont val="WenQuanYi Zen Hei"/>
        <family val="2"/>
      </rPr>
      <t xml:space="preserve">사지의 피부농양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종기</t>
    </r>
  </si>
  <si>
    <t xml:space="preserve">L02.4</t>
  </si>
  <si>
    <t xml:space="preserve">Cutaneous abscess, furuncle and carbuncle of limb</t>
  </si>
  <si>
    <t xml:space="preserve">J051, J052</t>
  </si>
  <si>
    <r>
      <rPr>
        <sz val="10"/>
        <rFont val="WenQuanYi Zen Hei"/>
        <family val="2"/>
      </rPr>
      <t xml:space="preserve">유방의 악성 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유방암</t>
    </r>
    <r>
      <rPr>
        <sz val="10"/>
        <rFont val="Arial"/>
        <family val="0"/>
        <charset val="1"/>
      </rPr>
      <t xml:space="preserve">)</t>
    </r>
  </si>
  <si>
    <t xml:space="preserve">C50.9</t>
  </si>
  <si>
    <t xml:space="preserve">Malignant neoplasm: Breast, unspecified</t>
  </si>
  <si>
    <t xml:space="preserve">유방절제 후 재건</t>
  </si>
  <si>
    <r>
      <rPr>
        <sz val="10"/>
        <rFont val="WenQuanYi Zen Hei"/>
        <family val="2"/>
      </rPr>
      <t xml:space="preserve">유방의 후천성 결여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유방절제 후 상태</t>
    </r>
    <r>
      <rPr>
        <sz val="10"/>
        <rFont val="Arial"/>
        <family val="0"/>
        <charset val="1"/>
      </rPr>
      <t xml:space="preserve">)</t>
    </r>
  </si>
  <si>
    <t xml:space="preserve">Z90.1</t>
  </si>
  <si>
    <t xml:space="preserve">Acquired absence of breast(s)</t>
  </si>
  <si>
    <t xml:space="preserve">유방의 관내상피내암종</t>
  </si>
  <si>
    <t xml:space="preserve">D05.1</t>
  </si>
  <si>
    <t xml:space="preserve">Intraductal carcinoma in situ</t>
  </si>
  <si>
    <t xml:space="preserve">J061, J062, J063</t>
  </si>
  <si>
    <t xml:space="preserve">Benign neoplasm of breast</t>
  </si>
  <si>
    <t xml:space="preserve">악성종양 제외 유방절제</t>
  </si>
  <si>
    <r>
      <rPr>
        <sz val="10"/>
        <rFont val="WenQuanYi Zen Hei"/>
        <family val="2"/>
      </rPr>
      <t xml:space="preserve">유방의 행동양식 불명 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엽상종양 등</t>
    </r>
    <r>
      <rPr>
        <sz val="10"/>
        <rFont val="Arial"/>
        <family val="0"/>
        <charset val="1"/>
      </rPr>
      <t xml:space="preserve">)</t>
    </r>
  </si>
  <si>
    <t xml:space="preserve">D48.6</t>
  </si>
  <si>
    <t xml:space="preserve">Neoplasm of uncertain or unknown behaviour: Breast</t>
  </si>
  <si>
    <t xml:space="preserve">J071, J072</t>
  </si>
  <si>
    <r>
      <rPr>
        <sz val="10"/>
        <rFont val="WenQuanYi Zen Hei"/>
        <family val="2"/>
      </rPr>
      <t xml:space="preserve">유방의 양성 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섬유선종 등</t>
    </r>
    <r>
      <rPr>
        <sz val="10"/>
        <rFont val="Arial"/>
        <family val="0"/>
        <charset val="1"/>
      </rPr>
      <t xml:space="preserve">)</t>
    </r>
  </si>
  <si>
    <t xml:space="preserve">미만성 낭성 유방병증</t>
  </si>
  <si>
    <t xml:space="preserve">N60.1</t>
  </si>
  <si>
    <t xml:space="preserve">Diffuse cystic mastopathy</t>
  </si>
  <si>
    <t xml:space="preserve">상세불명의 유방 덩이</t>
  </si>
  <si>
    <t xml:space="preserve">Unspecified lump in breast</t>
  </si>
  <si>
    <r>
      <rPr>
        <sz val="10"/>
        <rFont val="WenQuanYi Zen Hei"/>
        <family val="2"/>
      </rPr>
      <t xml:space="preserve">유방의 염증성 장애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유방농양</t>
    </r>
    <r>
      <rPr>
        <sz val="10"/>
        <rFont val="Arial"/>
        <family val="0"/>
        <charset val="1"/>
      </rPr>
      <t xml:space="preserve">)</t>
    </r>
  </si>
  <si>
    <t xml:space="preserve">Inflammatory disorders of breast</t>
  </si>
  <si>
    <t xml:space="preserve">J081, J082</t>
  </si>
  <si>
    <t xml:space="preserve">액와림프절 수술</t>
  </si>
  <si>
    <t xml:space="preserve">액와 림프절의 이차성 악성 신생물</t>
  </si>
  <si>
    <t xml:space="preserve">C77.3</t>
  </si>
  <si>
    <t xml:space="preserve">Secondary and unspecified malignant neoplasm: Axillary and upper limb lymph nodes</t>
  </si>
  <si>
    <r>
      <rPr>
        <sz val="10"/>
        <rFont val="WenQuanYi Zen Hei"/>
        <family val="2"/>
      </rPr>
      <t xml:space="preserve">국소 다한증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액와 다한증</t>
    </r>
    <r>
      <rPr>
        <sz val="10"/>
        <rFont val="Arial"/>
        <family val="0"/>
        <charset val="1"/>
      </rPr>
      <t xml:space="preserve">)</t>
    </r>
  </si>
  <si>
    <t xml:space="preserve">R61.0</t>
  </si>
  <si>
    <t xml:space="preserve">Localized hyperhidrosis</t>
  </si>
  <si>
    <t xml:space="preserve">악성종양 제외</t>
  </si>
  <si>
    <t xml:space="preserve">부유방</t>
  </si>
  <si>
    <t xml:space="preserve">Q83.1</t>
  </si>
  <si>
    <t xml:space="preserve">Accessory breast</t>
  </si>
  <si>
    <r>
      <rPr>
        <sz val="10"/>
        <rFont val="WenQuanYi Zen Hei"/>
        <family val="2"/>
      </rPr>
      <t xml:space="preserve">유방의 염증성 장애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유방농양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유선염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</si>
  <si>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남성 유방 비대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여성형유방</t>
    </r>
    <r>
      <rPr>
        <sz val="10"/>
        <rFont val="Arial"/>
        <family val="0"/>
        <charset val="1"/>
      </rPr>
      <t xml:space="preserve">)</t>
    </r>
  </si>
  <si>
    <t xml:space="preserve">Hypertrophy of breast</t>
  </si>
  <si>
    <t xml:space="preserve">J100, J110</t>
  </si>
  <si>
    <t xml:space="preserve">농양이 없는 모소낭</t>
  </si>
  <si>
    <t xml:space="preserve">L05.9</t>
  </si>
  <si>
    <t xml:space="preserve">Pilonidal cyst without abscess</t>
  </si>
  <si>
    <t xml:space="preserve">국소 다한증</t>
  </si>
  <si>
    <t xml:space="preserve">항문주위 농양</t>
  </si>
  <si>
    <t xml:space="preserve">K011, K012</t>
  </si>
  <si>
    <r>
      <rPr>
        <sz val="10"/>
        <rFont val="WenQuanYi Zen Hei"/>
        <family val="2"/>
      </rPr>
      <t xml:space="preserve">말초순환 합병증 동반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형 당뇨병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당뇨발 괴저</t>
    </r>
    <r>
      <rPr>
        <sz val="10"/>
        <rFont val="Arial"/>
        <family val="0"/>
        <charset val="1"/>
      </rPr>
      <t xml:space="preserve">)</t>
    </r>
  </si>
  <si>
    <t xml:space="preserve">절단 시</t>
  </si>
  <si>
    <r>
      <rPr>
        <sz val="10"/>
        <rFont val="WenQuanYi Zen Hei"/>
        <family val="2"/>
      </rPr>
      <t xml:space="preserve">말초순환 합병증 동반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형 당뇨병</t>
    </r>
  </si>
  <si>
    <t xml:space="preserve">E10.5</t>
  </si>
  <si>
    <t xml:space="preserve">Type 1 diabetes mellitus with peripheral circulatory complications</t>
  </si>
  <si>
    <r>
      <rPr>
        <sz val="10"/>
        <rFont val="WenQuanYi Zen Hei"/>
        <family val="2"/>
      </rPr>
      <t xml:space="preserve">다발성 합병증 동반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형 당뇨병</t>
    </r>
  </si>
  <si>
    <t xml:space="preserve">E11.7</t>
  </si>
  <si>
    <t xml:space="preserve">Type 2 diabetes mellitus with multiple complications</t>
  </si>
  <si>
    <t xml:space="preserve">K021, K023, K024</t>
  </si>
  <si>
    <r>
      <rPr>
        <sz val="10"/>
        <rFont val="WenQuanYi Zen Hei"/>
        <family val="2"/>
      </rPr>
      <t xml:space="preserve">뇌하수체의 양성 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뇌하수체선종</t>
    </r>
    <r>
      <rPr>
        <sz val="10"/>
        <rFont val="Arial"/>
        <family val="0"/>
        <charset val="1"/>
      </rPr>
      <t xml:space="preserve">)</t>
    </r>
  </si>
  <si>
    <t xml:space="preserve">말단비대증 및 뇌하수체성 거인증</t>
  </si>
  <si>
    <t xml:space="preserve">E22.0</t>
  </si>
  <si>
    <t xml:space="preserve">Acromegaly and pituitary gigantism</t>
  </si>
  <si>
    <r>
      <rPr>
        <sz val="10"/>
        <rFont val="WenQuanYi Zen Hei"/>
        <family val="2"/>
      </rPr>
      <t xml:space="preserve">뇌하수체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의존성 쿠싱병</t>
    </r>
  </si>
  <si>
    <t xml:space="preserve">E24.0</t>
  </si>
  <si>
    <t xml:space="preserve">Pituitary-dependent Cushing disease</t>
  </si>
  <si>
    <r>
      <rPr>
        <sz val="10"/>
        <rFont val="WenQuanYi Zen Hei"/>
        <family val="2"/>
      </rPr>
      <t xml:space="preserve">두개인두관의 행동양식 불명 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두개인두종</t>
    </r>
    <r>
      <rPr>
        <sz val="10"/>
        <rFont val="Arial"/>
        <family val="0"/>
        <charset val="1"/>
      </rPr>
      <t xml:space="preserve">)</t>
    </r>
  </si>
  <si>
    <t xml:space="preserve">D44.4</t>
  </si>
  <si>
    <t xml:space="preserve">Neoplasm of uncertain or unknown behaviour: Craniopharyngeal duct</t>
  </si>
  <si>
    <t xml:space="preserve">K031, K032</t>
  </si>
  <si>
    <r>
      <rPr>
        <sz val="10"/>
        <rFont val="WenQuanYi Zen Hei"/>
        <family val="2"/>
      </rPr>
      <t xml:space="preserve">부신의 양성 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부신선종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갈색세포종</t>
    </r>
    <r>
      <rPr>
        <sz val="10"/>
        <rFont val="Arial"/>
        <family val="0"/>
        <charset val="1"/>
      </rPr>
      <t xml:space="preserve">)</t>
    </r>
  </si>
  <si>
    <t xml:space="preserve">D35.0</t>
  </si>
  <si>
    <t xml:space="preserve">Benign neoplasm: Adrenal gland</t>
  </si>
  <si>
    <t xml:space="preserve">원발성 알도스테론증</t>
  </si>
  <si>
    <t xml:space="preserve">E26.0</t>
  </si>
  <si>
    <t xml:space="preserve">Primary hyperaldosteronism</t>
  </si>
  <si>
    <r>
      <rPr>
        <sz val="10"/>
        <rFont val="WenQuanYi Zen Hei"/>
        <family val="2"/>
      </rPr>
      <t xml:space="preserve">부신수질 기능항진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갈색세포종</t>
    </r>
    <r>
      <rPr>
        <sz val="10"/>
        <rFont val="Arial"/>
        <family val="0"/>
        <charset val="1"/>
      </rPr>
      <t xml:space="preserve">)</t>
    </r>
  </si>
  <si>
    <t xml:space="preserve">E27.5</t>
  </si>
  <si>
    <t xml:space="preserve">Adrenomedullary hyperfunction</t>
  </si>
  <si>
    <t xml:space="preserve">부신피질의 악성 신생물</t>
  </si>
  <si>
    <t xml:space="preserve">C74.0</t>
  </si>
  <si>
    <t xml:space="preserve">Malignant neoplasm: Cortex of adrenal gland</t>
  </si>
  <si>
    <t xml:space="preserve">K041, K042, K043</t>
  </si>
  <si>
    <r>
      <rPr>
        <sz val="10"/>
        <rFont val="WenQuanYi Zen Hei"/>
        <family val="2"/>
      </rPr>
      <t xml:space="preserve">말초순환 합병증 동반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형 당뇨병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당뇨발 궤양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</si>
  <si>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피부이식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변연절제 시</t>
    </r>
  </si>
  <si>
    <t xml:space="preserve">말초순환 합병증 동반 상세불명 당뇨병</t>
  </si>
  <si>
    <t xml:space="preserve">E14.5</t>
  </si>
  <si>
    <t xml:space="preserve">Unspecified diabetes mellitus with peripheral circulatory complications</t>
  </si>
  <si>
    <t xml:space="preserve">K051, K052</t>
  </si>
  <si>
    <t xml:space="preserve">원발성 부갑상선기능항진증</t>
  </si>
  <si>
    <t xml:space="preserve">E21.0</t>
  </si>
  <si>
    <t xml:space="preserve">Primary hyperparathyroidism</t>
  </si>
  <si>
    <r>
      <rPr>
        <sz val="10"/>
        <rFont val="WenQuanYi Zen Hei"/>
        <family val="2"/>
      </rPr>
      <t xml:space="preserve">부갑상선의 양성 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부갑상선선종</t>
    </r>
    <r>
      <rPr>
        <sz val="10"/>
        <rFont val="Arial"/>
        <family val="0"/>
        <charset val="1"/>
      </rPr>
      <t xml:space="preserve">)</t>
    </r>
  </si>
  <si>
    <t xml:space="preserve">D35.1</t>
  </si>
  <si>
    <t xml:space="preserve">Benign neoplasm: Parathyroid gland</t>
  </si>
  <si>
    <t xml:space="preserve">신성 이차성 부갑상선기능항진증</t>
  </si>
  <si>
    <t xml:space="preserve">N25.8</t>
  </si>
  <si>
    <t xml:space="preserve">Other disorders resulting from impaired renal tubular function</t>
  </si>
  <si>
    <t xml:space="preserve">K063, K064</t>
  </si>
  <si>
    <r>
      <rPr>
        <sz val="10"/>
        <rFont val="WenQuanYi Zen Hei"/>
        <family val="2"/>
      </rPr>
      <t xml:space="preserve">갑상선의 악성 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갑상선암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</si>
  <si>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머리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얼굴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목 림프절의 이차성 악성 신생물</t>
    </r>
  </si>
  <si>
    <t xml:space="preserve">경부림프절 전이 동반</t>
  </si>
  <si>
    <t xml:space="preserve">K075, K076</t>
  </si>
  <si>
    <t xml:space="preserve">비독성 다결절성 갑상선종</t>
  </si>
  <si>
    <t xml:space="preserve">E04.2</t>
  </si>
  <si>
    <t xml:space="preserve">Nontoxic multinodular goitre</t>
  </si>
  <si>
    <t xml:space="preserve">비독성 단일 갑상선결절</t>
  </si>
  <si>
    <t xml:space="preserve">E04.1</t>
  </si>
  <si>
    <t xml:space="preserve">Nontoxic single thyroid nodule</t>
  </si>
  <si>
    <t xml:space="preserve">Benign neoplasm of thyroid gland</t>
  </si>
  <si>
    <r>
      <rPr>
        <sz val="10"/>
        <rFont val="WenQuanYi Zen Hei"/>
        <family val="2"/>
      </rPr>
      <t xml:space="preserve">미만성 갑상선종을 동반한 갑상선중독증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그레이브스병</t>
    </r>
    <r>
      <rPr>
        <sz val="10"/>
        <rFont val="Arial"/>
        <family val="0"/>
        <charset val="1"/>
      </rPr>
      <t xml:space="preserve">)</t>
    </r>
  </si>
  <si>
    <t xml:space="preserve">E05.0</t>
  </si>
  <si>
    <t xml:space="preserve">Thyrotoxicosis with diffuse goitre</t>
  </si>
  <si>
    <t xml:space="preserve">갑상설관 낭종</t>
  </si>
  <si>
    <r>
      <rPr>
        <sz val="10"/>
        <rFont val="WenQuanYi Zen Hei"/>
        <family val="2"/>
      </rPr>
      <t xml:space="preserve">비독성 단일 갑상선결절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갑상선 낭종</t>
    </r>
    <r>
      <rPr>
        <sz val="10"/>
        <rFont val="Arial"/>
        <family val="0"/>
        <charset val="1"/>
      </rPr>
      <t xml:space="preserve">)</t>
    </r>
  </si>
  <si>
    <t xml:space="preserve">K091, K092, K490</t>
  </si>
  <si>
    <r>
      <rPr>
        <sz val="10"/>
        <rFont val="WenQuanYi Zen Hei"/>
        <family val="2"/>
      </rPr>
      <t xml:space="preserve">과다열량에 의한 비만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고도비만</t>
    </r>
    <r>
      <rPr>
        <sz val="10"/>
        <rFont val="Arial"/>
        <family val="0"/>
        <charset val="1"/>
      </rPr>
      <t xml:space="preserve">)</t>
    </r>
  </si>
  <si>
    <t xml:space="preserve">E66.0</t>
  </si>
  <si>
    <t xml:space="preserve">Obesity due to excess calories</t>
  </si>
  <si>
    <t xml:space="preserve">비만대사수술 기준 충족 시</t>
  </si>
  <si>
    <t xml:space="preserve">상세불명의 비만</t>
  </si>
  <si>
    <t xml:space="preserve">E66.9</t>
  </si>
  <si>
    <t xml:space="preserve">Obesity, unspecified</t>
  </si>
  <si>
    <r>
      <rPr>
        <sz val="10"/>
        <rFont val="WenQuanYi Zen Hei"/>
        <family val="2"/>
      </rPr>
      <t xml:space="preserve">합병증 없는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형 당뇨병</t>
    </r>
  </si>
  <si>
    <t xml:space="preserve">E11.9</t>
  </si>
  <si>
    <t xml:space="preserve">Type 2 diabetes mellitus without complications</t>
  </si>
  <si>
    <t xml:space="preserve">비만 동반 대사수술 시</t>
  </si>
  <si>
    <r>
      <rPr>
        <sz val="10"/>
        <rFont val="WenQuanYi Zen Hei"/>
        <family val="2"/>
      </rPr>
      <t xml:space="preserve">만성 신장병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말기신부전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</si>
  <si>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신장 합병증 동반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형 당뇨병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당뇨병성 신증</t>
    </r>
    <r>
      <rPr>
        <sz val="10"/>
        <rFont val="Arial"/>
        <family val="0"/>
        <charset val="1"/>
      </rPr>
      <t xml:space="preserve">)</t>
    </r>
  </si>
  <si>
    <t xml:space="preserve">신부전 동반 고혈압성 신장병</t>
  </si>
  <si>
    <t xml:space="preserve">I12.0</t>
  </si>
  <si>
    <t xml:space="preserve">Hypertensive renal disease with renal failure</t>
  </si>
  <si>
    <t xml:space="preserve">L021, L022, L023, L024, L025, L026, L027</t>
  </si>
  <si>
    <r>
      <rPr>
        <sz val="10"/>
        <rFont val="WenQuanYi Zen Hei"/>
        <family val="2"/>
      </rPr>
      <t xml:space="preserve">신우를 제외한 신장의 악성 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신장암</t>
    </r>
    <r>
      <rPr>
        <sz val="10"/>
        <rFont val="Arial"/>
        <family val="0"/>
        <charset val="1"/>
      </rPr>
      <t xml:space="preserve">)</t>
    </r>
  </si>
  <si>
    <t xml:space="preserve">C64</t>
  </si>
  <si>
    <t xml:space="preserve">Malignant neoplasm of kidney, except renal pelvis</t>
  </si>
  <si>
    <r>
      <rPr>
        <sz val="10"/>
        <rFont val="WenQuanYi Zen Hei"/>
        <family val="2"/>
      </rPr>
      <t xml:space="preserve">방광의 악성 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방광암</t>
    </r>
    <r>
      <rPr>
        <sz val="10"/>
        <rFont val="Arial"/>
        <family val="0"/>
        <charset val="1"/>
      </rPr>
      <t xml:space="preserve">)</t>
    </r>
  </si>
  <si>
    <t xml:space="preserve">C67.9</t>
  </si>
  <si>
    <t xml:space="preserve">Malignant neoplasm: Bladder, unspecified</t>
  </si>
  <si>
    <r>
      <rPr>
        <sz val="10"/>
        <rFont val="WenQuanYi Zen Hei"/>
        <family val="2"/>
      </rPr>
      <t xml:space="preserve">전립선의 악성 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전립선암</t>
    </r>
    <r>
      <rPr>
        <sz val="10"/>
        <rFont val="Arial"/>
        <family val="0"/>
        <charset val="1"/>
      </rPr>
      <t xml:space="preserve">)</t>
    </r>
  </si>
  <si>
    <t xml:space="preserve">C61</t>
  </si>
  <si>
    <t xml:space="preserve">Malignant neoplasm of prostate</t>
  </si>
  <si>
    <t xml:space="preserve">요관의 악성 신생물</t>
  </si>
  <si>
    <t xml:space="preserve">C66</t>
  </si>
  <si>
    <t xml:space="preserve">Malignant neoplasm of ureter</t>
  </si>
  <si>
    <t xml:space="preserve">L031, L032, L033, L034</t>
  </si>
  <si>
    <t xml:space="preserve">신우요관이음부 폐쇄를 동반한 수신증</t>
  </si>
  <si>
    <t xml:space="preserve">N13.0</t>
  </si>
  <si>
    <t xml:space="preserve">Hydronephrosis with ureteropelvic junction obstruction</t>
  </si>
  <si>
    <r>
      <rPr>
        <sz val="10"/>
        <rFont val="WenQuanYi Zen Hei"/>
        <family val="2"/>
      </rPr>
      <t xml:space="preserve">신장의 낭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후천성 신낭종</t>
    </r>
    <r>
      <rPr>
        <sz val="10"/>
        <rFont val="Arial"/>
        <family val="0"/>
        <charset val="1"/>
      </rPr>
      <t xml:space="preserve">)</t>
    </r>
  </si>
  <si>
    <t xml:space="preserve">N28.1</t>
  </si>
  <si>
    <t xml:space="preserve">Cyst of kidney</t>
  </si>
  <si>
    <t xml:space="preserve">신장의 결석</t>
  </si>
  <si>
    <t xml:space="preserve">N20.0</t>
  </si>
  <si>
    <t xml:space="preserve">Calculus of kidney</t>
  </si>
  <si>
    <t xml:space="preserve">신장 및 신장주위 농양</t>
  </si>
  <si>
    <t xml:space="preserve">N15.1</t>
  </si>
  <si>
    <t xml:space="preserve">Renal and perinephric abscess</t>
  </si>
  <si>
    <t xml:space="preserve">요관의 결석</t>
  </si>
  <si>
    <t xml:space="preserve">N20.1</t>
  </si>
  <si>
    <t xml:space="preserve">Calculus of ureter</t>
  </si>
  <si>
    <t xml:space="preserve">수신증이 없는 요관의 꼬임 및 협착</t>
  </si>
  <si>
    <t xml:space="preserve">N13.5</t>
  </si>
  <si>
    <t xml:space="preserve">Kinking and stricture of ureter without hydronephrosis</t>
  </si>
  <si>
    <t xml:space="preserve">방광요관 역류</t>
  </si>
  <si>
    <t xml:space="preserve">N13.7</t>
  </si>
  <si>
    <t xml:space="preserve">Vesicoureteral-reflux-associated uropathy</t>
  </si>
  <si>
    <t xml:space="preserve">L051, L052, L053</t>
  </si>
  <si>
    <t xml:space="preserve">Calculus in bladder</t>
  </si>
  <si>
    <t xml:space="preserve">방광 게실</t>
  </si>
  <si>
    <t xml:space="preserve">N32.3</t>
  </si>
  <si>
    <t xml:space="preserve">Diverticulum of bladder</t>
  </si>
  <si>
    <t xml:space="preserve">간질성 방광염</t>
  </si>
  <si>
    <t xml:space="preserve">N30.1</t>
  </si>
  <si>
    <t xml:space="preserve">Interstitial cystitis (chronic)</t>
  </si>
  <si>
    <r>
      <rPr>
        <sz val="10"/>
        <rFont val="WenQuanYi Zen Hei"/>
        <family val="2"/>
      </rPr>
      <t xml:space="preserve">전립선 증식증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전립선비대증</t>
    </r>
    <r>
      <rPr>
        <sz val="10"/>
        <rFont val="Arial"/>
        <family val="0"/>
        <charset val="1"/>
      </rPr>
      <t xml:space="preserve">)</t>
    </r>
  </si>
  <si>
    <t xml:space="preserve">Hyperplasia of prostate</t>
  </si>
  <si>
    <t xml:space="preserve">전립선의 농양</t>
  </si>
  <si>
    <t xml:space="preserve">N41.2</t>
  </si>
  <si>
    <t xml:space="preserve">Abscess of prostate</t>
  </si>
  <si>
    <t xml:space="preserve">L071, L072, L073, L074, L075</t>
  </si>
  <si>
    <t xml:space="preserve">상세불명의 요도협착</t>
  </si>
  <si>
    <t xml:space="preserve">N35.9</t>
  </si>
  <si>
    <t xml:space="preserve">Urethral stricture, unspecified</t>
  </si>
  <si>
    <r>
      <rPr>
        <sz val="10"/>
        <rFont val="WenQuanYi Zen Hei"/>
        <family val="2"/>
      </rPr>
      <t xml:space="preserve">긴장성 요실금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복압성 요실금</t>
    </r>
    <r>
      <rPr>
        <sz val="10"/>
        <rFont val="Arial"/>
        <family val="0"/>
        <charset val="1"/>
      </rPr>
      <t xml:space="preserve">)</t>
    </r>
  </si>
  <si>
    <t xml:space="preserve">Stress incontinence</t>
  </si>
  <si>
    <t xml:space="preserve">요도 게실</t>
  </si>
  <si>
    <t xml:space="preserve">N36.1</t>
  </si>
  <si>
    <t xml:space="preserve">Urethral diverticulum</t>
  </si>
  <si>
    <t xml:space="preserve">L081, L082, L083, L084, L085</t>
  </si>
  <si>
    <t xml:space="preserve">요관결석을 동반한 신장결석</t>
  </si>
  <si>
    <t xml:space="preserve">N20.2</t>
  </si>
  <si>
    <t xml:space="preserve">Calculus of kidney with calculus of ureter</t>
  </si>
  <si>
    <t xml:space="preserve">L091, L092</t>
  </si>
  <si>
    <t xml:space="preserve">L101, L102</t>
  </si>
  <si>
    <r>
      <rPr>
        <sz val="10"/>
        <rFont val="WenQuanYi Zen Hei"/>
        <family val="2"/>
      </rPr>
      <t xml:space="preserve">기타 명시된 방광 장애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과민성 방광</t>
    </r>
    <r>
      <rPr>
        <sz val="10"/>
        <rFont val="Arial"/>
        <family val="0"/>
        <charset val="1"/>
      </rPr>
      <t xml:space="preserve">)</t>
    </r>
  </si>
  <si>
    <t xml:space="preserve">N32.8</t>
  </si>
  <si>
    <t xml:space="preserve">Other specified disorders of bladder</t>
  </si>
  <si>
    <r>
      <rPr>
        <sz val="10"/>
        <rFont val="WenQuanYi Zen Hei"/>
        <family val="2"/>
      </rPr>
      <t xml:space="preserve">상세불명의 방광의 신경근육기능장애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신경인성 방광</t>
    </r>
    <r>
      <rPr>
        <sz val="10"/>
        <rFont val="Arial"/>
        <family val="0"/>
        <charset val="1"/>
      </rPr>
      <t xml:space="preserve">)</t>
    </r>
  </si>
  <si>
    <t xml:space="preserve">N31.9</t>
  </si>
  <si>
    <t xml:space="preserve">Neuromuscular dysfunction of bladder, unspecified</t>
  </si>
  <si>
    <r>
      <rPr>
        <sz val="10"/>
        <rFont val="WenQuanYi Zen Hei"/>
        <family val="2"/>
      </rPr>
      <t xml:space="preserve">기타 명시된 요실금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절박성 요실금</t>
    </r>
    <r>
      <rPr>
        <sz val="10"/>
        <rFont val="Arial"/>
        <family val="0"/>
        <charset val="1"/>
      </rPr>
      <t xml:space="preserve">)</t>
    </r>
  </si>
  <si>
    <t xml:space="preserve">Other specified urinary incontinence</t>
  </si>
  <si>
    <t xml:space="preserve">요폐</t>
  </si>
  <si>
    <t xml:space="preserve">R33</t>
  </si>
  <si>
    <t xml:space="preserve">Retention of urine</t>
  </si>
  <si>
    <t xml:space="preserve">L111, L112</t>
  </si>
  <si>
    <t xml:space="preserve">신장의 손상</t>
  </si>
  <si>
    <t xml:space="preserve">S37.0</t>
  </si>
  <si>
    <t xml:space="preserve">Injury of kidney</t>
  </si>
  <si>
    <t xml:space="preserve">방광의 손상</t>
  </si>
  <si>
    <t xml:space="preserve">S37.2</t>
  </si>
  <si>
    <t xml:space="preserve">Injury of bladder</t>
  </si>
  <si>
    <t xml:space="preserve">요도의 손상</t>
  </si>
  <si>
    <t xml:space="preserve">S37.3</t>
  </si>
  <si>
    <t xml:space="preserve">Injury of urethra</t>
  </si>
  <si>
    <t xml:space="preserve">기타 및 상세불명의 수신증</t>
  </si>
  <si>
    <t xml:space="preserve">N13.3</t>
  </si>
  <si>
    <t xml:space="preserve">Other and unspecified hydronephrosis</t>
  </si>
  <si>
    <t xml:space="preserve">농신증</t>
  </si>
  <si>
    <t xml:space="preserve">N13.6</t>
  </si>
  <si>
    <t xml:space="preserve">Pyonephrosis</t>
  </si>
  <si>
    <t xml:space="preserve">L131, L132, L133, L134</t>
  </si>
  <si>
    <t xml:space="preserve">투석혈관 조성</t>
  </si>
  <si>
    <t xml:space="preserve">심장 및 혈관 인공삽입물의 기타 합병증</t>
  </si>
  <si>
    <t xml:space="preserve">T82.8</t>
  </si>
  <si>
    <t xml:space="preserve">Other specified complications of cardiac and vascular prosthetic devices, implants and grafts</t>
  </si>
  <si>
    <r>
      <rPr>
        <sz val="10"/>
        <rFont val="WenQuanYi Zen Hei"/>
        <family val="2"/>
      </rPr>
      <t xml:space="preserve">동정맥루 협착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폐쇄 시</t>
    </r>
  </si>
  <si>
    <t xml:space="preserve">상세불명의 혈뇨</t>
  </si>
  <si>
    <t xml:space="preserve">R31</t>
  </si>
  <si>
    <t xml:space="preserve">Unspecified haematuria</t>
  </si>
  <si>
    <r>
      <rPr>
        <sz val="10"/>
        <rFont val="WenQuanYi Zen Hei"/>
        <family val="2"/>
      </rPr>
      <t xml:space="preserve">요관부목 삽입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제거</t>
    </r>
  </si>
  <si>
    <t xml:space="preserve">선천성 단일 신장낭</t>
  </si>
  <si>
    <t xml:space="preserve">Q61.0</t>
  </si>
  <si>
    <t xml:space="preserve">Congenital single renal cyst</t>
  </si>
  <si>
    <r>
      <rPr>
        <sz val="10"/>
        <rFont val="WenQuanYi Zen Hei"/>
        <family val="2"/>
      </rPr>
      <t xml:space="preserve">직장의 악성 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직장암</t>
    </r>
    <r>
      <rPr>
        <sz val="10"/>
        <rFont val="Arial"/>
        <family val="0"/>
        <charset val="1"/>
      </rPr>
      <t xml:space="preserve">)</t>
    </r>
  </si>
  <si>
    <t xml:space="preserve">M021, M022</t>
  </si>
  <si>
    <t xml:space="preserve">전립선의 결석</t>
  </si>
  <si>
    <t xml:space="preserve">N42.0</t>
  </si>
  <si>
    <t xml:space="preserve">Calculus of prostate</t>
  </si>
  <si>
    <t xml:space="preserve">M041, M042, M043</t>
  </si>
  <si>
    <r>
      <rPr>
        <sz val="10"/>
        <rFont val="WenQuanYi Zen Hei"/>
        <family val="2"/>
      </rPr>
      <t xml:space="preserve">음경의 형성성 경결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페이로니병</t>
    </r>
    <r>
      <rPr>
        <sz val="10"/>
        <rFont val="Arial"/>
        <family val="0"/>
        <charset val="1"/>
      </rPr>
      <t xml:space="preserve">)</t>
    </r>
  </si>
  <si>
    <t xml:space="preserve">N48.6</t>
  </si>
  <si>
    <t xml:space="preserve">Induratio penis plastica</t>
  </si>
  <si>
    <t xml:space="preserve">기질성 원인의 발기부전</t>
  </si>
  <si>
    <t xml:space="preserve">N48.4</t>
  </si>
  <si>
    <t xml:space="preserve">Impotence of organic origin</t>
  </si>
  <si>
    <t xml:space="preserve">음경보형물 삽입</t>
  </si>
  <si>
    <t xml:space="preserve">음경의 악성 신생물</t>
  </si>
  <si>
    <t xml:space="preserve">C60.9</t>
  </si>
  <si>
    <t xml:space="preserve">Malignant neoplasm: Penis, unspecified</t>
  </si>
  <si>
    <t xml:space="preserve">상세불명의 요도하열</t>
  </si>
  <si>
    <t xml:space="preserve">Q54.9</t>
  </si>
  <si>
    <t xml:space="preserve">Hypospadias, unspecified</t>
  </si>
  <si>
    <r>
      <rPr>
        <sz val="10"/>
        <rFont val="WenQuanYi Zen Hei"/>
        <family val="2"/>
      </rPr>
      <t xml:space="preserve">과다포피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포경 및 감돈포경</t>
    </r>
  </si>
  <si>
    <t xml:space="preserve">N47</t>
  </si>
  <si>
    <t xml:space="preserve">Redundant prepuce, phimosis and paraphimosis</t>
  </si>
  <si>
    <t xml:space="preserve">귀두포피염</t>
  </si>
  <si>
    <t xml:space="preserve">N48.1</t>
  </si>
  <si>
    <t xml:space="preserve">Balanoposthitis</t>
  </si>
  <si>
    <t xml:space="preserve">M061, M062</t>
  </si>
  <si>
    <t xml:space="preserve">M071, M072</t>
  </si>
  <si>
    <t xml:space="preserve">상세불명의 음낭수종</t>
  </si>
  <si>
    <t xml:space="preserve">N43.3</t>
  </si>
  <si>
    <t xml:space="preserve">Hydrocele, unspecified</t>
  </si>
  <si>
    <t xml:space="preserve">정액류</t>
  </si>
  <si>
    <t xml:space="preserve">N43.4</t>
  </si>
  <si>
    <t xml:space="preserve">Spermatocele</t>
  </si>
  <si>
    <r>
      <rPr>
        <sz val="10"/>
        <rFont val="WenQuanYi Zen Hei"/>
        <family val="2"/>
      </rPr>
      <t xml:space="preserve">음낭의 염증성 장애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음낭 농양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푸르니에 괴저</t>
    </r>
    <r>
      <rPr>
        <sz val="10"/>
        <rFont val="Arial"/>
        <family val="0"/>
        <charset val="1"/>
      </rPr>
      <t xml:space="preserve">)</t>
    </r>
  </si>
  <si>
    <t xml:space="preserve">N49.2</t>
  </si>
  <si>
    <t xml:space="preserve">Inflammatory disorders of scrotum</t>
  </si>
  <si>
    <t xml:space="preserve">M081, M082, M083</t>
  </si>
  <si>
    <t xml:space="preserve">한쪽 잠복고환</t>
  </si>
  <si>
    <t xml:space="preserve">Q53.1</t>
  </si>
  <si>
    <t xml:space="preserve">Undescended testicle, unilateral</t>
  </si>
  <si>
    <t xml:space="preserve">양쪽 잠복고환</t>
  </si>
  <si>
    <t xml:space="preserve">Q53.2</t>
  </si>
  <si>
    <t xml:space="preserve">Undescended testicle, bilateral</t>
  </si>
  <si>
    <t xml:space="preserve">Torsion of testis</t>
  </si>
  <si>
    <r>
      <rPr>
        <sz val="10"/>
        <rFont val="WenQuanYi Zen Hei"/>
        <family val="2"/>
      </rPr>
      <t xml:space="preserve">고환의 악성 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고환암</t>
    </r>
    <r>
      <rPr>
        <sz val="10"/>
        <rFont val="Arial"/>
        <family val="0"/>
        <charset val="1"/>
      </rPr>
      <t xml:space="preserve">)</t>
    </r>
  </si>
  <si>
    <t xml:space="preserve">C62.9</t>
  </si>
  <si>
    <t xml:space="preserve">Malignant neoplasm: Testis, unspecified</t>
  </si>
  <si>
    <t xml:space="preserve">M091, M092, M093</t>
  </si>
  <si>
    <r>
      <rPr>
        <sz val="10"/>
        <rFont val="WenQuanYi Zen Hei"/>
        <family val="2"/>
      </rPr>
      <t xml:space="preserve">음낭정맥류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정계정맥류</t>
    </r>
    <r>
      <rPr>
        <sz val="10"/>
        <rFont val="Arial"/>
        <family val="0"/>
        <charset val="1"/>
      </rPr>
      <t xml:space="preserve">)</t>
    </r>
  </si>
  <si>
    <t xml:space="preserve">Scrotal varices</t>
  </si>
  <si>
    <t xml:space="preserve">고환적출술</t>
  </si>
  <si>
    <t xml:space="preserve">고환의 위축</t>
  </si>
  <si>
    <t xml:space="preserve">N50.0</t>
  </si>
  <si>
    <t xml:space="preserve">Atrophy of testis</t>
  </si>
  <si>
    <t xml:space="preserve">M101, M102</t>
  </si>
  <si>
    <t xml:space="preserve">Orchitis and epididymitis</t>
  </si>
  <si>
    <t xml:space="preserve">N011, N012</t>
  </si>
  <si>
    <r>
      <rPr>
        <sz val="10"/>
        <rFont val="WenQuanYi Zen Hei"/>
        <family val="2"/>
      </rPr>
      <t xml:space="preserve">자궁내막의 악성 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자궁내막암</t>
    </r>
    <r>
      <rPr>
        <sz val="10"/>
        <rFont val="Arial"/>
        <family val="0"/>
        <charset val="1"/>
      </rPr>
      <t xml:space="preserve">)</t>
    </r>
  </si>
  <si>
    <t xml:space="preserve">C54.1</t>
  </si>
  <si>
    <t xml:space="preserve">Malignant neoplasm: Endometrium</t>
  </si>
  <si>
    <r>
      <rPr>
        <sz val="10"/>
        <rFont val="WenQuanYi Zen Hei"/>
        <family val="2"/>
      </rPr>
      <t xml:space="preserve">자궁경부의 악성 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자궁경부암</t>
    </r>
    <r>
      <rPr>
        <sz val="10"/>
        <rFont val="Arial"/>
        <family val="0"/>
        <charset val="1"/>
      </rPr>
      <t xml:space="preserve">)</t>
    </r>
  </si>
  <si>
    <t xml:space="preserve">C53.9</t>
  </si>
  <si>
    <t xml:space="preserve">Malignant neoplasm: Cervix uteri, unspecified</t>
  </si>
  <si>
    <t xml:space="preserve">상세불명 부위 자궁의 악성 신생물</t>
  </si>
  <si>
    <t xml:space="preserve">C55</t>
  </si>
  <si>
    <t xml:space="preserve">Malignant neoplasm of uterus, part unspecified</t>
  </si>
  <si>
    <t xml:space="preserve">N021, N022</t>
  </si>
  <si>
    <r>
      <rPr>
        <sz val="10"/>
        <rFont val="WenQuanYi Zen Hei"/>
        <family val="2"/>
      </rPr>
      <t xml:space="preserve">상세불명의 자궁의 평활근종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자궁근종</t>
    </r>
    <r>
      <rPr>
        <sz val="10"/>
        <rFont val="Arial"/>
        <family val="0"/>
        <charset val="1"/>
      </rPr>
      <t xml:space="preserve">)</t>
    </r>
  </si>
  <si>
    <t xml:space="preserve">D25.9</t>
  </si>
  <si>
    <t xml:space="preserve">Leiomyoma of uterus, unspecified</t>
  </si>
  <si>
    <r>
      <rPr>
        <sz val="10"/>
        <rFont val="WenQuanYi Zen Hei"/>
        <family val="2"/>
      </rPr>
      <t xml:space="preserve">자궁의 자궁내막증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자궁선근증</t>
    </r>
    <r>
      <rPr>
        <sz val="10"/>
        <rFont val="Arial"/>
        <family val="0"/>
        <charset val="1"/>
      </rPr>
      <t xml:space="preserve">)</t>
    </r>
  </si>
  <si>
    <t xml:space="preserve">N80.0</t>
  </si>
  <si>
    <t xml:space="preserve">Endometriosis of uterus</t>
  </si>
  <si>
    <t xml:space="preserve">불완전 자궁질탈출</t>
  </si>
  <si>
    <t xml:space="preserve">N81.2</t>
  </si>
  <si>
    <t xml:space="preserve">Incomplete uterovaginal prolapse</t>
  </si>
  <si>
    <t xml:space="preserve">자궁내막의 선종성 증식증</t>
  </si>
  <si>
    <t xml:space="preserve">N85.1</t>
  </si>
  <si>
    <t xml:space="preserve">Endometrial adenomatous hyperplasia</t>
  </si>
  <si>
    <t xml:space="preserve">N031, N032</t>
  </si>
  <si>
    <t xml:space="preserve">자궁의 벽내 평활근종</t>
  </si>
  <si>
    <t xml:space="preserve">D25.1</t>
  </si>
  <si>
    <t xml:space="preserve">Intramural leiomyoma of uterus</t>
  </si>
  <si>
    <t xml:space="preserve">근종절제술</t>
  </si>
  <si>
    <t xml:space="preserve">자궁내막의 폴립</t>
  </si>
  <si>
    <t xml:space="preserve">N84.0</t>
  </si>
  <si>
    <t xml:space="preserve">Polyp of corpus uteri</t>
  </si>
  <si>
    <t xml:space="preserve">N041, N042</t>
  </si>
  <si>
    <r>
      <rPr>
        <sz val="10"/>
        <rFont val="WenQuanYi Zen Hei"/>
        <family val="2"/>
      </rPr>
      <t xml:space="preserve">난소의 악성 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난소암</t>
    </r>
    <r>
      <rPr>
        <sz val="10"/>
        <rFont val="Arial"/>
        <family val="0"/>
        <charset val="1"/>
      </rPr>
      <t xml:space="preserve">)</t>
    </r>
  </si>
  <si>
    <t xml:space="preserve">C56</t>
  </si>
  <si>
    <t xml:space="preserve">Malignant neoplasm of ovary</t>
  </si>
  <si>
    <t xml:space="preserve">나팔관의 악성 신생물</t>
  </si>
  <si>
    <t xml:space="preserve">C57.0</t>
  </si>
  <si>
    <t xml:space="preserve">Malignant neoplasm: Fallopian tube</t>
  </si>
  <si>
    <t xml:space="preserve">N051, N052</t>
  </si>
  <si>
    <r>
      <rPr>
        <sz val="10"/>
        <rFont val="WenQuanYi Zen Hei"/>
        <family val="2"/>
      </rPr>
      <t xml:space="preserve">난소의 양성 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성숙기형종 등</t>
    </r>
    <r>
      <rPr>
        <sz val="10"/>
        <rFont val="Arial"/>
        <family val="0"/>
        <charset val="1"/>
      </rPr>
      <t xml:space="preserve">)</t>
    </r>
  </si>
  <si>
    <t xml:space="preserve">Benign neoplasm of ovary</t>
  </si>
  <si>
    <t xml:space="preserve">기타 및 상세불명의 난소낭</t>
  </si>
  <si>
    <t xml:space="preserve">N83.2</t>
  </si>
  <si>
    <t xml:space="preserve">Other and unspecified ovarian cysts</t>
  </si>
  <si>
    <r>
      <rPr>
        <sz val="10"/>
        <rFont val="WenQuanYi Zen Hei"/>
        <family val="2"/>
      </rPr>
      <t xml:space="preserve">난소의 자궁내막증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자궁내막종</t>
    </r>
    <r>
      <rPr>
        <sz val="10"/>
        <rFont val="Arial"/>
        <family val="0"/>
        <charset val="1"/>
      </rPr>
      <t xml:space="preserve">)</t>
    </r>
  </si>
  <si>
    <t xml:space="preserve">N80.1</t>
  </si>
  <si>
    <t xml:space="preserve">Endometriosis of ovary</t>
  </si>
  <si>
    <r>
      <rPr>
        <sz val="10"/>
        <rFont val="WenQuanYi Zen Hei"/>
        <family val="2"/>
      </rPr>
      <t xml:space="preserve">난소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난소경 및 나팔관의 염전</t>
    </r>
  </si>
  <si>
    <t xml:space="preserve">N83.5</t>
  </si>
  <si>
    <t xml:space="preserve">Torsion of ovary, ovarian pedicle and fallopian tube</t>
  </si>
  <si>
    <t xml:space="preserve">N061, N062</t>
  </si>
  <si>
    <r>
      <rPr>
        <sz val="10"/>
        <rFont val="WenQuanYi Zen Hei"/>
        <family val="2"/>
      </rPr>
      <t xml:space="preserve">급성 난관염 및 난소염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난관난소농양</t>
    </r>
    <r>
      <rPr>
        <sz val="10"/>
        <rFont val="Arial"/>
        <family val="0"/>
        <charset val="1"/>
      </rPr>
      <t xml:space="preserve">)</t>
    </r>
  </si>
  <si>
    <t xml:space="preserve">N70.0</t>
  </si>
  <si>
    <t xml:space="preserve">Acute salpingitis and oophoritis</t>
  </si>
  <si>
    <r>
      <rPr>
        <sz val="10"/>
        <rFont val="WenQuanYi Zen Hei"/>
        <family val="2"/>
      </rPr>
      <t xml:space="preserve">만성 난관염 및 난소염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난관수종</t>
    </r>
    <r>
      <rPr>
        <sz val="10"/>
        <rFont val="Arial"/>
        <family val="0"/>
        <charset val="1"/>
      </rPr>
      <t xml:space="preserve">)</t>
    </r>
  </si>
  <si>
    <t xml:space="preserve">N70.1</t>
  </si>
  <si>
    <t xml:space="preserve">Chronic salpingitis and oophoritis</t>
  </si>
  <si>
    <t xml:space="preserve">N071, N072</t>
  </si>
  <si>
    <t xml:space="preserve">외음의 악성 신생물</t>
  </si>
  <si>
    <t xml:space="preserve">C51.9</t>
  </si>
  <si>
    <t xml:space="preserve">Malignant neoplasm: Vulva, unspecified</t>
  </si>
  <si>
    <t xml:space="preserve">질의 악성 신생물</t>
  </si>
  <si>
    <t xml:space="preserve">C52</t>
  </si>
  <si>
    <t xml:space="preserve">Malignant neoplasm of vagina</t>
  </si>
  <si>
    <t xml:space="preserve">N081, N082</t>
  </si>
  <si>
    <t xml:space="preserve">중등도 자궁경부이형성증</t>
  </si>
  <si>
    <t xml:space="preserve">N87.1</t>
  </si>
  <si>
    <t xml:space="preserve">Moderate cervical dysplasia</t>
  </si>
  <si>
    <t xml:space="preserve">바르톨린선의 낭</t>
  </si>
  <si>
    <t xml:space="preserve">N75.0</t>
  </si>
  <si>
    <t xml:space="preserve">Cyst of Bartholin gland</t>
  </si>
  <si>
    <t xml:space="preserve">바르톨린선의 농양</t>
  </si>
  <si>
    <t xml:space="preserve">N75.1</t>
  </si>
  <si>
    <t xml:space="preserve">Abscess of Bartholin gland</t>
  </si>
  <si>
    <t xml:space="preserve">자궁경부의 폴립</t>
  </si>
  <si>
    <t xml:space="preserve">N84.1</t>
  </si>
  <si>
    <t xml:space="preserve">Polyp of cervix uteri</t>
  </si>
  <si>
    <t xml:space="preserve">N091, N092</t>
  </si>
  <si>
    <t xml:space="preserve">골반복막의 자궁내막증</t>
  </si>
  <si>
    <t xml:space="preserve">N80.3</t>
  </si>
  <si>
    <t xml:space="preserve">Endometriosis of pelvic peritoneum</t>
  </si>
  <si>
    <t xml:space="preserve">여성 골반복막유착</t>
  </si>
  <si>
    <t xml:space="preserve">N73.6</t>
  </si>
  <si>
    <t xml:space="preserve">Female pelvic peritoneal adhesions</t>
  </si>
  <si>
    <t xml:space="preserve">급성 자궁방결합조직염 및 골반 연조직염</t>
  </si>
  <si>
    <t xml:space="preserve">N73.0</t>
  </si>
  <si>
    <t xml:space="preserve">Acute parametritis and pelvic cellulitis</t>
  </si>
  <si>
    <t xml:space="preserve">N101, N102</t>
  </si>
  <si>
    <t xml:space="preserve">완전 자궁질탈출</t>
  </si>
  <si>
    <t xml:space="preserve">N81.3</t>
  </si>
  <si>
    <t xml:space="preserve">Complete uterovaginal prolapse</t>
  </si>
  <si>
    <t xml:space="preserve">자궁적출술 후 질원개의 탈출</t>
  </si>
  <si>
    <t xml:space="preserve">N99.3</t>
  </si>
  <si>
    <t xml:space="preserve">Prolapse of vaginal vault after hysterectomy</t>
  </si>
  <si>
    <t xml:space="preserve">여성 방광류</t>
  </si>
  <si>
    <t xml:space="preserve">N81.1</t>
  </si>
  <si>
    <t xml:space="preserve">Cystocele</t>
  </si>
  <si>
    <t xml:space="preserve">난관성 여성 불임</t>
  </si>
  <si>
    <t xml:space="preserve">N97.1</t>
  </si>
  <si>
    <r>
      <rPr>
        <sz val="10"/>
        <rFont val="WenQuanYi Zen Hei"/>
        <family val="2"/>
      </rPr>
      <t xml:space="preserve">△ 보장개시일부터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년 지난 후 발생분만 — 습관성 유산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불임</t>
    </r>
    <r>
      <rPr>
        <sz val="10"/>
        <rFont val="Arial"/>
        <family val="0"/>
        <charset val="1"/>
      </rPr>
      <t xml:space="preserve">(N96~N98)</t>
    </r>
  </si>
  <si>
    <t xml:space="preserve">Female infertility of tubal origin</t>
  </si>
  <si>
    <t xml:space="preserve">자궁의 점막하 평활근종</t>
  </si>
  <si>
    <t xml:space="preserve">D25.0</t>
  </si>
  <si>
    <t xml:space="preserve">Submucous leiomyoma of uterus</t>
  </si>
  <si>
    <t xml:space="preserve">자궁내 유착</t>
  </si>
  <si>
    <t xml:space="preserve">N85.6</t>
  </si>
  <si>
    <t xml:space="preserve">Intrauterine synechiae</t>
  </si>
  <si>
    <t xml:space="preserve">규칙적 주기의 과다 및 빈발 월경</t>
  </si>
  <si>
    <t xml:space="preserve">N92.0</t>
  </si>
  <si>
    <t xml:space="preserve">Excessive and frequent menstruation with regular cycle</t>
  </si>
  <si>
    <t xml:space="preserve">자궁내막의 샘증식증</t>
  </si>
  <si>
    <t xml:space="preserve">N85.0</t>
  </si>
  <si>
    <t xml:space="preserve">Endometrial glandular hyperplasia</t>
  </si>
  <si>
    <t xml:space="preserve">N161, N162</t>
  </si>
  <si>
    <t xml:space="preserve">방광질루</t>
  </si>
  <si>
    <t xml:space="preserve">N82.0</t>
  </si>
  <si>
    <t xml:space="preserve">Vesicovaginal fistula</t>
  </si>
  <si>
    <r>
      <rPr>
        <sz val="10"/>
        <rFont val="WenQuanYi Zen Hei"/>
        <family val="2"/>
      </rPr>
      <t xml:space="preserve">질대장루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직장질루</t>
    </r>
    <r>
      <rPr>
        <sz val="10"/>
        <rFont val="Arial"/>
        <family val="0"/>
        <charset val="1"/>
      </rPr>
      <t xml:space="preserve">)</t>
    </r>
  </si>
  <si>
    <t xml:space="preserve">폐쇄처녀막</t>
  </si>
  <si>
    <t xml:space="preserve">Q52.3</t>
  </si>
  <si>
    <t xml:space="preserve">Imperforate hymen</t>
  </si>
  <si>
    <t xml:space="preserve">자궁동맥색전술</t>
  </si>
  <si>
    <r>
      <rPr>
        <sz val="10"/>
        <rFont val="WenQuanYi Zen Hei"/>
        <family val="2"/>
      </rPr>
      <t xml:space="preserve">기타 즉시 분만후 출혈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산후출혈</t>
    </r>
    <r>
      <rPr>
        <sz val="10"/>
        <rFont val="Arial"/>
        <family val="0"/>
        <charset val="1"/>
      </rPr>
      <t xml:space="preserve">)</t>
    </r>
  </si>
  <si>
    <t xml:space="preserve">O72.1</t>
  </si>
  <si>
    <t xml:space="preserve">Other immediate postpartum haemorrhage</t>
  </si>
  <si>
    <t xml:space="preserve">O011, O012, O013</t>
  </si>
  <si>
    <t xml:space="preserve">이전 제왕절개로 인한 자궁흉터에 대한 산모 관리</t>
  </si>
  <si>
    <t xml:space="preserve">O34.2</t>
  </si>
  <si>
    <t xml:space="preserve">Maternal care due to uterine scar from previous surgery</t>
  </si>
  <si>
    <t xml:space="preserve">둔위에 대한 산모 관리</t>
  </si>
  <si>
    <t xml:space="preserve">O32.1</t>
  </si>
  <si>
    <t xml:space="preserve">Maternal care for breech presentation</t>
  </si>
  <si>
    <t xml:space="preserve">출혈을 동반한 전치태반</t>
  </si>
  <si>
    <t xml:space="preserve">O44.1</t>
  </si>
  <si>
    <t xml:space="preserve">Placenta praevia with haemorrhage</t>
  </si>
  <si>
    <t xml:space="preserve">상세불명의 불균형에 대한 산모 관리</t>
  </si>
  <si>
    <t xml:space="preserve">O33.9</t>
  </si>
  <si>
    <t xml:space="preserve">Maternal care for disproportion, unspecified</t>
  </si>
  <si>
    <t xml:space="preserve">O022, O023, O024</t>
  </si>
  <si>
    <t xml:space="preserve">쌍둥이 임신</t>
  </si>
  <si>
    <t xml:space="preserve">O30.0</t>
  </si>
  <si>
    <t xml:space="preserve">Twin pregnancy</t>
  </si>
  <si>
    <t xml:space="preserve">세쌍둥이 임신</t>
  </si>
  <si>
    <t xml:space="preserve">O30.1</t>
  </si>
  <si>
    <t xml:space="preserve">Triplet pregnancy</t>
  </si>
  <si>
    <t xml:space="preserve">하나 이상 태아의 태위이상을 동반한 다태임신에 대한 산모 관리</t>
  </si>
  <si>
    <t xml:space="preserve">O32.5</t>
  </si>
  <si>
    <t xml:space="preserve">Maternal care for multiple gestation with malpresentation of one fetus or more</t>
  </si>
  <si>
    <t xml:space="preserve">제왕절개에 의한 다태분만</t>
  </si>
  <si>
    <t xml:space="preserve">O84.2</t>
  </si>
  <si>
    <t xml:space="preserve">Multiple delivery, all by caesarean section</t>
  </si>
  <si>
    <t xml:space="preserve">O081, O082</t>
  </si>
  <si>
    <t xml:space="preserve">나팔관 임신</t>
  </si>
  <si>
    <t xml:space="preserve">O00.1</t>
  </si>
  <si>
    <t xml:space="preserve">Tubal pregnancy</t>
  </si>
  <si>
    <t xml:space="preserve">복강 임신</t>
  </si>
  <si>
    <t xml:space="preserve">O00.0</t>
  </si>
  <si>
    <t xml:space="preserve">Abdominal pregnancy</t>
  </si>
  <si>
    <t xml:space="preserve">난소 임신</t>
  </si>
  <si>
    <t xml:space="preserve">O00.2</t>
  </si>
  <si>
    <t xml:space="preserve">Ovarian pregnancy</t>
  </si>
  <si>
    <t xml:space="preserve">O091, O092</t>
  </si>
  <si>
    <r>
      <rPr>
        <sz val="10"/>
        <rFont val="WenQuanYi Zen Hei"/>
        <family val="2"/>
      </rPr>
      <t xml:space="preserve">기타 자궁외 임신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자궁각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경부 임신 등</t>
    </r>
    <r>
      <rPr>
        <sz val="10"/>
        <rFont val="Arial"/>
        <family val="0"/>
        <charset val="1"/>
      </rPr>
      <t xml:space="preserve">)</t>
    </r>
  </si>
  <si>
    <t xml:space="preserve">O00.8</t>
  </si>
  <si>
    <t xml:space="preserve">Other ectopic pregnancy</t>
  </si>
  <si>
    <t xml:space="preserve">상세불명의 자궁외 임신</t>
  </si>
  <si>
    <t xml:space="preserve">O00.9</t>
  </si>
  <si>
    <t xml:space="preserve">Ectopic pregnancy, unspecified</t>
  </si>
  <si>
    <t xml:space="preserve">임신 중 자궁경부무력증에 대한 산모 관리</t>
  </si>
  <si>
    <t xml:space="preserve">O34.3</t>
  </si>
  <si>
    <t xml:space="preserve">Maternal care for cervical incompetence</t>
  </si>
  <si>
    <t xml:space="preserve">산과적 수술창상의 감염</t>
  </si>
  <si>
    <t xml:space="preserve">O86.0</t>
  </si>
  <si>
    <t xml:space="preserve">Infection of obstetric surgical wound</t>
  </si>
  <si>
    <r>
      <rPr>
        <sz val="10"/>
        <rFont val="WenQuanYi Zen Hei"/>
        <family val="2"/>
      </rPr>
      <t xml:space="preserve">출혈 없는 잔류 태반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막 일부</t>
    </r>
  </si>
  <si>
    <t xml:space="preserve">O73.1</t>
  </si>
  <si>
    <t xml:space="preserve">Retained portions of placenta and membranes, without haemorrhage</t>
  </si>
  <si>
    <t xml:space="preserve">제왕절개 창상의 파열</t>
  </si>
  <si>
    <t xml:space="preserve">O90.0</t>
  </si>
  <si>
    <t xml:space="preserve">Disruption of caesarean section wound</t>
  </si>
  <si>
    <t xml:space="preserve">계류유산</t>
  </si>
  <si>
    <t xml:space="preserve">O02.1</t>
  </si>
  <si>
    <t xml:space="preserve">Missed abortion</t>
  </si>
  <si>
    <r>
      <rPr>
        <sz val="10"/>
        <rFont val="WenQuanYi Zen Hei"/>
        <family val="2"/>
      </rPr>
      <t xml:space="preserve">불완전 자연유산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합병증 없는</t>
    </r>
    <r>
      <rPr>
        <sz val="10"/>
        <rFont val="Arial"/>
        <family val="0"/>
        <charset val="1"/>
      </rPr>
      <t xml:space="preserve">)</t>
    </r>
  </si>
  <si>
    <t xml:space="preserve">O03.4</t>
  </si>
  <si>
    <t xml:space="preserve">Spontaneous abortion : incomplete, without complication</t>
  </si>
  <si>
    <t xml:space="preserve">상세불명의 포상기태</t>
  </si>
  <si>
    <t xml:space="preserve">O01.9</t>
  </si>
  <si>
    <t xml:space="preserve">Hydatidiform mole, unspecified</t>
  </si>
  <si>
    <r>
      <rPr>
        <sz val="10"/>
        <rFont val="WenQuanYi Zen Hei"/>
        <family val="2"/>
      </rPr>
      <t xml:space="preserve">기타 즉시 분만후 출혈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자궁이완 출혈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</si>
  <si>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병적 유착태반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유착태반</t>
    </r>
    <r>
      <rPr>
        <sz val="10"/>
        <rFont val="Arial"/>
        <family val="0"/>
        <charset val="1"/>
      </rPr>
      <t xml:space="preserve">)</t>
    </r>
  </si>
  <si>
    <t xml:space="preserve">O43.2</t>
  </si>
  <si>
    <t xml:space="preserve">Morbidly adherent placenta</t>
  </si>
  <si>
    <t xml:space="preserve">분만 중 자궁파열</t>
  </si>
  <si>
    <t xml:space="preserve">O71.1</t>
  </si>
  <si>
    <t xml:space="preserve">Rupture of uterus during labour</t>
  </si>
  <si>
    <t xml:space="preserve">Q012, Q013</t>
  </si>
  <si>
    <t xml:space="preserve">특발성 혈소판감소성 자반증</t>
  </si>
  <si>
    <t xml:space="preserve">D69.3</t>
  </si>
  <si>
    <t xml:space="preserve">Idiopathic thrombocytopenic purpura</t>
  </si>
  <si>
    <t xml:space="preserve">비장의 손상</t>
  </si>
  <si>
    <t xml:space="preserve">S36.0</t>
  </si>
  <si>
    <t xml:space="preserve">Injury of spleen</t>
  </si>
  <si>
    <t xml:space="preserve">유전성 구상적혈구증</t>
  </si>
  <si>
    <t xml:space="preserve">D58.0</t>
  </si>
  <si>
    <t xml:space="preserve">Hereditary spherocytosis</t>
  </si>
  <si>
    <t xml:space="preserve">비장기능항진증</t>
  </si>
  <si>
    <t xml:space="preserve">D73.1</t>
  </si>
  <si>
    <t xml:space="preserve">Hypersplenism</t>
  </si>
  <si>
    <r>
      <rPr>
        <sz val="10"/>
        <rFont val="WenQuanYi Zen Hei"/>
        <family val="2"/>
      </rPr>
      <t xml:space="preserve">미만성 대</t>
    </r>
    <r>
      <rPr>
        <sz val="10"/>
        <rFont val="Arial"/>
        <family val="0"/>
        <charset val="1"/>
      </rPr>
      <t xml:space="preserve">B</t>
    </r>
    <r>
      <rPr>
        <sz val="10"/>
        <rFont val="WenQuanYi Zen Hei"/>
        <family val="2"/>
      </rPr>
      <t xml:space="preserve">세포 림프종</t>
    </r>
  </si>
  <si>
    <t xml:space="preserve">C83.3</t>
  </si>
  <si>
    <t xml:space="preserve">Diffuse large B-cell lymphoma</t>
  </si>
  <si>
    <t xml:space="preserve">상세불명의 호지킨 림프종</t>
  </si>
  <si>
    <t xml:space="preserve">C81.9</t>
  </si>
  <si>
    <t xml:space="preserve">Hodgkin lymphoma, unspecified</t>
  </si>
  <si>
    <t xml:space="preserve">만성 림프구성 백혈병</t>
  </si>
  <si>
    <t xml:space="preserve">C91.1</t>
  </si>
  <si>
    <t xml:space="preserve">Chronic lymphocytic leukaemia of B-cell type</t>
  </si>
  <si>
    <t xml:space="preserve">원발부위 미상의 악성 신생물</t>
  </si>
  <si>
    <t xml:space="preserve">C80.0</t>
  </si>
  <si>
    <t xml:space="preserve">Malignant neoplasm, primary site unknown, so stated</t>
  </si>
  <si>
    <t xml:space="preserve">상세불명 부위의 이차성 악성 신생물</t>
  </si>
  <si>
    <t xml:space="preserve">C79.9</t>
  </si>
  <si>
    <t xml:space="preserve">Secondary malignant neoplasm, unspecified site</t>
  </si>
  <si>
    <t xml:space="preserve">만성 골수증식성 질환</t>
  </si>
  <si>
    <t xml:space="preserve">D47.1</t>
  </si>
  <si>
    <t xml:space="preserve">Chronic myeloproliferative disease</t>
  </si>
  <si>
    <r>
      <rPr>
        <sz val="10"/>
        <rFont val="WenQuanYi Zen Hei"/>
        <family val="2"/>
      </rPr>
      <t xml:space="preserve">복부의 악성 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부위 불명확</t>
    </r>
    <r>
      <rPr>
        <sz val="10"/>
        <rFont val="Arial"/>
        <family val="0"/>
        <charset val="1"/>
      </rPr>
      <t xml:space="preserve">)</t>
    </r>
  </si>
  <si>
    <t xml:space="preserve">C76.2</t>
  </si>
  <si>
    <t xml:space="preserve">Malignant neoplasm of other and ill-defined sites: Abdomen</t>
  </si>
  <si>
    <t xml:space="preserve">다발성 중요 외상 동반</t>
  </si>
  <si>
    <t xml:space="preserve">경막외출혈</t>
  </si>
  <si>
    <t xml:space="preserve">두개원개 골절</t>
  </si>
  <si>
    <t xml:space="preserve">S02.0</t>
  </si>
  <si>
    <t xml:space="preserve">Fracture of vault of skull</t>
  </si>
  <si>
    <t xml:space="preserve">요추 및 골반의 다발골절</t>
  </si>
  <si>
    <t xml:space="preserve">S32.7</t>
  </si>
  <si>
    <t xml:space="preserve">Multiple fractures of lumbar spine and pelvis</t>
  </si>
  <si>
    <t xml:space="preserve">간 또는 담낭의 손상</t>
  </si>
  <si>
    <t xml:space="preserve">소장의 손상</t>
  </si>
  <si>
    <t xml:space="preserve">S36.4</t>
  </si>
  <si>
    <t xml:space="preserve">Injury of small intestine</t>
  </si>
  <si>
    <t xml:space="preserve">외상성 기흉</t>
  </si>
  <si>
    <t xml:space="preserve">S27.0</t>
  </si>
  <si>
    <t xml:space="preserve">Traumatic pneumothorax</t>
  </si>
  <si>
    <t xml:space="preserve">외상성 혈흉</t>
  </si>
  <si>
    <t xml:space="preserve">S27.1</t>
  </si>
  <si>
    <t xml:space="preserve">Traumatic haemothorax</t>
  </si>
  <si>
    <t xml:space="preserve">복부대동맥의 손상</t>
  </si>
  <si>
    <t xml:space="preserve">S35.0</t>
  </si>
  <si>
    <t xml:space="preserve">Injury of abdominal aorta</t>
  </si>
  <si>
    <t xml:space="preserve">X011, X012</t>
  </si>
  <si>
    <t xml:space="preserve">아래다리의 기타 부분의 열린 상처</t>
  </si>
  <si>
    <t xml:space="preserve">연부조직 결손</t>
  </si>
  <si>
    <t xml:space="preserve">개방성 연부조직 결손 동반</t>
  </si>
  <si>
    <t xml:space="preserve">발목 및 발의 다발성 열린 상처</t>
  </si>
  <si>
    <t xml:space="preserve">S91.7</t>
  </si>
  <si>
    <t xml:space="preserve">Multiple open wounds of ankle and foot</t>
  </si>
  <si>
    <t xml:space="preserve">X021, X022</t>
  </si>
  <si>
    <r>
      <rPr>
        <sz val="10"/>
        <rFont val="WenQuanYi Zen Hei"/>
        <family val="2"/>
      </rPr>
      <t xml:space="preserve">접합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재건 시</t>
    </r>
  </si>
  <si>
    <t xml:space="preserve">손목 및 손의 상세불명 열린 상처</t>
  </si>
  <si>
    <t xml:space="preserve">S61.9</t>
  </si>
  <si>
    <t xml:space="preserve">Open wound of wrist and hand, part unspecified</t>
  </si>
  <si>
    <t xml:space="preserve">엄지 및 기타 손가락의 으깸손상</t>
  </si>
  <si>
    <t xml:space="preserve">S67.0</t>
  </si>
  <si>
    <t xml:space="preserve">Crushing injury of thumb and other finger(s)</t>
  </si>
  <si>
    <t xml:space="preserve">두피의 열린 상처</t>
  </si>
  <si>
    <t xml:space="preserve">S01.0</t>
  </si>
  <si>
    <t xml:space="preserve">Open wound of scalp</t>
  </si>
  <si>
    <t xml:space="preserve">피부 결손</t>
  </si>
  <si>
    <t xml:space="preserve">머리의 기타 부분의 열린 상처</t>
  </si>
  <si>
    <t xml:space="preserve">S01.8</t>
  </si>
  <si>
    <t xml:space="preserve">Open wound of other parts of head</t>
  </si>
  <si>
    <t xml:space="preserve">위팔의 열린 상처</t>
  </si>
  <si>
    <t xml:space="preserve">S41.1</t>
  </si>
  <si>
    <t xml:space="preserve">Open wound of upper arm</t>
  </si>
  <si>
    <t xml:space="preserve">X041, X042</t>
  </si>
  <si>
    <t xml:space="preserve">외측 복사의 골절</t>
  </si>
  <si>
    <r>
      <rPr>
        <sz val="10"/>
        <rFont val="WenQuanYi Zen Hei"/>
        <family val="2"/>
      </rPr>
      <t xml:space="preserve">무릎 십자인대의 염좌 및 긴장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파열</t>
    </r>
    <r>
      <rPr>
        <sz val="10"/>
        <rFont val="Arial"/>
        <family val="0"/>
        <charset val="1"/>
      </rPr>
      <t xml:space="preserve">)</t>
    </r>
  </si>
  <si>
    <t xml:space="preserve">아킬레스건의 손상</t>
  </si>
  <si>
    <t xml:space="preserve">X051, X052</t>
  </si>
  <si>
    <t xml:space="preserve">기타 손허리뼈의 골절</t>
  </si>
  <si>
    <t xml:space="preserve">S62.3</t>
  </si>
  <si>
    <t xml:space="preserve">Fracture of other metacarpal bone</t>
  </si>
  <si>
    <t xml:space="preserve">기타 손가락의 골절</t>
  </si>
  <si>
    <t xml:space="preserve">S62.6</t>
  </si>
  <si>
    <t xml:space="preserve">Fracture of other finger</t>
  </si>
  <si>
    <t xml:space="preserve">손목 및 손 부위 기타 손가락 굴근 및 힘줄의 손상</t>
  </si>
  <si>
    <t xml:space="preserve">손의 주상골 골절</t>
  </si>
  <si>
    <t xml:space="preserve">S62.0</t>
  </si>
  <si>
    <t xml:space="preserve">Fracture of navicular [scaphoid] bone of hand</t>
  </si>
  <si>
    <t xml:space="preserve">위팔뼈 위끝의 골절</t>
  </si>
  <si>
    <t xml:space="preserve">어깨의 회전근개 손상</t>
  </si>
  <si>
    <t xml:space="preserve">S46.0</t>
  </si>
  <si>
    <t xml:space="preserve">Injury of muscle(s) and tendon(s) of the rotator cuff of shoulder</t>
  </si>
  <si>
    <t xml:space="preserve">쇄골의 골절</t>
  </si>
  <si>
    <t xml:space="preserve">S42.0</t>
  </si>
  <si>
    <t xml:space="preserve">Fracture of clavicle</t>
  </si>
  <si>
    <t xml:space="preserve">광대뼈 및 위턱뼈의 골절</t>
  </si>
  <si>
    <r>
      <rPr>
        <sz val="10"/>
        <rFont val="WenQuanYi Zen Hei"/>
        <family val="2"/>
      </rPr>
      <t xml:space="preserve">체표면 </t>
    </r>
    <r>
      <rPr>
        <sz val="10"/>
        <rFont val="Arial"/>
        <family val="0"/>
        <charset val="1"/>
      </rPr>
      <t xml:space="preserve">30~39% </t>
    </r>
    <r>
      <rPr>
        <sz val="10"/>
        <rFont val="WenQuanYi Zen Hei"/>
        <family val="2"/>
      </rPr>
      <t xml:space="preserve">화상</t>
    </r>
  </si>
  <si>
    <t xml:space="preserve">T31.3</t>
  </si>
  <si>
    <t xml:space="preserve">Burns involving 30-39% of body surface</t>
  </si>
  <si>
    <t xml:space="preserve">피부이식 동반</t>
  </si>
  <si>
    <r>
      <rPr>
        <sz val="10"/>
        <rFont val="WenQuanYi Zen Hei"/>
        <family val="2"/>
      </rPr>
      <t xml:space="preserve">발목 및 발을 제외한 엉덩이 및 다리의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도 화상</t>
    </r>
  </si>
  <si>
    <r>
      <rPr>
        <sz val="10"/>
        <rFont val="WenQuanYi Zen Hei"/>
        <family val="2"/>
      </rPr>
      <t xml:space="preserve">몸통의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도 화상</t>
    </r>
  </si>
  <si>
    <t xml:space="preserve">T21.3</t>
  </si>
  <si>
    <t xml:space="preserve">Burn of third degree of trunk</t>
  </si>
  <si>
    <r>
      <rPr>
        <sz val="10"/>
        <rFont val="WenQuanYi Zen Hei"/>
        <family val="2"/>
      </rPr>
      <t xml:space="preserve">후두 및 기관의 화상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흡입손상</t>
    </r>
    <r>
      <rPr>
        <sz val="10"/>
        <rFont val="Arial"/>
        <family val="0"/>
        <charset val="1"/>
      </rPr>
      <t xml:space="preserve">)</t>
    </r>
  </si>
  <si>
    <t xml:space="preserve">T27.0</t>
  </si>
  <si>
    <t xml:space="preserve">Burn of larynx and trachea</t>
  </si>
  <si>
    <t xml:space="preserve">흡입손상 동반</t>
  </si>
  <si>
    <r>
      <rPr>
        <sz val="10"/>
        <rFont val="WenQuanYi Zen Hei"/>
        <family val="2"/>
      </rPr>
      <t xml:space="preserve">손목 및 손의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도 화상</t>
    </r>
  </si>
  <si>
    <t xml:space="preserve">T23.3</t>
  </si>
  <si>
    <t xml:space="preserve">Burn of third degree of wrist and hand</t>
  </si>
  <si>
    <r>
      <rPr>
        <sz val="10"/>
        <rFont val="WenQuanYi Zen Hei"/>
        <family val="2"/>
      </rPr>
      <t xml:space="preserve">체표면 </t>
    </r>
    <r>
      <rPr>
        <sz val="10"/>
        <rFont val="Arial"/>
        <family val="0"/>
        <charset val="1"/>
      </rPr>
      <t xml:space="preserve">10~19% </t>
    </r>
    <r>
      <rPr>
        <sz val="10"/>
        <rFont val="WenQuanYi Zen Hei"/>
        <family val="2"/>
      </rPr>
      <t xml:space="preserve">화상</t>
    </r>
  </si>
  <si>
    <t xml:space="preserve">T31.1</t>
  </si>
  <si>
    <t xml:space="preserve">Burns involving 10-19% of body surface</t>
  </si>
  <si>
    <r>
      <rPr>
        <i val="true"/>
        <sz val="10"/>
        <color rgb="FF46536B"/>
        <rFont val="WenQuanYi Zen Hei"/>
        <family val="2"/>
      </rPr>
      <t xml:space="preserve">수술 항목별 대표 질병</t>
    </r>
    <r>
      <rPr>
        <i val="true"/>
        <sz val="10"/>
        <color rgb="FF46536B"/>
        <rFont val="Arial"/>
        <family val="0"/>
        <charset val="1"/>
      </rPr>
      <t xml:space="preserve">(</t>
    </r>
    <r>
      <rPr>
        <i val="true"/>
        <sz val="10"/>
        <color rgb="FF46536B"/>
        <rFont val="WenQuanYi Zen Hei"/>
        <family val="2"/>
      </rPr>
      <t xml:space="preserve">참고용 </t>
    </r>
    <r>
      <rPr>
        <i val="true"/>
        <sz val="10"/>
        <color rgb="FF46536B"/>
        <rFont val="Arial"/>
        <family val="0"/>
        <charset val="1"/>
      </rPr>
      <t xml:space="preserve">· </t>
    </r>
    <r>
      <rPr>
        <i val="true"/>
        <sz val="10"/>
        <color rgb="FF46536B"/>
        <rFont val="WenQuanYi Zen Hei"/>
        <family val="2"/>
      </rPr>
      <t xml:space="preserve">전부가 아님</t>
    </r>
    <r>
      <rPr>
        <i val="true"/>
        <sz val="10"/>
        <color rgb="FF46536B"/>
        <rFont val="Arial"/>
        <family val="0"/>
        <charset val="1"/>
      </rPr>
      <t xml:space="preserve">). 1-5</t>
    </r>
    <r>
      <rPr>
        <i val="true"/>
        <sz val="10"/>
        <color rgb="FF46536B"/>
        <rFont val="WenQuanYi Zen Hei"/>
        <family val="2"/>
      </rPr>
      <t xml:space="preserve">종Ⅱ는 질병코드 제외 규정이 없어 선천기형</t>
    </r>
    <r>
      <rPr>
        <i val="true"/>
        <sz val="10"/>
        <color rgb="FF46536B"/>
        <rFont val="Arial"/>
        <family val="0"/>
        <charset val="1"/>
      </rPr>
      <t xml:space="preserve">(Q)</t>
    </r>
    <r>
      <rPr>
        <i val="true"/>
        <sz val="10"/>
        <color rgb="FF46536B"/>
        <rFont val="WenQuanYi Zen Hei"/>
        <family val="2"/>
      </rPr>
      <t xml:space="preserve">도 지급 대상</t>
    </r>
    <r>
      <rPr>
        <i val="true"/>
        <sz val="10"/>
        <color rgb="FF46536B"/>
        <rFont val="Arial"/>
        <family val="0"/>
        <charset val="1"/>
      </rPr>
      <t xml:space="preserve">(</t>
    </r>
    <r>
      <rPr>
        <i val="true"/>
        <sz val="10"/>
        <color rgb="FF46536B"/>
        <rFont val="WenQuanYi Zen Hei"/>
        <family val="2"/>
      </rPr>
      <t xml:space="preserve">미용</t>
    </r>
    <r>
      <rPr>
        <i val="true"/>
        <sz val="10"/>
        <color rgb="FF46536B"/>
        <rFont val="Arial"/>
        <family val="0"/>
        <charset val="1"/>
      </rPr>
      <t xml:space="preserve">·</t>
    </r>
    <r>
      <rPr>
        <i val="true"/>
        <sz val="10"/>
        <color rgb="FF46536B"/>
        <rFont val="WenQuanYi Zen Hei"/>
        <family val="2"/>
      </rPr>
      <t xml:space="preserve">피임</t>
    </r>
    <r>
      <rPr>
        <i val="true"/>
        <sz val="10"/>
        <color rgb="FF46536B"/>
        <rFont val="Arial"/>
        <family val="0"/>
        <charset val="1"/>
      </rPr>
      <t xml:space="preserve">·</t>
    </r>
    <r>
      <rPr>
        <i val="true"/>
        <sz val="10"/>
        <color rgb="FF46536B"/>
        <rFont val="WenQuanYi Zen Hei"/>
        <family val="2"/>
      </rPr>
      <t xml:space="preserve">검사 목적만 제외</t>
    </r>
    <r>
      <rPr>
        <i val="true"/>
        <sz val="10"/>
        <color rgb="FF46536B"/>
        <rFont val="Arial"/>
        <family val="0"/>
        <charset val="1"/>
      </rPr>
      <t xml:space="preserve">) — 1-7</t>
    </r>
    <r>
      <rPr>
        <i val="true"/>
        <sz val="10"/>
        <color rgb="FF46536B"/>
        <rFont val="WenQuanYi Zen Hei"/>
        <family val="2"/>
      </rPr>
      <t xml:space="preserve">종</t>
    </r>
    <r>
      <rPr>
        <i val="true"/>
        <sz val="10"/>
        <color rgb="FF46536B"/>
        <rFont val="Arial"/>
        <family val="0"/>
        <charset val="1"/>
      </rPr>
      <t xml:space="preserve">[</t>
    </r>
    <r>
      <rPr>
        <i val="true"/>
        <sz val="10"/>
        <color rgb="FF46536B"/>
        <rFont val="WenQuanYi Zen Hei"/>
        <family val="2"/>
      </rPr>
      <t xml:space="preserve">질병</t>
    </r>
    <r>
      <rPr>
        <i val="true"/>
        <sz val="10"/>
        <color rgb="FF46536B"/>
        <rFont val="Arial"/>
        <family val="0"/>
        <charset val="1"/>
      </rPr>
      <t xml:space="preserve">]</t>
    </r>
    <r>
      <rPr>
        <i val="true"/>
        <sz val="10"/>
        <color rgb="FF46536B"/>
        <rFont val="WenQuanYi Zen Hei"/>
        <family val="2"/>
      </rPr>
      <t xml:space="preserve">과 다름</t>
    </r>
    <r>
      <rPr>
        <i val="true"/>
        <sz val="10"/>
        <color rgb="FF46536B"/>
        <rFont val="Arial"/>
        <family val="0"/>
        <charset val="1"/>
      </rPr>
      <t xml:space="preserve">. 1-5</t>
    </r>
    <r>
      <rPr>
        <i val="true"/>
        <sz val="10"/>
        <color rgb="FF46536B"/>
        <rFont val="WenQuanYi Zen Hei"/>
        <family val="2"/>
      </rPr>
      <t xml:space="preserve">종Ⅱ는 「수술 술식」으로 지급 — 질병이 달라도 같은 수술이면 같은 종</t>
    </r>
    <r>
      <rPr>
        <i val="true"/>
        <sz val="10"/>
        <color rgb="FF46536B"/>
        <rFont val="Arial"/>
        <family val="0"/>
        <charset val="1"/>
      </rPr>
      <t xml:space="preserve">. </t>
    </r>
    <r>
      <rPr>
        <i val="true"/>
        <sz val="10"/>
        <color rgb="FF46536B"/>
        <rFont val="WenQuanYi Zen Hei"/>
        <family val="2"/>
      </rPr>
      <t xml:space="preserve">약관에 질병별 예외가 있는 것</t>
    </r>
    <r>
      <rPr>
        <i val="true"/>
        <sz val="10"/>
        <color rgb="FF46536B"/>
        <rFont val="Arial"/>
        <family val="0"/>
        <charset val="1"/>
      </rPr>
      <t xml:space="preserve">(</t>
    </r>
    <r>
      <rPr>
        <i val="true"/>
        <sz val="10"/>
        <color rgb="FF46536B"/>
        <rFont val="WenQuanYi Zen Hei"/>
        <family val="2"/>
      </rPr>
      <t xml:space="preserve">담석증 </t>
    </r>
    <r>
      <rPr>
        <i val="true"/>
        <sz val="10"/>
        <color rgb="FF46536B"/>
        <rFont val="Arial"/>
        <family val="0"/>
        <charset val="1"/>
      </rPr>
      <t xml:space="preserve">K80 → 2</t>
    </r>
    <r>
      <rPr>
        <i val="true"/>
        <sz val="10"/>
        <color rgb="FF46536B"/>
        <rFont val="WenQuanYi Zen Hei"/>
        <family val="2"/>
      </rPr>
      <t xml:space="preserve">종 </t>
    </r>
    <r>
      <rPr>
        <i val="true"/>
        <sz val="10"/>
        <color rgb="FF46536B"/>
        <rFont val="Arial"/>
        <family val="0"/>
        <charset val="1"/>
      </rPr>
      <t xml:space="preserve">· </t>
    </r>
    <r>
      <rPr>
        <i val="true"/>
        <sz val="10"/>
        <color rgb="FF46536B"/>
        <rFont val="WenQuanYi Zen Hei"/>
        <family val="2"/>
      </rPr>
      <t xml:space="preserve">유방의 비대 </t>
    </r>
    <r>
      <rPr>
        <i val="true"/>
        <sz val="10"/>
        <color rgb="FF46536B"/>
        <rFont val="Arial"/>
        <family val="0"/>
        <charset val="1"/>
      </rPr>
      <t xml:space="preserve">N62 → 1</t>
    </r>
    <r>
      <rPr>
        <i val="true"/>
        <sz val="10"/>
        <color rgb="FF46536B"/>
        <rFont val="WenQuanYi Zen Hei"/>
        <family val="2"/>
      </rPr>
      <t xml:space="preserve">종</t>
    </r>
    <r>
      <rPr>
        <i val="true"/>
        <sz val="10"/>
        <color rgb="FF46536B"/>
        <rFont val="Arial"/>
        <family val="0"/>
        <charset val="1"/>
      </rPr>
      <t xml:space="preserve">)</t>
    </r>
    <r>
      <rPr>
        <i val="true"/>
        <sz val="10"/>
        <color rgb="FF46536B"/>
        <rFont val="WenQuanYi Zen Hei"/>
        <family val="2"/>
      </rPr>
      <t xml:space="preserve">은 비고에 적음</t>
    </r>
  </si>
  <si>
    <r>
      <rPr>
        <sz val="10"/>
        <rFont val="WenQuanYi Zen Hei"/>
        <family val="2"/>
      </rPr>
      <t xml:space="preserve">손목 및 손의 화상</t>
    </r>
    <r>
      <rPr>
        <sz val="10"/>
        <rFont val="Arial"/>
        <family val="0"/>
        <charset val="1"/>
      </rPr>
      <t xml:space="preserve">(3</t>
    </r>
    <r>
      <rPr>
        <sz val="10"/>
        <rFont val="WenQuanYi Zen Hei"/>
        <family val="2"/>
      </rPr>
      <t xml:space="preserve">도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</si>
  <si>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상해 담보 — 상해 </t>
    </r>
    <r>
      <rPr>
        <sz val="10"/>
        <rFont val="Arial"/>
        <family val="0"/>
        <charset val="1"/>
      </rPr>
      <t xml:space="preserve">1-5</t>
    </r>
    <r>
      <rPr>
        <sz val="10"/>
        <rFont val="WenQuanYi Zen Hei"/>
        <family val="2"/>
      </rPr>
      <t xml:space="preserve">종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수술비Ⅱ</t>
    </r>
    <r>
      <rPr>
        <sz val="10"/>
        <rFont val="Arial"/>
        <family val="0"/>
        <charset val="1"/>
      </rPr>
      <t xml:space="preserve">(1-5</t>
    </r>
    <r>
      <rPr>
        <sz val="10"/>
        <rFont val="WenQuanYi Zen Hei"/>
        <family val="2"/>
      </rPr>
      <t xml:space="preserve">종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</si>
  <si>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질병 담보 — 질병 </t>
    </r>
    <r>
      <rPr>
        <sz val="10"/>
        <rFont val="Arial"/>
        <family val="0"/>
        <charset val="1"/>
      </rPr>
      <t xml:space="preserve">1-5</t>
    </r>
    <r>
      <rPr>
        <sz val="10"/>
        <rFont val="WenQuanYi Zen Hei"/>
        <family val="2"/>
      </rPr>
      <t xml:space="preserve">종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수술비Ⅱ</t>
    </r>
    <r>
      <rPr>
        <sz val="10"/>
        <rFont val="Arial"/>
        <family val="0"/>
        <charset val="1"/>
      </rPr>
      <t xml:space="preserve">(1-5</t>
    </r>
    <r>
      <rPr>
        <sz val="10"/>
        <rFont val="WenQuanYi Zen Hei"/>
        <family val="2"/>
      </rPr>
      <t xml:space="preserve">종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</si>
  <si>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하지의 궤양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당뇨발 궤양 등</t>
    </r>
    <r>
      <rPr>
        <sz val="10"/>
        <rFont val="Arial"/>
        <family val="0"/>
        <charset val="1"/>
      </rPr>
      <t xml:space="preserve">)</t>
    </r>
  </si>
  <si>
    <t xml:space="preserve">손목 및 손의 다발성 개방성 상처</t>
  </si>
  <si>
    <t xml:space="preserve">S61.7</t>
  </si>
  <si>
    <t xml:space="preserve">Multiple open wounds of wrist and hand</t>
  </si>
  <si>
    <r>
      <rPr>
        <sz val="10"/>
        <rFont val="WenQuanYi Zen Hei"/>
        <family val="2"/>
      </rPr>
      <t xml:space="preserve">손목 및 손의 화상</t>
    </r>
    <r>
      <rPr>
        <sz val="10"/>
        <rFont val="Arial"/>
        <family val="0"/>
        <charset val="1"/>
      </rPr>
      <t xml:space="preserve">(2</t>
    </r>
    <r>
      <rPr>
        <sz val="10"/>
        <rFont val="WenQuanYi Zen Hei"/>
        <family val="2"/>
      </rPr>
      <t xml:space="preserve">도 심부</t>
    </r>
    <r>
      <rPr>
        <sz val="10"/>
        <rFont val="Arial"/>
        <family val="0"/>
        <charset val="1"/>
      </rPr>
      <t xml:space="preserve">)</t>
    </r>
  </si>
  <si>
    <t xml:space="preserve">T23.2</t>
  </si>
  <si>
    <t xml:space="preserve">Burn of second degree of wrist and hand</t>
  </si>
  <si>
    <t xml:space="preserve">손가락의 개방성 상처</t>
  </si>
  <si>
    <t xml:space="preserve">S61.0</t>
  </si>
  <si>
    <t xml:space="preserve">Open wound of finger(s) without damage to nail</t>
  </si>
  <si>
    <r>
      <rPr>
        <sz val="10"/>
        <rFont val="WenQuanYi Zen Hei"/>
        <family val="2"/>
      </rPr>
      <t xml:space="preserve">얼굴 피부의 악성 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절제 후 결손 피복</t>
    </r>
    <r>
      <rPr>
        <sz val="10"/>
        <rFont val="Arial"/>
        <family val="0"/>
        <charset val="1"/>
      </rPr>
      <t xml:space="preserve">)</t>
    </r>
  </si>
  <si>
    <t xml:space="preserve">유방의 상피내암종</t>
  </si>
  <si>
    <t xml:space="preserve">D05.9</t>
  </si>
  <si>
    <t xml:space="preserve">Carcinoma in situ of breast, unspecified</t>
  </si>
  <si>
    <r>
      <rPr>
        <sz val="10"/>
        <rFont val="WenQuanYi Zen Hei"/>
        <family val="2"/>
      </rPr>
      <t xml:space="preserve">유방의 비대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여성형유방 포함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</si>
  <si>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종 적용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약관 단서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</si>
  <si>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유방의 양성 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섬유선종</t>
    </r>
    <r>
      <rPr>
        <sz val="10"/>
        <rFont val="Arial"/>
        <family val="0"/>
        <charset val="1"/>
      </rPr>
      <t xml:space="preserve">)</t>
    </r>
  </si>
  <si>
    <t xml:space="preserve">유방의 고립성 낭종</t>
  </si>
  <si>
    <t xml:space="preserve">N60.0</t>
  </si>
  <si>
    <t xml:space="preserve">Solitary cyst of breast</t>
  </si>
  <si>
    <t xml:space="preserve">유방의 상세불명 덩이</t>
  </si>
  <si>
    <t xml:space="preserve">유방의 섬유선증</t>
  </si>
  <si>
    <t xml:space="preserve">N60.2</t>
  </si>
  <si>
    <t xml:space="preserve">Fibroadenosis of breast</t>
  </si>
  <si>
    <r>
      <rPr>
        <sz val="10"/>
        <rFont val="WenQuanYi Zen Hei"/>
        <family val="2"/>
      </rPr>
      <t xml:space="preserve">골절유합의 불유합</t>
    </r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가관절증</t>
    </r>
    <r>
      <rPr>
        <sz val="10"/>
        <rFont val="Arial"/>
        <family val="0"/>
        <charset val="1"/>
      </rPr>
      <t xml:space="preserve">]</t>
    </r>
  </si>
  <si>
    <r>
      <rPr>
        <sz val="10"/>
        <rFont val="WenQuanYi Zen Hei"/>
        <family val="2"/>
      </rPr>
      <t xml:space="preserve">특발성 무혈성 골괴사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대퇴골두 등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</si>
  <si>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골의 양성 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긴뼈</t>
    </r>
    <r>
      <rPr>
        <sz val="10"/>
        <rFont val="Arial"/>
        <family val="0"/>
        <charset val="1"/>
      </rPr>
      <t xml:space="preserve">)</t>
    </r>
  </si>
  <si>
    <t xml:space="preserve">두개원개의 골절</t>
  </si>
  <si>
    <t xml:space="preserve">두개저의 골절</t>
  </si>
  <si>
    <t xml:space="preserve">S02.1</t>
  </si>
  <si>
    <t xml:space="preserve">Fracture of base of skull</t>
  </si>
  <si>
    <t xml:space="preserve">코뼈의 골절</t>
  </si>
  <si>
    <t xml:space="preserve">코의 후천성 변형</t>
  </si>
  <si>
    <t xml:space="preserve">M95.0</t>
  </si>
  <si>
    <t xml:space="preserve">Acquired deformity of nose</t>
  </si>
  <si>
    <t xml:space="preserve">비중격만곡증 제외</t>
  </si>
  <si>
    <t xml:space="preserve">하악골의 골절</t>
  </si>
  <si>
    <t xml:space="preserve">관골 및 상악골의 골절</t>
  </si>
  <si>
    <r>
      <rPr>
        <sz val="10"/>
        <rFont val="WenQuanYi Zen Hei"/>
        <family val="2"/>
      </rPr>
      <t xml:space="preserve">턱관절의 장애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악관절장애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</si>
  <si>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발육성 치성 낭종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턱뼈 낭종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</si>
  <si>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요추 추간판 장애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디스크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신경뿌리병증 동반</t>
    </r>
  </si>
  <si>
    <r>
      <rPr>
        <sz val="10"/>
        <rFont val="WenQuanYi Zen Hei"/>
        <family val="2"/>
      </rPr>
      <t xml:space="preserve">척추협착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요추관협착증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</si>
  <si>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치골의 골절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골반골절</t>
    </r>
    <r>
      <rPr>
        <sz val="10"/>
        <rFont val="Arial"/>
        <family val="0"/>
        <charset val="1"/>
      </rPr>
      <t xml:space="preserve">)</t>
    </r>
  </si>
  <si>
    <t xml:space="preserve">S32.5</t>
  </si>
  <si>
    <t xml:space="preserve">Fracture of pubis</t>
  </si>
  <si>
    <t xml:space="preserve">견갑골의 골절</t>
  </si>
  <si>
    <t xml:space="preserve">S42.1</t>
  </si>
  <si>
    <t xml:space="preserve">Fracture of scapula</t>
  </si>
  <si>
    <t xml:space="preserve">다발성 늑골 골절</t>
  </si>
  <si>
    <t xml:space="preserve">S22.4</t>
  </si>
  <si>
    <t xml:space="preserve">Multiple fractures of ribs</t>
  </si>
  <si>
    <t xml:space="preserve">흉골의 골절</t>
  </si>
  <si>
    <t xml:space="preserve">S22.2</t>
  </si>
  <si>
    <t xml:space="preserve">Fracture of sternum</t>
  </si>
  <si>
    <t xml:space="preserve">손가락의 외상성 절단</t>
  </si>
  <si>
    <r>
      <rPr>
        <sz val="10"/>
        <rFont val="WenQuanYi Zen Hei"/>
        <family val="2"/>
      </rPr>
      <t xml:space="preserve">당뇨병성 발가락 괴저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말초순환합병증 동반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형 당뇨병</t>
    </r>
    <r>
      <rPr>
        <sz val="10"/>
        <rFont val="Arial"/>
        <family val="0"/>
        <charset val="1"/>
      </rPr>
      <t xml:space="preserve">)</t>
    </r>
  </si>
  <si>
    <t xml:space="preserve">발가락의 외상성 절단</t>
  </si>
  <si>
    <t xml:space="preserve">S98.1</t>
  </si>
  <si>
    <t xml:space="preserve">Traumatic amputation of one toe</t>
  </si>
  <si>
    <r>
      <rPr>
        <sz val="10"/>
        <rFont val="WenQuanYi Zen Hei"/>
        <family val="2"/>
      </rPr>
      <t xml:space="preserve">말초순환합병증을 동반한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형 당뇨병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당뇨발 괴저</t>
    </r>
    <r>
      <rPr>
        <sz val="10"/>
        <rFont val="Arial"/>
        <family val="0"/>
        <charset val="1"/>
      </rPr>
      <t xml:space="preserve">)</t>
    </r>
  </si>
  <si>
    <t xml:space="preserve">괴저를 동반한 사지의 죽상경화증</t>
  </si>
  <si>
    <t xml:space="preserve">무릎과 발목 사이 외상성 절단</t>
  </si>
  <si>
    <t xml:space="preserve">S88.1</t>
  </si>
  <si>
    <t xml:space="preserve">Traumatic amputation at level between knee and ankle</t>
  </si>
  <si>
    <r>
      <rPr>
        <sz val="10"/>
        <rFont val="WenQuanYi Zen Hei"/>
        <family val="2"/>
      </rPr>
      <t xml:space="preserve">다리 긴뼈의 악성 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골육종</t>
    </r>
    <r>
      <rPr>
        <sz val="10"/>
        <rFont val="Arial"/>
        <family val="0"/>
        <charset val="1"/>
      </rPr>
      <t xml:space="preserve">)</t>
    </r>
  </si>
  <si>
    <t xml:space="preserve">손목 및 손 수준의 외상성 절단</t>
  </si>
  <si>
    <t xml:space="preserve">손가락의 골절</t>
  </si>
  <si>
    <t xml:space="preserve">발가락의 골절</t>
  </si>
  <si>
    <t xml:space="preserve">S92.5</t>
  </si>
  <si>
    <t xml:space="preserve">Fracture of other toe</t>
  </si>
  <si>
    <r>
      <rPr>
        <sz val="10"/>
        <rFont val="WenQuanYi Zen Hei"/>
        <family val="2"/>
      </rPr>
      <t xml:space="preserve">방아쇠손가락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굽힘근 건초염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</si>
  <si>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건 수술이면 </t>
    </r>
    <r>
      <rPr>
        <sz val="10"/>
        <rFont val="Arial"/>
        <family val="0"/>
        <charset val="1"/>
      </rPr>
      <t xml:space="preserve">14</t>
    </r>
    <r>
      <rPr>
        <sz val="10"/>
        <rFont val="WenQuanYi Zen Hei"/>
        <family val="2"/>
      </rPr>
      <t xml:space="preserve">항</t>
    </r>
  </si>
  <si>
    <r>
      <rPr>
        <sz val="10"/>
        <rFont val="WenQuanYi Zen Hei"/>
        <family val="2"/>
      </rPr>
      <t xml:space="preserve">무릎의 원발성 관절증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퇴행성 관절염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</si>
  <si>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내측 복사뼈의 골절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발목 골절</t>
    </r>
    <r>
      <rPr>
        <sz val="10"/>
        <rFont val="Arial"/>
        <family val="0"/>
        <charset val="1"/>
      </rPr>
      <t xml:space="preserve">)</t>
    </r>
  </si>
  <si>
    <t xml:space="preserve">S82.5</t>
  </si>
  <si>
    <t xml:space="preserve">Fracture of medial malleolus</t>
  </si>
  <si>
    <r>
      <rPr>
        <sz val="10"/>
        <rFont val="WenQuanYi Zen Hei"/>
        <family val="2"/>
      </rPr>
      <t xml:space="preserve">무릎 반월상연골의 파열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현재 손상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</si>
  <si>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무릎 전방십자인대의 염좌 및 긴장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파열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</si>
  <si>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회전근개 증후군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어깨 회전근개 파열</t>
    </r>
    <r>
      <rPr>
        <sz val="10"/>
        <rFont val="Arial"/>
        <family val="0"/>
        <charset val="1"/>
      </rPr>
      <t xml:space="preserve">)</t>
    </r>
  </si>
  <si>
    <t xml:space="preserve">코의 폴립</t>
  </si>
  <si>
    <t xml:space="preserve">Nasal polyp</t>
  </si>
  <si>
    <t xml:space="preserve">후두의 양성 신생물</t>
  </si>
  <si>
    <t xml:space="preserve">D14.1</t>
  </si>
  <si>
    <t xml:space="preserve">Benign neoplasm: Larynx</t>
  </si>
  <si>
    <t xml:space="preserve">성대 및 후두의 폴립</t>
  </si>
  <si>
    <t xml:space="preserve">아데노이드의 비대를 동반한 편도의 비대</t>
  </si>
  <si>
    <t xml:space="preserve">아데노이드의 비대</t>
  </si>
  <si>
    <t xml:space="preserve">J35.2</t>
  </si>
  <si>
    <t xml:space="preserve">Hypertrophy of adenoids</t>
  </si>
  <si>
    <t xml:space="preserve">편도주위 농양</t>
  </si>
  <si>
    <r>
      <rPr>
        <sz val="10"/>
        <rFont val="WenQuanYi Zen Hei"/>
        <family val="2"/>
      </rPr>
      <t xml:space="preserve">기관지 및 폐의 악성 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폐암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</si>
  <si>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자연기흉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기타 자연기흉</t>
    </r>
    <r>
      <rPr>
        <sz val="10"/>
        <rFont val="Arial"/>
        <family val="0"/>
        <charset val="1"/>
      </rPr>
      <t xml:space="preserve">)</t>
    </r>
  </si>
  <si>
    <t xml:space="preserve">Pyothorax</t>
  </si>
  <si>
    <t xml:space="preserve">Bronchiectasis</t>
  </si>
  <si>
    <t xml:space="preserve">Other chronic obstructive pulmonary disease</t>
  </si>
  <si>
    <r>
      <rPr>
        <sz val="10"/>
        <rFont val="WenQuanYi Zen Hei"/>
        <family val="2"/>
      </rPr>
      <t xml:space="preserve">특발성 폐섬유증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섬유증을 동반한 기타 간질성 폐질환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</si>
  <si>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폐동맥고혈압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원발성</t>
    </r>
    <r>
      <rPr>
        <sz val="10"/>
        <rFont val="Arial"/>
        <family val="0"/>
        <charset val="1"/>
      </rPr>
      <t xml:space="preserve">)</t>
    </r>
  </si>
  <si>
    <t xml:space="preserve">I27.0</t>
  </si>
  <si>
    <t xml:space="preserve">Primary pulmonary hypertension</t>
  </si>
  <si>
    <r>
      <rPr>
        <sz val="10"/>
        <rFont val="WenQuanYi Zen Hei"/>
        <family val="2"/>
      </rPr>
      <t xml:space="preserve">오목가슴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누두흉</t>
    </r>
    <r>
      <rPr>
        <sz val="10"/>
        <rFont val="Arial"/>
        <family val="0"/>
        <charset val="1"/>
      </rPr>
      <t xml:space="preserve">)</t>
    </r>
  </si>
  <si>
    <t xml:space="preserve">Q67.6</t>
  </si>
  <si>
    <t xml:space="preserve">Pectus excavatum</t>
  </si>
  <si>
    <r>
      <rPr>
        <sz val="10"/>
        <rFont val="WenQuanYi Zen Hei"/>
        <family val="2"/>
      </rPr>
      <t xml:space="preserve">새가슴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구흉</t>
    </r>
    <r>
      <rPr>
        <sz val="10"/>
        <rFont val="Arial"/>
        <family val="0"/>
        <charset val="1"/>
      </rPr>
      <t xml:space="preserve">)</t>
    </r>
  </si>
  <si>
    <t xml:space="preserve">Q67.7</t>
  </si>
  <si>
    <t xml:space="preserve">Pectus carinatum</t>
  </si>
  <si>
    <r>
      <rPr>
        <sz val="10"/>
        <rFont val="WenQuanYi Zen Hei"/>
        <family val="2"/>
      </rPr>
      <t xml:space="preserve">만성 농흉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누공 없는 농흉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</si>
  <si>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흉선의 악성 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흉선종</t>
    </r>
    <r>
      <rPr>
        <sz val="10"/>
        <rFont val="Arial"/>
        <family val="0"/>
        <charset val="1"/>
      </rPr>
      <t xml:space="preserve">)</t>
    </r>
  </si>
  <si>
    <t xml:space="preserve">C37</t>
  </si>
  <si>
    <t xml:space="preserve">Malignant neoplasm of thymus</t>
  </si>
  <si>
    <t xml:space="preserve">흉선의 양성 신생물</t>
  </si>
  <si>
    <t xml:space="preserve">종격동의 양성 신생물</t>
  </si>
  <si>
    <t xml:space="preserve">D15.2</t>
  </si>
  <si>
    <t xml:space="preserve">Benign neoplasm: Mediastinum</t>
  </si>
  <si>
    <t xml:space="preserve">중증근무력증</t>
  </si>
  <si>
    <t xml:space="preserve">G70.0</t>
  </si>
  <si>
    <t xml:space="preserve">Myasthenia gravis</t>
  </si>
  <si>
    <t xml:space="preserve">흉선절제 시</t>
  </si>
  <si>
    <t xml:space="preserve">경동맥의 폐쇄 및 협착</t>
  </si>
  <si>
    <r>
      <rPr>
        <sz val="10"/>
        <rFont val="WenQuanYi Zen Hei"/>
        <family val="2"/>
      </rPr>
      <t xml:space="preserve">만성 신장병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투석용 동정맥루 조성</t>
    </r>
    <r>
      <rPr>
        <sz val="10"/>
        <rFont val="Arial"/>
        <family val="0"/>
        <charset val="1"/>
      </rPr>
      <t xml:space="preserve">)</t>
    </r>
  </si>
  <si>
    <t xml:space="preserve">염증을 동반한 하지 정맥류</t>
  </si>
  <si>
    <t xml:space="preserve">궤양을 동반한 하지 정맥류</t>
  </si>
  <si>
    <r>
      <rPr>
        <sz val="10"/>
        <rFont val="WenQuanYi Zen Hei"/>
        <family val="2"/>
      </rPr>
      <t xml:space="preserve">죽상경화성 심장병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관상동맥질환</t>
    </r>
    <r>
      <rPr>
        <sz val="10"/>
        <rFont val="Arial"/>
        <family val="0"/>
        <charset val="1"/>
      </rPr>
      <t xml:space="preserve">)</t>
    </r>
  </si>
  <si>
    <t xml:space="preserve">대동맥의 박리</t>
  </si>
  <si>
    <r>
      <rPr>
        <sz val="10"/>
        <rFont val="WenQuanYi Zen Hei"/>
        <family val="2"/>
      </rPr>
      <t xml:space="preserve">흉부대동맥류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파열 없음</t>
    </r>
  </si>
  <si>
    <t xml:space="preserve">만성 수축성 심장막염</t>
  </si>
  <si>
    <t xml:space="preserve">I31.1</t>
  </si>
  <si>
    <t xml:space="preserve">Chronic constrictive pericarditis</t>
  </si>
  <si>
    <r>
      <rPr>
        <sz val="10"/>
        <rFont val="WenQuanYi Zen Hei"/>
        <family val="2"/>
      </rPr>
      <t xml:space="preserve">심장막 삼출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비염증성</t>
    </r>
    <r>
      <rPr>
        <sz val="10"/>
        <rFont val="Arial"/>
        <family val="0"/>
        <charset val="1"/>
      </rPr>
      <t xml:space="preserve">)</t>
    </r>
  </si>
  <si>
    <t xml:space="preserve">I31.3</t>
  </si>
  <si>
    <t xml:space="preserve">Pericardial effusion (noninflammatory)</t>
  </si>
  <si>
    <t xml:space="preserve">만성 유착성 심장막염</t>
  </si>
  <si>
    <t xml:space="preserve">I31.0</t>
  </si>
  <si>
    <t xml:space="preserve">Chronic adhesive pericarditis</t>
  </si>
  <si>
    <r>
      <rPr>
        <sz val="10"/>
        <rFont val="WenQuanYi Zen Hei"/>
        <family val="2"/>
      </rPr>
      <t xml:space="preserve">승모판 협착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류마티스성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</si>
  <si>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심부전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울혈성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</si>
  <si>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완전 방실차단</t>
    </r>
    <r>
      <rPr>
        <sz val="10"/>
        <rFont val="Arial"/>
        <family val="0"/>
        <charset val="1"/>
      </rPr>
      <t xml:space="preserve">(3</t>
    </r>
    <r>
      <rPr>
        <sz val="10"/>
        <rFont val="WenQuanYi Zen Hei"/>
        <family val="2"/>
      </rPr>
      <t xml:space="preserve">도</t>
    </r>
    <r>
      <rPr>
        <sz val="10"/>
        <rFont val="Arial"/>
        <family val="0"/>
        <charset val="1"/>
      </rPr>
      <t xml:space="preserve">)</t>
    </r>
  </si>
  <si>
    <t xml:space="preserve">동기능부전 증후군</t>
  </si>
  <si>
    <t xml:space="preserve">서맥</t>
  </si>
  <si>
    <t xml:space="preserve">R00.1</t>
  </si>
  <si>
    <t xml:space="preserve">Bradycardia, unspecified</t>
  </si>
  <si>
    <r>
      <rPr>
        <sz val="10"/>
        <rFont val="WenQuanYi Zen Hei"/>
        <family val="2"/>
      </rPr>
      <t xml:space="preserve">비장의 손상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파열</t>
    </r>
    <r>
      <rPr>
        <sz val="10"/>
        <rFont val="Arial"/>
        <family val="0"/>
        <charset val="1"/>
      </rPr>
      <t xml:space="preserve">)</t>
    </r>
  </si>
  <si>
    <t xml:space="preserve">특발성 혈소판감소성 자색반병</t>
  </si>
  <si>
    <t xml:space="preserve">비장의 낭종</t>
  </si>
  <si>
    <t xml:space="preserve">D73.4</t>
  </si>
  <si>
    <t xml:space="preserve">Cyst of spleen</t>
  </si>
  <si>
    <r>
      <rPr>
        <sz val="10"/>
        <rFont val="WenQuanYi Zen Hei"/>
        <family val="2"/>
      </rPr>
      <t xml:space="preserve">이하선의 양성 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다형성 선종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</si>
  <si>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타액선의 만성 염증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타액선염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</si>
  <si>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기타 주요 침샘의 양성 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악하선 종양</t>
    </r>
    <r>
      <rPr>
        <sz val="10"/>
        <rFont val="Arial"/>
        <family val="0"/>
        <charset val="1"/>
      </rPr>
      <t xml:space="preserve">)</t>
    </r>
  </si>
  <si>
    <t xml:space="preserve">D11.7</t>
  </si>
  <si>
    <t xml:space="preserve">Benign neoplasm: Other major salivary glands</t>
  </si>
  <si>
    <t xml:space="preserve">악하선의 악성 신생물</t>
  </si>
  <si>
    <t xml:space="preserve">C08.0</t>
  </si>
  <si>
    <t xml:space="preserve">Malignant neoplasm: Submandibular gland</t>
  </si>
  <si>
    <r>
      <rPr>
        <sz val="10"/>
        <rFont val="WenQuanYi Zen Hei"/>
        <family val="2"/>
      </rPr>
      <t xml:space="preserve">타석증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침샘결석</t>
    </r>
    <r>
      <rPr>
        <sz val="10"/>
        <rFont val="Arial"/>
        <family val="0"/>
        <charset val="1"/>
      </rPr>
      <t xml:space="preserve">)</t>
    </r>
  </si>
  <si>
    <t xml:space="preserve">타석제거만이면 제외</t>
  </si>
  <si>
    <r>
      <rPr>
        <sz val="10"/>
        <rFont val="WenQuanYi Zen Hei"/>
        <family val="2"/>
      </rPr>
      <t xml:space="preserve">침샘의 점액류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하마종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</si>
  <si>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입의 기타 부위 양성 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소타액선 종양</t>
    </r>
    <r>
      <rPr>
        <sz val="10"/>
        <rFont val="Arial"/>
        <family val="0"/>
        <charset val="1"/>
      </rPr>
      <t xml:space="preserve">)</t>
    </r>
  </si>
  <si>
    <t xml:space="preserve">D10.3</t>
  </si>
  <si>
    <t xml:space="preserve">Benign neoplasm: Other and unspecified parts of mouth</t>
  </si>
  <si>
    <r>
      <rPr>
        <sz val="10"/>
        <rFont val="WenQuanYi Zen Hei"/>
        <family val="2"/>
      </rPr>
      <t xml:space="preserve">식도의 악성 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식도암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</si>
  <si>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식도 폐쇄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식도협착</t>
    </r>
    <r>
      <rPr>
        <sz val="10"/>
        <rFont val="Arial"/>
        <family val="0"/>
        <charset val="1"/>
      </rPr>
      <t xml:space="preserve">)</t>
    </r>
  </si>
  <si>
    <t xml:space="preserve">식도의 천공</t>
  </si>
  <si>
    <t xml:space="preserve">K22.3</t>
  </si>
  <si>
    <t xml:space="preserve">Perforation of oesophagus</t>
  </si>
  <si>
    <r>
      <rPr>
        <sz val="10"/>
        <rFont val="WenQuanYi Zen Hei"/>
        <family val="2"/>
      </rPr>
      <t xml:space="preserve">위의 악성 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위암</t>
    </r>
    <r>
      <rPr>
        <sz val="10"/>
        <rFont val="Arial"/>
        <family val="0"/>
        <charset val="1"/>
      </rPr>
      <t xml:space="preserve">)</t>
    </r>
  </si>
  <si>
    <t xml:space="preserve">출혈 또는 천공을 동반한 위궤양</t>
  </si>
  <si>
    <t xml:space="preserve">K25.2</t>
  </si>
  <si>
    <t xml:space="preserve">Gastric ulcer : acute with both haemorrhage and perforation</t>
  </si>
  <si>
    <r>
      <rPr>
        <sz val="10"/>
        <rFont val="WenQuanYi Zen Hei"/>
        <family val="2"/>
      </rPr>
      <t xml:space="preserve">위의 위장관 기질종양</t>
    </r>
    <r>
      <rPr>
        <sz val="10"/>
        <rFont val="Arial"/>
        <family val="0"/>
        <charset val="1"/>
      </rPr>
      <t xml:space="preserve">(GIST, </t>
    </r>
    <r>
      <rPr>
        <sz val="10"/>
        <rFont val="WenQuanYi Zen Hei"/>
        <family val="2"/>
      </rPr>
      <t xml:space="preserve">행동양식 불명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</si>
  <si>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식도이완불능증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아칼라지아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</si>
  <si>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식도열공탈장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횡격막탈장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</si>
  <si>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간세포암종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간암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</si>
  <si>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췌장의 악성 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췌장암</t>
    </r>
    <r>
      <rPr>
        <sz val="10"/>
        <rFont val="Arial"/>
        <family val="0"/>
        <charset val="1"/>
      </rPr>
      <t xml:space="preserve">)</t>
    </r>
  </si>
  <si>
    <t xml:space="preserve">C25.9</t>
  </si>
  <si>
    <t xml:space="preserve">Malignant neoplasm: Pancreas, unspecified</t>
  </si>
  <si>
    <t xml:space="preserve">췌장의 가성낭</t>
  </si>
  <si>
    <r>
      <rPr>
        <sz val="10"/>
        <rFont val="WenQuanYi Zen Hei"/>
        <family val="2"/>
      </rPr>
      <t xml:space="preserve">급성 담낭염을 동반한 담낭결석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담석증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</si>
  <si>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담낭결석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담낭염 없음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</si>
  <si>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담낭의 폴립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기타 담낭질환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</si>
  <si>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담낭의 악성 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담낭암</t>
    </r>
    <r>
      <rPr>
        <sz val="10"/>
        <rFont val="Arial"/>
        <family val="0"/>
        <charset val="1"/>
      </rPr>
      <t xml:space="preserve">)</t>
    </r>
  </si>
  <si>
    <t xml:space="preserve">간의 알코올성 경화증</t>
  </si>
  <si>
    <r>
      <rPr>
        <sz val="10"/>
        <rFont val="WenQuanYi Zen Hei"/>
        <family val="2"/>
      </rPr>
      <t xml:space="preserve">기타 및 상세불명의 간경화</t>
    </r>
    <r>
      <rPr>
        <sz val="10"/>
        <rFont val="Arial"/>
        <family val="0"/>
        <charset val="1"/>
      </rPr>
      <t xml:space="preserve">(B</t>
    </r>
    <r>
      <rPr>
        <sz val="10"/>
        <rFont val="WenQuanYi Zen Hei"/>
        <family val="2"/>
      </rPr>
      <t xml:space="preserve">형간염 간경변 등</t>
    </r>
    <r>
      <rPr>
        <sz val="10"/>
        <rFont val="Arial"/>
        <family val="0"/>
        <charset val="1"/>
      </rPr>
      <t xml:space="preserve">)</t>
    </r>
  </si>
  <si>
    <t xml:space="preserve">급성 간부전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</si>
  <si>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형 당뇨병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신장합병증 동반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</si>
  <si>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형 당뇨병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합병증 없음</t>
    </r>
    <r>
      <rPr>
        <sz val="10"/>
        <rFont val="Arial"/>
        <family val="0"/>
        <charset val="1"/>
      </rPr>
      <t xml:space="preserve">)</t>
    </r>
  </si>
  <si>
    <t xml:space="preserve">E10.9</t>
  </si>
  <si>
    <t xml:space="preserve">Type 1 diabetes mellitus without complications</t>
  </si>
  <si>
    <r>
      <rPr>
        <sz val="10"/>
        <rFont val="WenQuanYi Zen Hei"/>
        <family val="2"/>
      </rPr>
      <t xml:space="preserve">서혜부 탈장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폐색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괴저 없음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</si>
  <si>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반흔 탈장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복벽 탈장</t>
    </r>
    <r>
      <rPr>
        <sz val="10"/>
        <rFont val="Arial"/>
        <family val="0"/>
        <charset val="1"/>
      </rPr>
      <t xml:space="preserve">)</t>
    </r>
  </si>
  <si>
    <t xml:space="preserve">K43.9</t>
  </si>
  <si>
    <t xml:space="preserve">Other and unspecified ventral hernia without obstruction or gangrene</t>
  </si>
  <si>
    <r>
      <rPr>
        <sz val="10"/>
        <rFont val="WenQuanYi Zen Hei"/>
        <family val="2"/>
      </rPr>
      <t xml:space="preserve">급성 복막염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범발성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</si>
  <si>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천공을 동반한 급성 충수염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범발성 복막염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</si>
  <si>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급성 충수염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상세불명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</si>
  <si>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국한성 복막염을 동반한 급성 충수염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충수주위 농양</t>
    </r>
    <r>
      <rPr>
        <sz val="10"/>
        <rFont val="Arial"/>
        <family val="0"/>
        <charset val="1"/>
      </rPr>
      <t xml:space="preserve">)</t>
    </r>
  </si>
  <si>
    <t xml:space="preserve">직장탈출증</t>
  </si>
  <si>
    <t xml:space="preserve">항문탈출증</t>
  </si>
  <si>
    <t xml:space="preserve">K62.2</t>
  </si>
  <si>
    <t xml:space="preserve">Anal prolapse</t>
  </si>
  <si>
    <r>
      <rPr>
        <sz val="10"/>
        <rFont val="WenQuanYi Zen Hei"/>
        <family val="2"/>
      </rPr>
      <t xml:space="preserve">결장의 악성 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대장암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</si>
  <si>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장폐색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장유착증에 의한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</si>
  <si>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천공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농양을 동반한 대장 게실질환</t>
    </r>
  </si>
  <si>
    <r>
      <rPr>
        <sz val="10"/>
        <rFont val="WenQuanYi Zen Hei"/>
        <family val="2"/>
      </rPr>
      <t xml:space="preserve">내치핵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치질</t>
    </r>
    <r>
      <rPr>
        <sz val="10"/>
        <rFont val="Arial"/>
        <family val="0"/>
        <charset val="1"/>
      </rPr>
      <t xml:space="preserve">)</t>
    </r>
  </si>
  <si>
    <t xml:space="preserve">K64.9</t>
  </si>
  <si>
    <t xml:space="preserve">Haemorrhoids, unspecified</t>
  </si>
  <si>
    <t xml:space="preserve">만성 치열</t>
  </si>
  <si>
    <r>
      <rPr>
        <sz val="10"/>
        <rFont val="WenQuanYi Zen Hei"/>
        <family val="2"/>
      </rPr>
      <t xml:space="preserve">항문탈출증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탈항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</si>
  <si>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신장의 악성 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신장암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</si>
  <si>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신우요관이행부 폐쇄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수신증</t>
    </r>
    <r>
      <rPr>
        <sz val="10"/>
        <rFont val="Arial"/>
        <family val="0"/>
        <charset val="1"/>
      </rPr>
      <t xml:space="preserve">)</t>
    </r>
  </si>
  <si>
    <t xml:space="preserve">요관결석</t>
  </si>
  <si>
    <t xml:space="preserve">요도하열</t>
  </si>
  <si>
    <t xml:space="preserve">요도게실</t>
  </si>
  <si>
    <r>
      <rPr>
        <sz val="10"/>
        <rFont val="WenQuanYi Zen Hei"/>
        <family val="2"/>
      </rPr>
      <t xml:space="preserve">방광류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여성 생식기 탈출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</si>
  <si>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말기 신장질환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만성 신장병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기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</si>
  <si>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당뇨병성 신장병증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신장합병증 동반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형 당뇨병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</si>
  <si>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고혈압성 신장병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신부전 동반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</si>
  <si>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음경의 악성 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음경암</t>
    </r>
    <r>
      <rPr>
        <sz val="10"/>
        <rFont val="Arial"/>
        <family val="0"/>
        <charset val="1"/>
      </rPr>
      <t xml:space="preserve">)</t>
    </r>
  </si>
  <si>
    <t xml:space="preserve">음경 귀두의 악성 신생물</t>
  </si>
  <si>
    <t xml:space="preserve">C60.1</t>
  </si>
  <si>
    <t xml:space="preserve">Malignant neoplasm: Glans penis</t>
  </si>
  <si>
    <r>
      <rPr>
        <sz val="10"/>
        <rFont val="WenQuanYi Zen Hei"/>
        <family val="2"/>
      </rPr>
      <t xml:space="preserve">전립선증식증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전립선비대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</si>
  <si>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경요도적 수술이면 </t>
    </r>
    <r>
      <rPr>
        <sz val="10"/>
        <rFont val="Arial"/>
        <family val="0"/>
        <charset val="1"/>
      </rPr>
      <t xml:space="preserve">88</t>
    </r>
    <r>
      <rPr>
        <sz val="10"/>
        <rFont val="WenQuanYi Zen Hei"/>
        <family val="2"/>
      </rPr>
      <t xml:space="preserve">항</t>
    </r>
  </si>
  <si>
    <r>
      <rPr>
        <sz val="10"/>
        <rFont val="WenQuanYi Zen Hei"/>
        <family val="2"/>
      </rPr>
      <t xml:space="preserve">고환의 비틀림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정삭염전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</si>
  <si>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정류고환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잠복고환</t>
    </r>
    <r>
      <rPr>
        <sz val="10"/>
        <rFont val="Arial"/>
        <family val="0"/>
        <charset val="1"/>
      </rPr>
      <t xml:space="preserve">)</t>
    </r>
  </si>
  <si>
    <t xml:space="preserve">Q53.9</t>
  </si>
  <si>
    <t xml:space="preserve">Undescended testicle, unspecified</t>
  </si>
  <si>
    <t xml:space="preserve">정계정맥류</t>
  </si>
  <si>
    <t xml:space="preserve">음낭수종</t>
  </si>
  <si>
    <r>
      <rPr>
        <sz val="10"/>
        <rFont val="WenQuanYi Zen Hei"/>
        <family val="2"/>
      </rPr>
      <t xml:space="preserve">음낭의 농양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고환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부고환염</t>
    </r>
    <r>
      <rPr>
        <sz val="10"/>
        <rFont val="Arial"/>
        <family val="0"/>
        <charset val="1"/>
      </rPr>
      <t xml:space="preserve">)</t>
    </r>
  </si>
  <si>
    <t xml:space="preserve">N45.0</t>
  </si>
  <si>
    <t xml:space="preserve">Orchitis, epididymitis and epididymo-orchitis with abscess</t>
  </si>
  <si>
    <r>
      <rPr>
        <sz val="10"/>
        <rFont val="WenQuanYi Zen Hei"/>
        <family val="2"/>
      </rPr>
      <t xml:space="preserve">표피낭종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음낭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</si>
  <si>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자궁의 평활근종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자궁근종</t>
    </r>
    <r>
      <rPr>
        <sz val="10"/>
        <rFont val="Arial"/>
        <family val="0"/>
        <charset val="1"/>
      </rPr>
      <t xml:space="preserve">)</t>
    </r>
  </si>
  <si>
    <t xml:space="preserve">난소의 자궁내막증</t>
  </si>
  <si>
    <t xml:space="preserve">기타 및 상세불명의 난소낭종</t>
  </si>
  <si>
    <r>
      <rPr>
        <sz val="10"/>
        <rFont val="WenQuanYi Zen Hei"/>
        <family val="2"/>
      </rPr>
      <t xml:space="preserve">자궁외임신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난관임신</t>
    </r>
    <r>
      <rPr>
        <sz val="10"/>
        <rFont val="Arial"/>
        <family val="0"/>
        <charset val="1"/>
      </rPr>
      <t xml:space="preserve">)</t>
    </r>
  </si>
  <si>
    <t xml:space="preserve">자궁경부의 고도 이형성증</t>
  </si>
  <si>
    <t xml:space="preserve">N87.2</t>
  </si>
  <si>
    <t xml:space="preserve">Severe cervical dysplasia, not elsewhere classified</t>
  </si>
  <si>
    <t xml:space="preserve">점막하 자궁근종</t>
  </si>
  <si>
    <t xml:space="preserve">이전 제왕절개로 인한 자궁흉터 산모관리</t>
  </si>
  <si>
    <r>
      <rPr>
        <sz val="10"/>
        <rFont val="WenQuanYi Zen Hei"/>
        <family val="2"/>
      </rPr>
      <t xml:space="preserve">둔위 태아 산모관리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역아</t>
    </r>
    <r>
      <rPr>
        <sz val="10"/>
        <rFont val="Arial"/>
        <family val="0"/>
        <charset val="1"/>
      </rPr>
      <t xml:space="preserve">)</t>
    </r>
  </si>
  <si>
    <t xml:space="preserve">분만진통 중 태아곤란증</t>
  </si>
  <si>
    <t xml:space="preserve">O68.9</t>
  </si>
  <si>
    <t xml:space="preserve">Labour and delivery complicated by fetal stress, unspecified</t>
  </si>
  <si>
    <t xml:space="preserve">유도분만 실패</t>
  </si>
  <si>
    <t xml:space="preserve">O61.9</t>
  </si>
  <si>
    <t xml:space="preserve">Failed induction of labour, unspecified</t>
  </si>
  <si>
    <r>
      <rPr>
        <sz val="10"/>
        <rFont val="WenQuanYi Zen Hei"/>
        <family val="2"/>
      </rPr>
      <t xml:space="preserve">직장류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질후벽탈출</t>
    </r>
    <r>
      <rPr>
        <sz val="10"/>
        <rFont val="Arial"/>
        <family val="0"/>
        <charset val="1"/>
      </rPr>
      <t xml:space="preserve">)</t>
    </r>
  </si>
  <si>
    <t xml:space="preserve">고프로락틴혈증</t>
  </si>
  <si>
    <t xml:space="preserve">E22.1</t>
  </si>
  <si>
    <t xml:space="preserve">Hyperprolactinaemia</t>
  </si>
  <si>
    <r>
      <rPr>
        <sz val="10"/>
        <rFont val="WenQuanYi Zen Hei"/>
        <family val="2"/>
      </rPr>
      <t xml:space="preserve">두개인두종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행동양식 불명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</si>
  <si>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부갑상선기능항진증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원발성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</si>
  <si>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독성 미만성 갑상선종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그레이브스병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</si>
  <si>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부신의 양성 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부신선종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</si>
  <si>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부신수질기능항진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갈색세포종</t>
    </r>
    <r>
      <rPr>
        <sz val="10"/>
        <rFont val="Arial"/>
        <family val="0"/>
        <charset val="1"/>
      </rPr>
      <t xml:space="preserve">)</t>
    </r>
  </si>
  <si>
    <t xml:space="preserve">E24.9</t>
  </si>
  <si>
    <t xml:space="preserve">Cushing syndrome, unspecified</t>
  </si>
  <si>
    <r>
      <rPr>
        <sz val="10"/>
        <rFont val="WenQuanYi Zen Hei"/>
        <family val="2"/>
      </rPr>
      <t xml:space="preserve">뇌의 악성 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교모세포종 등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</si>
  <si>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뇌내출혈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대뇌반구</t>
    </r>
    <r>
      <rPr>
        <sz val="10"/>
        <rFont val="Arial"/>
        <family val="0"/>
        <charset val="1"/>
      </rPr>
      <t xml:space="preserve">)</t>
    </r>
  </si>
  <si>
    <t xml:space="preserve">파열되지 않은 뇌동맥류</t>
  </si>
  <si>
    <t xml:space="preserve">손목터널증후군</t>
  </si>
  <si>
    <r>
      <rPr>
        <sz val="10"/>
        <rFont val="WenQuanYi Zen Hei"/>
        <family val="2"/>
      </rPr>
      <t xml:space="preserve">팔꿈치터널증후군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척골신경 병변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</si>
  <si>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말초신경의 양성 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신경초종</t>
    </r>
    <r>
      <rPr>
        <sz val="10"/>
        <rFont val="Arial"/>
        <family val="0"/>
        <charset val="1"/>
      </rPr>
      <t xml:space="preserve">)</t>
    </r>
  </si>
  <si>
    <t xml:space="preserve">D36.1</t>
  </si>
  <si>
    <t xml:space="preserve">Benign neoplasm: Peripheral nerves and autonomic nervous system</t>
  </si>
  <si>
    <t xml:space="preserve">손목 및 손 수준의 정중신경 손상</t>
  </si>
  <si>
    <t xml:space="preserve">S64.1</t>
  </si>
  <si>
    <t xml:space="preserve">Injury of median nerve at wrist and hand level</t>
  </si>
  <si>
    <t xml:space="preserve">척수의 양성 신생물</t>
  </si>
  <si>
    <r>
      <rPr>
        <sz val="10"/>
        <rFont val="WenQuanYi Zen Hei"/>
        <family val="2"/>
      </rPr>
      <t xml:space="preserve">척수 신경초종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말초신경 양성 신생물</t>
    </r>
    <r>
      <rPr>
        <sz val="10"/>
        <rFont val="Arial"/>
        <family val="0"/>
        <charset val="1"/>
      </rPr>
      <t xml:space="preserve">)</t>
    </r>
  </si>
  <si>
    <t xml:space="preserve">척수의 경막외 농양</t>
  </si>
  <si>
    <r>
      <rPr>
        <sz val="10"/>
        <rFont val="WenQuanYi Zen Hei"/>
        <family val="2"/>
      </rPr>
      <t xml:space="preserve">혈관성 척수병증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비외상성 척수강내 출혈</t>
    </r>
    <r>
      <rPr>
        <sz val="10"/>
        <rFont val="Arial"/>
        <family val="0"/>
        <charset val="1"/>
      </rPr>
      <t xml:space="preserve">)</t>
    </r>
  </si>
  <si>
    <t xml:space="preserve">G95.1</t>
  </si>
  <si>
    <t xml:space="preserve">Vascular myelopathies</t>
  </si>
  <si>
    <t xml:space="preserve">척수 공동증</t>
  </si>
  <si>
    <t xml:space="preserve">G95.0</t>
  </si>
  <si>
    <t xml:space="preserve">Syringomyelia and syringobulbia</t>
  </si>
  <si>
    <t xml:space="preserve">척수신경뿌리 신경초종</t>
  </si>
  <si>
    <r>
      <rPr>
        <sz val="10"/>
        <rFont val="WenQuanYi Zen Hei"/>
        <family val="2"/>
      </rPr>
      <t xml:space="preserve">후천성 눈꺼풀처짐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안검하수</t>
    </r>
    <r>
      <rPr>
        <sz val="10"/>
        <rFont val="Arial"/>
        <family val="0"/>
        <charset val="1"/>
      </rPr>
      <t xml:space="preserve">)</t>
    </r>
  </si>
  <si>
    <t xml:space="preserve">선천성 안검하수</t>
  </si>
  <si>
    <t xml:space="preserve">Q10.0</t>
  </si>
  <si>
    <t xml:space="preserve">Congenital ptosis</t>
  </si>
  <si>
    <t xml:space="preserve">눈물소관의 협착</t>
  </si>
  <si>
    <t xml:space="preserve">선천성 비루관폐쇄</t>
  </si>
  <si>
    <r>
      <rPr>
        <sz val="10"/>
        <rFont val="WenQuanYi Zen Hei"/>
        <family val="2"/>
      </rPr>
      <t xml:space="preserve">코눈물관의 협착 및 기능부전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비루관폐쇄</t>
    </r>
    <r>
      <rPr>
        <sz val="10"/>
        <rFont val="Arial"/>
        <family val="0"/>
        <charset val="1"/>
      </rPr>
      <t xml:space="preserve">)</t>
    </r>
  </si>
  <si>
    <t xml:space="preserve">결막의 유착 및 반흔</t>
  </si>
  <si>
    <t xml:space="preserve">H11.2</t>
  </si>
  <si>
    <t xml:space="preserve">Conjunctival scars</t>
  </si>
  <si>
    <r>
      <rPr>
        <sz val="10"/>
        <rFont val="WenQuanYi Zen Hei"/>
        <family val="2"/>
      </rPr>
      <t xml:space="preserve">안구의 후천성 결손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의안 소켓</t>
    </r>
    <r>
      <rPr>
        <sz val="10"/>
        <rFont val="Arial"/>
        <family val="0"/>
        <charset val="1"/>
      </rPr>
      <t xml:space="preserve">)</t>
    </r>
  </si>
  <si>
    <t xml:space="preserve">Z90.0</t>
  </si>
  <si>
    <t xml:space="preserve">Acquired absence of part of head and neck</t>
  </si>
  <si>
    <t xml:space="preserve">안구 및 안와의 화학 화상</t>
  </si>
  <si>
    <t xml:space="preserve">T26.6</t>
  </si>
  <si>
    <t xml:space="preserve">Corrosion of cornea and conjunctival sac</t>
  </si>
  <si>
    <r>
      <rPr>
        <sz val="10"/>
        <rFont val="WenQuanYi Zen Hei"/>
        <family val="2"/>
      </rPr>
      <t xml:space="preserve">각막 열상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안구 조직 탈출 없음</t>
    </r>
    <r>
      <rPr>
        <sz val="10"/>
        <rFont val="Arial"/>
        <family val="0"/>
        <charset val="1"/>
      </rPr>
      <t xml:space="preserve">)</t>
    </r>
  </si>
  <si>
    <t xml:space="preserve">S05.3</t>
  </si>
  <si>
    <t xml:space="preserve">Ocular laceration without prolapse or loss of intraocular tissue</t>
  </si>
  <si>
    <t xml:space="preserve">이물 없는 안구 관통상</t>
  </si>
  <si>
    <t xml:space="preserve">안구 조직의 탈출을 동반한 열상</t>
  </si>
  <si>
    <t xml:space="preserve">각막의 반흔 및 혼탁</t>
  </si>
  <si>
    <t xml:space="preserve">황반원공</t>
  </si>
  <si>
    <t xml:space="preserve">유리체 출혈</t>
  </si>
  <si>
    <r>
      <rPr>
        <sz val="10"/>
        <rFont val="WenQuanYi Zen Hei"/>
        <family val="2"/>
      </rPr>
      <t xml:space="preserve">증식성 당뇨병성 망막병증</t>
    </r>
    <r>
      <rPr>
        <sz val="10"/>
        <rFont val="Arial"/>
        <family val="0"/>
        <charset val="1"/>
      </rPr>
      <t xml:space="preserve">(2</t>
    </r>
    <r>
      <rPr>
        <sz val="10"/>
        <rFont val="WenQuanYi Zen Hei"/>
        <family val="2"/>
      </rPr>
      <t xml:space="preserve">형 당뇨병</t>
    </r>
    <r>
      <rPr>
        <sz val="10"/>
        <rFont val="Arial"/>
        <family val="0"/>
        <charset val="1"/>
      </rPr>
      <t xml:space="preserve">)</t>
    </r>
  </si>
  <si>
    <t xml:space="preserve">화농성 안내염</t>
  </si>
  <si>
    <t xml:space="preserve">H44.0</t>
  </si>
  <si>
    <t xml:space="preserve">Purulent endophthalmitis</t>
  </si>
  <si>
    <t xml:space="preserve">원발성 개방각녹내장</t>
  </si>
  <si>
    <t xml:space="preserve">원발성 폐쇄각녹내장</t>
  </si>
  <si>
    <t xml:space="preserve">이차성 녹내장</t>
  </si>
  <si>
    <t xml:space="preserve">H40.5</t>
  </si>
  <si>
    <t xml:space="preserve">Glaucoma secondary to other eye disorders</t>
  </si>
  <si>
    <t xml:space="preserve">노년성 핵백내장</t>
  </si>
  <si>
    <t xml:space="preserve">수정체의 탈구</t>
  </si>
  <si>
    <r>
      <rPr>
        <sz val="10"/>
        <rFont val="WenQuanYi Zen Hei"/>
        <family val="2"/>
      </rPr>
      <t xml:space="preserve">망막열공을 동반한 망막박리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열공성 망막박리</t>
    </r>
    <r>
      <rPr>
        <sz val="10"/>
        <rFont val="Arial"/>
        <family val="0"/>
        <charset val="1"/>
      </rPr>
      <t xml:space="preserve">)</t>
    </r>
  </si>
  <si>
    <t xml:space="preserve">견인망막박리</t>
  </si>
  <si>
    <t xml:space="preserve">H33.4</t>
  </si>
  <si>
    <t xml:space="preserve">Traction detachment of retina</t>
  </si>
  <si>
    <t xml:space="preserve">망막열공</t>
  </si>
  <si>
    <t xml:space="preserve">H33.3</t>
  </si>
  <si>
    <t xml:space="preserve">Retinal breaks without detachment</t>
  </si>
  <si>
    <r>
      <rPr>
        <sz val="10"/>
        <rFont val="WenQuanYi Zen Hei"/>
        <family val="2"/>
      </rPr>
      <t xml:space="preserve">당뇨병성 망막병증</t>
    </r>
    <r>
      <rPr>
        <sz val="10"/>
        <rFont val="Arial"/>
        <family val="0"/>
        <charset val="1"/>
      </rPr>
      <t xml:space="preserve">(2</t>
    </r>
    <r>
      <rPr>
        <sz val="10"/>
        <rFont val="WenQuanYi Zen Hei"/>
        <family val="2"/>
      </rPr>
      <t xml:space="preserve">형 당뇨병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안과합병증</t>
    </r>
    <r>
      <rPr>
        <sz val="10"/>
        <rFont val="Arial"/>
        <family val="0"/>
        <charset val="1"/>
      </rPr>
      <t xml:space="preserve">)</t>
    </r>
  </si>
  <si>
    <t xml:space="preserve">망막정맥폐쇄</t>
  </si>
  <si>
    <t xml:space="preserve">H34.8</t>
  </si>
  <si>
    <t xml:space="preserve">Other retinal vascular occlusions</t>
  </si>
  <si>
    <r>
      <rPr>
        <sz val="10"/>
        <rFont val="WenQuanYi Zen Hei"/>
        <family val="2"/>
      </rPr>
      <t xml:space="preserve">원발성 폐쇄각녹내장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레이저 홍채절개</t>
    </r>
    <r>
      <rPr>
        <sz val="10"/>
        <rFont val="Arial"/>
        <family val="0"/>
        <charset val="1"/>
      </rPr>
      <t xml:space="preserve">)</t>
    </r>
  </si>
  <si>
    <t xml:space="preserve">미숙아망막병증</t>
  </si>
  <si>
    <t xml:space="preserve">H35.1</t>
  </si>
  <si>
    <t xml:space="preserve">Retinopathy of prematurity</t>
  </si>
  <si>
    <t xml:space="preserve">망막모세포종</t>
  </si>
  <si>
    <r>
      <rPr>
        <sz val="10"/>
        <rFont val="WenQuanYi Zen Hei"/>
        <family val="2"/>
      </rPr>
      <t xml:space="preserve">안구의 악성 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맥락막흑색종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</si>
  <si>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안구 파열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안구 내용 손실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</si>
  <si>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절대녹내장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기타 녹내장</t>
    </r>
    <r>
      <rPr>
        <sz val="10"/>
        <rFont val="Arial"/>
        <family val="0"/>
        <charset val="1"/>
      </rPr>
      <t xml:space="preserve">)</t>
    </r>
  </si>
  <si>
    <t xml:space="preserve">H40.8</t>
  </si>
  <si>
    <t xml:space="preserve">Other glaucoma</t>
  </si>
  <si>
    <r>
      <rPr>
        <sz val="10"/>
        <rFont val="WenQuanYi Zen Hei"/>
        <family val="2"/>
      </rPr>
      <t xml:space="preserve">안구위축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안구로</t>
    </r>
    <r>
      <rPr>
        <sz val="10"/>
        <rFont val="Arial"/>
        <family val="0"/>
        <charset val="1"/>
      </rPr>
      <t xml:space="preserve">)</t>
    </r>
  </si>
  <si>
    <t xml:space="preserve">안와의 악성 신생물</t>
  </si>
  <si>
    <t xml:space="preserve">C69.6</t>
  </si>
  <si>
    <t xml:space="preserve">Malignant neoplasm: Orbit</t>
  </si>
  <si>
    <r>
      <rPr>
        <sz val="10"/>
        <rFont val="WenQuanYi Zen Hei"/>
        <family val="2"/>
      </rPr>
      <t xml:space="preserve">갑상선눈병증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갑상선기능이상 안구돌출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</si>
  <si>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안와 내 이물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관통성 상처에 의한 잔류 이물</t>
    </r>
    <r>
      <rPr>
        <sz val="10"/>
        <rFont val="Arial"/>
        <family val="0"/>
        <charset val="1"/>
      </rPr>
      <t xml:space="preserve">)</t>
    </r>
  </si>
  <si>
    <t xml:space="preserve">H05.5</t>
  </si>
  <si>
    <t xml:space="preserve">Retained (old) foreign body following penetrating wound of orbit</t>
  </si>
  <si>
    <t xml:space="preserve">이물을 동반한 안와의 관통성 상처</t>
  </si>
  <si>
    <t xml:space="preserve">S05.4</t>
  </si>
  <si>
    <t xml:space="preserve">Penetrating wound of orbit with or without foreign body</t>
  </si>
  <si>
    <t xml:space="preserve">간헐외사시</t>
  </si>
  <si>
    <r>
      <rPr>
        <sz val="10"/>
        <rFont val="WenQuanYi Zen Hei"/>
        <family val="2"/>
      </rPr>
      <t xml:space="preserve">내사시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공동성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</si>
  <si>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외사시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공동성</t>
    </r>
    <r>
      <rPr>
        <sz val="10"/>
        <rFont val="Arial"/>
        <family val="0"/>
        <charset val="1"/>
      </rPr>
      <t xml:space="preserve">)</t>
    </r>
  </si>
  <si>
    <t xml:space="preserve">H50.1</t>
  </si>
  <si>
    <t xml:space="preserve">Divergent concomitant strabismus</t>
  </si>
  <si>
    <r>
      <rPr>
        <sz val="10"/>
        <rFont val="WenQuanYi Zen Hei"/>
        <family val="2"/>
      </rPr>
      <t xml:space="preserve">마비성 사시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외전신경 마비</t>
    </r>
    <r>
      <rPr>
        <sz val="10"/>
        <rFont val="Arial"/>
        <family val="0"/>
        <charset val="1"/>
      </rPr>
      <t xml:space="preserve">)</t>
    </r>
  </si>
  <si>
    <t xml:space="preserve">H49.2</t>
  </si>
  <si>
    <t xml:space="preserve">Sixth [abducent] nerve palsy</t>
  </si>
  <si>
    <t xml:space="preserve">고막의 중심천공</t>
  </si>
  <si>
    <t xml:space="preserve">H72.0</t>
  </si>
  <si>
    <t xml:space="preserve">Central perforation of tympanic membrane</t>
  </si>
  <si>
    <r>
      <rPr>
        <sz val="10"/>
        <rFont val="WenQuanYi Zen Hei"/>
        <family val="2"/>
      </rPr>
      <t xml:space="preserve">만성 화농성 중이염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중이강 점막성</t>
    </r>
    <r>
      <rPr>
        <sz val="10"/>
        <rFont val="Arial"/>
        <family val="0"/>
        <charset val="1"/>
      </rPr>
      <t xml:space="preserve">)</t>
    </r>
  </si>
  <si>
    <t xml:space="preserve">H66.1</t>
  </si>
  <si>
    <t xml:space="preserve">Chronic tubotympanic suppurative otitis media</t>
  </si>
  <si>
    <r>
      <rPr>
        <sz val="10"/>
        <rFont val="WenQuanYi Zen Hei"/>
        <family val="2"/>
      </rPr>
      <t xml:space="preserve">만성 진주종성 중이염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상고실유양돌기</t>
    </r>
    <r>
      <rPr>
        <sz val="10"/>
        <rFont val="Arial"/>
        <family val="0"/>
        <charset val="1"/>
      </rPr>
      <t xml:space="preserve">)</t>
    </r>
  </si>
  <si>
    <t xml:space="preserve">만성 유양돌기염</t>
  </si>
  <si>
    <t xml:space="preserve">H70.1</t>
  </si>
  <si>
    <t xml:space="preserve">Chronic mastoiditis</t>
  </si>
  <si>
    <t xml:space="preserve">중이의 진주종</t>
  </si>
  <si>
    <t xml:space="preserve">만성 화농성 중이염</t>
  </si>
  <si>
    <t xml:space="preserve">H66.3</t>
  </si>
  <si>
    <t xml:space="preserve">Other chronic suppurative otitis media</t>
  </si>
  <si>
    <r>
      <rPr>
        <sz val="10"/>
        <rFont val="WenQuanYi Zen Hei"/>
        <family val="2"/>
      </rPr>
      <t xml:space="preserve">만성 장액성 중이염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삼출성 중이염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</si>
  <si>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기타 만성 비화농성 중이염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아교귀</t>
    </r>
    <r>
      <rPr>
        <sz val="10"/>
        <rFont val="Arial"/>
        <family val="0"/>
        <charset val="1"/>
      </rPr>
      <t xml:space="preserve">)</t>
    </r>
  </si>
  <si>
    <t xml:space="preserve">H65.3</t>
  </si>
  <si>
    <t xml:space="preserve">Chronic mucoid otitis media</t>
  </si>
  <si>
    <t xml:space="preserve">유스타키오관의 폐쇄</t>
  </si>
  <si>
    <t xml:space="preserve">H68.1</t>
  </si>
  <si>
    <t xml:space="preserve">Obstruction of Eustachian tube</t>
  </si>
  <si>
    <r>
      <rPr>
        <sz val="10"/>
        <rFont val="WenQuanYi Zen Hei"/>
        <family val="2"/>
      </rPr>
      <t xml:space="preserve">청신경의 양성 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청신경초종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</si>
  <si>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수두증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교통성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</si>
  <si>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흉부의 손상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외상성 혈흉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</si>
  <si>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흉부의 개방성 상처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관통상</t>
    </r>
    <r>
      <rPr>
        <sz val="10"/>
        <rFont val="Arial"/>
        <family val="0"/>
        <charset val="1"/>
      </rPr>
      <t xml:space="preserve">)</t>
    </r>
  </si>
  <si>
    <t xml:space="preserve">S21.9</t>
  </si>
  <si>
    <t xml:space="preserve">Open wound of thorax, part unspecified</t>
  </si>
  <si>
    <t xml:space="preserve">횡격막의 손상</t>
  </si>
  <si>
    <t xml:space="preserve">S27.8</t>
  </si>
  <si>
    <t xml:space="preserve">Injury of other specified intrathoracic organs</t>
  </si>
  <si>
    <r>
      <rPr>
        <sz val="10"/>
        <rFont val="WenQuanYi Zen Hei"/>
        <family val="2"/>
      </rPr>
      <t xml:space="preserve">복강내 유착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복막 유착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</si>
  <si>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장폐색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기타 장폐색</t>
    </r>
    <r>
      <rPr>
        <sz val="10"/>
        <rFont val="Arial"/>
        <family val="0"/>
        <charset val="1"/>
      </rPr>
      <t xml:space="preserve">)</t>
    </r>
  </si>
  <si>
    <t xml:space="preserve">K56.6</t>
  </si>
  <si>
    <t xml:space="preserve">Other and unspecified intestinal obstruction</t>
  </si>
  <si>
    <r>
      <rPr>
        <sz val="10"/>
        <rFont val="WenQuanYi Zen Hei"/>
        <family val="2"/>
      </rPr>
      <t xml:space="preserve">간의 손상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외상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</si>
  <si>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급성 복막염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복강내 농양</t>
    </r>
    <r>
      <rPr>
        <sz val="10"/>
        <rFont val="Arial"/>
        <family val="0"/>
        <charset val="1"/>
      </rPr>
      <t xml:space="preserve">)</t>
    </r>
  </si>
  <si>
    <t xml:space="preserve">신장결석</t>
  </si>
  <si>
    <r>
      <rPr>
        <sz val="10"/>
        <rFont val="WenQuanYi Zen Hei"/>
        <family val="2"/>
      </rPr>
      <t xml:space="preserve">담관결석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담관염 없음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</si>
  <si>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급성 심근경색증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전벽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</si>
  <si>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관상동맥 스텐트</t>
    </r>
    <r>
      <rPr>
        <sz val="10"/>
        <rFont val="Arial"/>
        <family val="0"/>
        <charset val="1"/>
      </rPr>
      <t xml:space="preserve">(PCI)</t>
    </r>
  </si>
  <si>
    <r>
      <rPr>
        <sz val="10"/>
        <rFont val="WenQuanYi Zen Hei"/>
        <family val="2"/>
      </rPr>
      <t xml:space="preserve">협심증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안정형</t>
    </r>
    <r>
      <rPr>
        <sz val="10"/>
        <rFont val="Arial"/>
        <family val="0"/>
        <charset val="1"/>
      </rPr>
      <t xml:space="preserve">)</t>
    </r>
  </si>
  <si>
    <t xml:space="preserve">발작성 심방세동</t>
  </si>
  <si>
    <t xml:space="preserve">I48.0</t>
  </si>
  <si>
    <t xml:space="preserve">Paroxysmal atrial fibrillation</t>
  </si>
  <si>
    <t xml:space="preserve">카테터 절제술</t>
  </si>
  <si>
    <t xml:space="preserve">코일색전술</t>
  </si>
  <si>
    <r>
      <rPr>
        <sz val="10"/>
        <rFont val="WenQuanYi Zen Hei"/>
        <family val="2"/>
      </rPr>
      <t xml:space="preserve">담관결석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내시경 역행 담췌관 조영술로 결석 제거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</si>
  <si>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복강경 담낭절제는 </t>
    </r>
    <r>
      <rPr>
        <sz val="10"/>
        <rFont val="Arial"/>
        <family val="0"/>
        <charset val="1"/>
      </rPr>
      <t xml:space="preserve">88</t>
    </r>
    <r>
      <rPr>
        <sz val="10"/>
        <rFont val="WenQuanYi Zen Hei"/>
        <family val="2"/>
      </rPr>
      <t xml:space="preserve">항이 아니라 </t>
    </r>
    <r>
      <rPr>
        <sz val="10"/>
        <rFont val="Arial"/>
        <family val="0"/>
        <charset val="1"/>
      </rPr>
      <t xml:space="preserve">36</t>
    </r>
    <r>
      <rPr>
        <sz val="10"/>
        <rFont val="WenQuanYi Zen Hei"/>
        <family val="2"/>
      </rPr>
      <t xml:space="preserve">항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Arial"/>
        <family val="0"/>
        <charset val="1"/>
      </rPr>
      <t xml:space="preserve">2)</t>
    </r>
  </si>
  <si>
    <r>
      <rPr>
        <sz val="10"/>
        <rFont val="WenQuanYi Zen Hei"/>
        <family val="2"/>
      </rPr>
      <t xml:space="preserve">요추 추간판 장애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경피적 내시경 디스크 제거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</si>
  <si>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무릎 반월상연골의 파열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관절경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</si>
  <si>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결장의 양성 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대장 용종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</si>
  <si>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요관결석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요관경 쇄석술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</si>
  <si>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전립선증식증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경요도 전립선절제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</si>
  <si>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방광의 결석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방광경 쇄석술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</si>
  <si>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방아쇠손가락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경피적 유리술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</si>
  <si>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얼굴 피부의 악성 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기저세포암 등</t>
    </r>
    <r>
      <rPr>
        <sz val="10"/>
        <rFont val="Arial"/>
        <family val="0"/>
        <charset val="1"/>
      </rPr>
      <t xml:space="preserve">)</t>
    </r>
  </si>
  <si>
    <t xml:space="preserve">두피 및 목 피부의 악성 신생물</t>
  </si>
  <si>
    <t xml:space="preserve">C44.4</t>
  </si>
  <si>
    <t xml:space="preserve">Malignant neoplasm: Skin of scalp and neck</t>
  </si>
  <si>
    <r>
      <rPr>
        <sz val="10"/>
        <rFont val="WenQuanYi Zen Hei"/>
        <family val="2"/>
      </rPr>
      <t xml:space="preserve">몸통 피부의 악성 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편평세포암 등</t>
    </r>
    <r>
      <rPr>
        <sz val="10"/>
        <rFont val="Arial"/>
        <family val="0"/>
        <charset val="1"/>
      </rPr>
      <t xml:space="preserve">)</t>
    </r>
  </si>
  <si>
    <t xml:space="preserve">C44.5</t>
  </si>
  <si>
    <t xml:space="preserve">Malignant neoplasm: Skin of trunk</t>
  </si>
  <si>
    <r>
      <rPr>
        <sz val="10"/>
        <rFont val="WenQuanYi Zen Hei"/>
        <family val="2"/>
      </rPr>
      <t xml:space="preserve">위의 악성 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조기위암 내시경점막하박리술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</si>
  <si>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간세포암종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고주파 열치료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색전술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</si>
  <si>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결장의 악성 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조기대장암 내시경절제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</si>
  <si>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방광의 악성 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경요도 방광종양절제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</si>
  <si>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자궁경부의 악성 신생물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원추절제 등</t>
    </r>
    <r>
      <rPr>
        <sz val="10"/>
        <rFont val="Arial"/>
        <family val="0"/>
        <charset val="1"/>
      </rPr>
      <t xml:space="preserve">)</t>
    </r>
  </si>
  <si>
    <t xml:space="preserve">방광의 악성 신생물</t>
  </si>
  <si>
    <t xml:space="preserve">전립선의 악성 신생물</t>
  </si>
</sst>
</file>

<file path=xl/styles.xml><?xml version="1.0" encoding="utf-8"?>
<styleSheet xmlns="http://schemas.openxmlformats.org/spreadsheetml/2006/main">
  <numFmts count="1">
    <numFmt numFmtId="164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0B7C6F"/>
      <name val="WenQuanYi Zen Hei"/>
      <family val="2"/>
    </font>
    <font>
      <b val="true"/>
      <sz val="13"/>
      <color rgb="FF0B7C6F"/>
      <name val="Arial"/>
      <family val="0"/>
      <charset val="1"/>
    </font>
    <font>
      <sz val="10"/>
      <name val="WenQuanYi Zen Hei"/>
      <family val="2"/>
    </font>
    <font>
      <sz val="10"/>
      <name val="Arial"/>
      <family val="0"/>
      <charset val="1"/>
    </font>
    <font>
      <b val="true"/>
      <sz val="11"/>
      <color rgb="FFFFFFFF"/>
      <name val="WenQuanYi Zen Hei"/>
      <family val="2"/>
    </font>
    <font>
      <b val="true"/>
      <sz val="11"/>
      <color rgb="FF0B7C6F"/>
      <name val="Arial"/>
      <family val="0"/>
      <charset val="1"/>
    </font>
    <font>
      <b val="true"/>
      <sz val="11"/>
      <color rgb="FF0B7C6F"/>
      <name val="WenQuanYi Zen Hei"/>
      <family val="2"/>
    </font>
    <font>
      <i val="true"/>
      <sz val="10"/>
      <color rgb="FF46536B"/>
      <name val="Arial"/>
      <family val="0"/>
      <charset val="1"/>
    </font>
    <font>
      <i val="true"/>
      <sz val="10"/>
      <color rgb="FF46536B"/>
      <name val="WenQuanYi Zen Hei"/>
      <family val="2"/>
    </font>
    <font>
      <b val="true"/>
      <sz val="11"/>
      <color rgb="FFFFFF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0B7C6F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CE4"/>
      </left>
      <right style="thin">
        <color rgb="FFD5DCE4"/>
      </right>
      <top style="thin">
        <color rgb="FFD5DCE4"/>
      </top>
      <bottom style="thin">
        <color rgb="FFD5DCE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0B7C6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B7C6F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5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653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3" min="3" style="0" width="90"/>
  </cols>
  <sheetData>
    <row r="1" customFormat="false" ht="32.8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3" t="s">
        <v>2</v>
      </c>
      <c r="C2" s="2" t="s">
        <v>3</v>
      </c>
    </row>
    <row r="4" customFormat="false" ht="15" hidden="false" customHeight="false" outlineLevel="0" collapsed="false">
      <c r="A4" s="4" t="s">
        <v>4</v>
      </c>
      <c r="B4" s="4" t="s">
        <v>5</v>
      </c>
      <c r="C4" s="4" t="s">
        <v>6</v>
      </c>
    </row>
    <row r="5" customFormat="false" ht="15" hidden="false" customHeight="false" outlineLevel="0" collapsed="false">
      <c r="A5" s="3" t="s">
        <v>7</v>
      </c>
      <c r="B5" s="2" t="n">
        <f aca="false">COUNTA('1-5종II'!C3:C200)</f>
        <v>99</v>
      </c>
      <c r="C5" s="2" t="s">
        <v>8</v>
      </c>
    </row>
    <row r="6" customFormat="false" ht="15" hidden="false" customHeight="false" outlineLevel="0" collapsed="false">
      <c r="A6" s="3" t="s">
        <v>9</v>
      </c>
      <c r="B6" s="2" t="n">
        <f aca="false">COUNTA('1-5종 각주'!A2:A100)</f>
        <v>11</v>
      </c>
      <c r="C6" s="2" t="s">
        <v>10</v>
      </c>
    </row>
    <row r="7" customFormat="false" ht="15" hidden="false" customHeight="false" outlineLevel="0" collapsed="false">
      <c r="A7" s="3" t="s">
        <v>11</v>
      </c>
      <c r="B7" s="2" t="n">
        <f aca="false">COUNTA('1-7종'!C3:C2000)</f>
        <v>630</v>
      </c>
      <c r="C7" s="2" t="s">
        <v>12</v>
      </c>
    </row>
    <row r="8" customFormat="false" ht="15" hidden="false" customHeight="false" outlineLevel="0" collapsed="false">
      <c r="A8" s="3" t="s">
        <v>13</v>
      </c>
      <c r="B8" s="2" t="n">
        <f aca="false">COUNTA('131대 대상질병'!B3:B1000)</f>
        <v>356</v>
      </c>
      <c r="C8" s="2" t="s">
        <v>14</v>
      </c>
    </row>
    <row r="9" customFormat="false" ht="15" hidden="false" customHeight="false" outlineLevel="0" collapsed="false">
      <c r="A9" s="3" t="s">
        <v>15</v>
      </c>
      <c r="B9" s="2" t="n">
        <f aca="false">COUNTA('130·131대 KCD'!B3:B2000)</f>
        <v>510</v>
      </c>
      <c r="C9" s="2" t="s">
        <v>16</v>
      </c>
    </row>
    <row r="10" customFormat="false" ht="15" hidden="false" customHeight="false" outlineLevel="0" collapsed="false">
      <c r="A10" s="2" t="s">
        <v>17</v>
      </c>
      <c r="B10" s="2" t="n">
        <f aca="false">COUNTA('상품별 탑재'!C2:C1000)</f>
        <v>42</v>
      </c>
      <c r="C10" s="2" t="s">
        <v>18</v>
      </c>
    </row>
    <row r="11" customFormat="false" ht="15" hidden="false" customHeight="false" outlineLevel="0" collapsed="false">
      <c r="A11" s="3" t="s">
        <v>19</v>
      </c>
      <c r="B11" s="2" t="n">
        <f aca="false">COUNTA('1-7종 대표질병'!E3:E3000)</f>
        <v>870</v>
      </c>
      <c r="C11" s="2" t="s">
        <v>20</v>
      </c>
    </row>
    <row r="12" customFormat="false" ht="15" hidden="false" customHeight="false" outlineLevel="0" collapsed="false">
      <c r="A12" s="3" t="s">
        <v>21</v>
      </c>
      <c r="B12" s="2" t="n">
        <f aca="false">COUNTA('1-5종 대표질병'!E3:E3000)</f>
        <v>334</v>
      </c>
      <c r="C12" s="2" t="s">
        <v>22</v>
      </c>
    </row>
    <row r="14" customFormat="false" ht="15" hidden="false" customHeight="false" outlineLevel="0" collapsed="false">
      <c r="A14" s="5" t="s">
        <v>23</v>
      </c>
    </row>
    <row r="15" customFormat="false" ht="15" hidden="false" customHeight="false" outlineLevel="0" collapsed="false">
      <c r="A15" s="3" t="s">
        <v>24</v>
      </c>
      <c r="B15" s="2" t="n">
        <f aca="false">COUNTIF('1-7종'!E3:E2000,"1종")</f>
        <v>214</v>
      </c>
      <c r="C15" s="2"/>
    </row>
    <row r="16" customFormat="false" ht="15" hidden="false" customHeight="false" outlineLevel="0" collapsed="false">
      <c r="A16" s="3" t="s">
        <v>25</v>
      </c>
      <c r="B16" s="2" t="n">
        <f aca="false">COUNTIF('1-7종'!E3:E2000,"2종")</f>
        <v>95</v>
      </c>
      <c r="C16" s="2"/>
    </row>
    <row r="17" customFormat="false" ht="15" hidden="false" customHeight="false" outlineLevel="0" collapsed="false">
      <c r="A17" s="3" t="s">
        <v>26</v>
      </c>
      <c r="B17" s="2" t="n">
        <f aca="false">COUNTIF('1-7종'!E3:E2000,"3종")</f>
        <v>43</v>
      </c>
      <c r="C17" s="2"/>
    </row>
    <row r="18" customFormat="false" ht="15" hidden="false" customHeight="false" outlineLevel="0" collapsed="false">
      <c r="A18" s="3" t="s">
        <v>27</v>
      </c>
      <c r="B18" s="2" t="n">
        <f aca="false">COUNTIF('1-7종'!E3:E2000,"4종")</f>
        <v>105</v>
      </c>
      <c r="C18" s="2"/>
    </row>
    <row r="19" customFormat="false" ht="15" hidden="false" customHeight="false" outlineLevel="0" collapsed="false">
      <c r="A19" s="3" t="s">
        <v>28</v>
      </c>
      <c r="B19" s="2" t="n">
        <f aca="false">COUNTIF('1-7종'!E3:E2000,"5종")</f>
        <v>63</v>
      </c>
      <c r="C19" s="2"/>
    </row>
    <row r="20" customFormat="false" ht="15" hidden="false" customHeight="false" outlineLevel="0" collapsed="false">
      <c r="A20" s="3" t="s">
        <v>29</v>
      </c>
      <c r="B20" s="2" t="n">
        <f aca="false">COUNTIF('1-7종'!E3:E2000,"6종")</f>
        <v>64</v>
      </c>
      <c r="C20" s="2"/>
    </row>
    <row r="21" customFormat="false" ht="15" hidden="false" customHeight="false" outlineLevel="0" collapsed="false">
      <c r="A21" s="3" t="s">
        <v>30</v>
      </c>
      <c r="B21" s="2" t="n">
        <f aca="false">COUNTIF('1-7종'!E3:E2000,"7종")</f>
        <v>46</v>
      </c>
      <c r="C21" s="2"/>
    </row>
    <row r="23" customFormat="false" ht="15" hidden="false" customHeight="false" outlineLevel="0" collapsed="false">
      <c r="A23" s="6" t="s">
        <v>31</v>
      </c>
    </row>
    <row r="24" customFormat="false" ht="26.85" hidden="false" customHeight="false" outlineLevel="0" collapsed="false">
      <c r="A24" s="3" t="s">
        <v>11</v>
      </c>
      <c r="B24" s="2" t="s">
        <v>32</v>
      </c>
      <c r="C24" s="2" t="s">
        <v>33</v>
      </c>
    </row>
    <row r="25" customFormat="false" ht="15" hidden="false" customHeight="false" outlineLevel="0" collapsed="false">
      <c r="A25" s="3" t="s">
        <v>34</v>
      </c>
      <c r="B25" s="2" t="s">
        <v>32</v>
      </c>
      <c r="C25" s="3" t="s">
        <v>35</v>
      </c>
    </row>
    <row r="26" customFormat="false" ht="39.55" hidden="false" customHeight="false" outlineLevel="0" collapsed="false">
      <c r="A26" s="3" t="s">
        <v>36</v>
      </c>
      <c r="B26" s="3" t="s">
        <v>37</v>
      </c>
      <c r="C26" s="2" t="s">
        <v>38</v>
      </c>
    </row>
    <row r="27" customFormat="false" ht="26.85" hidden="false" customHeight="false" outlineLevel="0" collapsed="false">
      <c r="A27" s="3" t="s">
        <v>36</v>
      </c>
      <c r="B27" s="2" t="s">
        <v>32</v>
      </c>
      <c r="C27" s="2" t="s">
        <v>39</v>
      </c>
    </row>
    <row r="28" customFormat="false" ht="26.85" hidden="false" customHeight="false" outlineLevel="0" collapsed="false">
      <c r="A28" s="2" t="s">
        <v>40</v>
      </c>
      <c r="B28" s="2"/>
      <c r="C28" s="3" t="s">
        <v>41</v>
      </c>
    </row>
    <row r="29" customFormat="false" ht="52.2" hidden="false" customHeight="false" outlineLevel="0" collapsed="false">
      <c r="A29" s="2" t="s">
        <v>42</v>
      </c>
      <c r="B29" s="2" t="s">
        <v>43</v>
      </c>
      <c r="C29" s="2" t="s">
        <v>44</v>
      </c>
    </row>
    <row r="30" customFormat="false" ht="25.35" hidden="false" customHeight="false" outlineLevel="0" collapsed="false">
      <c r="A30" s="2" t="s">
        <v>45</v>
      </c>
      <c r="B30" s="2"/>
      <c r="C30" s="2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8"/>
    <col collapsed="false" customWidth="true" hidden="false" outlineLevel="0" max="3" min="3" style="0" width="46"/>
    <col collapsed="false" customWidth="true" hidden="false" outlineLevel="0" max="4" min="4" style="0" width="7"/>
    <col collapsed="false" customWidth="true" hidden="false" outlineLevel="0" max="5" min="5" style="0" width="56"/>
  </cols>
  <sheetData>
    <row r="1" customFormat="false" ht="30" hidden="false" customHeight="true" outlineLevel="0" collapsed="false">
      <c r="A1" s="7" t="s">
        <v>47</v>
      </c>
      <c r="B1" s="7"/>
      <c r="C1" s="7"/>
      <c r="D1" s="7"/>
      <c r="E1" s="7"/>
    </row>
    <row r="2" customFormat="false" ht="15" hidden="false" customHeight="false" outlineLevel="0" collapsed="false">
      <c r="A2" s="8" t="s">
        <v>48</v>
      </c>
      <c r="B2" s="8" t="s">
        <v>49</v>
      </c>
      <c r="C2" s="8" t="s">
        <v>50</v>
      </c>
      <c r="D2" s="8" t="s">
        <v>51</v>
      </c>
      <c r="E2" s="8" t="s">
        <v>52</v>
      </c>
    </row>
    <row r="3" customFormat="false" ht="15" hidden="false" customHeight="false" outlineLevel="0" collapsed="false">
      <c r="A3" s="9" t="s">
        <v>53</v>
      </c>
      <c r="B3" s="10" t="s">
        <v>54</v>
      </c>
      <c r="C3" s="9" t="s">
        <v>55</v>
      </c>
      <c r="D3" s="10" t="s">
        <v>26</v>
      </c>
      <c r="E3" s="10" t="s">
        <v>56</v>
      </c>
    </row>
    <row r="4" customFormat="false" ht="15" hidden="false" customHeight="false" outlineLevel="0" collapsed="false">
      <c r="A4" s="9" t="s">
        <v>53</v>
      </c>
      <c r="B4" s="10" t="s">
        <v>57</v>
      </c>
      <c r="C4" s="9" t="s">
        <v>58</v>
      </c>
      <c r="D4" s="10" t="s">
        <v>24</v>
      </c>
      <c r="E4" s="9"/>
    </row>
    <row r="5" customFormat="false" ht="15" hidden="false" customHeight="false" outlineLevel="0" collapsed="false">
      <c r="A5" s="9" t="s">
        <v>53</v>
      </c>
      <c r="B5" s="10" t="s">
        <v>59</v>
      </c>
      <c r="C5" s="9" t="s">
        <v>60</v>
      </c>
      <c r="D5" s="10" t="s">
        <v>26</v>
      </c>
      <c r="E5" s="9" t="s">
        <v>61</v>
      </c>
    </row>
    <row r="6" customFormat="false" ht="15" hidden="false" customHeight="false" outlineLevel="0" collapsed="false">
      <c r="A6" s="9" t="s">
        <v>53</v>
      </c>
      <c r="B6" s="10" t="s">
        <v>62</v>
      </c>
      <c r="C6" s="9" t="s">
        <v>63</v>
      </c>
      <c r="D6" s="10" t="s">
        <v>24</v>
      </c>
      <c r="E6" s="9" t="s">
        <v>64</v>
      </c>
    </row>
    <row r="7" customFormat="false" ht="15" hidden="false" customHeight="false" outlineLevel="0" collapsed="false">
      <c r="A7" s="9" t="s">
        <v>65</v>
      </c>
      <c r="B7" s="10" t="s">
        <v>66</v>
      </c>
      <c r="C7" s="9" t="s">
        <v>67</v>
      </c>
      <c r="D7" s="10" t="s">
        <v>25</v>
      </c>
      <c r="E7" s="9"/>
    </row>
    <row r="8" customFormat="false" ht="15" hidden="false" customHeight="false" outlineLevel="0" collapsed="false">
      <c r="A8" s="9" t="s">
        <v>65</v>
      </c>
      <c r="B8" s="10" t="s">
        <v>68</v>
      </c>
      <c r="C8" s="9" t="s">
        <v>69</v>
      </c>
      <c r="D8" s="10" t="s">
        <v>26</v>
      </c>
      <c r="E8" s="9" t="s">
        <v>70</v>
      </c>
    </row>
    <row r="9" customFormat="false" ht="15" hidden="false" customHeight="false" outlineLevel="0" collapsed="false">
      <c r="A9" s="9" t="s">
        <v>65</v>
      </c>
      <c r="B9" s="10" t="s">
        <v>71</v>
      </c>
      <c r="C9" s="9" t="s">
        <v>72</v>
      </c>
      <c r="D9" s="10" t="s">
        <v>24</v>
      </c>
      <c r="E9" s="9" t="s">
        <v>73</v>
      </c>
    </row>
    <row r="10" customFormat="false" ht="15" hidden="false" customHeight="false" outlineLevel="0" collapsed="false">
      <c r="A10" s="9" t="s">
        <v>65</v>
      </c>
      <c r="B10" s="10" t="s">
        <v>74</v>
      </c>
      <c r="C10" s="9" t="s">
        <v>75</v>
      </c>
      <c r="D10" s="10" t="s">
        <v>25</v>
      </c>
      <c r="E10" s="9"/>
    </row>
    <row r="11" customFormat="false" ht="15" hidden="false" customHeight="false" outlineLevel="0" collapsed="false">
      <c r="A11" s="9" t="s">
        <v>65</v>
      </c>
      <c r="B11" s="10" t="s">
        <v>76</v>
      </c>
      <c r="C11" s="9" t="s">
        <v>77</v>
      </c>
      <c r="D11" s="10" t="s">
        <v>26</v>
      </c>
      <c r="E11" s="9"/>
    </row>
    <row r="12" customFormat="false" ht="15" hidden="false" customHeight="false" outlineLevel="0" collapsed="false">
      <c r="A12" s="9" t="s">
        <v>65</v>
      </c>
      <c r="B12" s="10" t="s">
        <v>78</v>
      </c>
      <c r="C12" s="9" t="s">
        <v>79</v>
      </c>
      <c r="D12" s="10" t="s">
        <v>25</v>
      </c>
      <c r="E12" s="9"/>
    </row>
    <row r="13" customFormat="false" ht="15" hidden="false" customHeight="false" outlineLevel="0" collapsed="false">
      <c r="A13" s="9" t="s">
        <v>65</v>
      </c>
      <c r="B13" s="10" t="s">
        <v>80</v>
      </c>
      <c r="C13" s="9" t="s">
        <v>81</v>
      </c>
      <c r="D13" s="10" t="s">
        <v>24</v>
      </c>
      <c r="E13" s="9" t="s">
        <v>82</v>
      </c>
    </row>
    <row r="14" customFormat="false" ht="15" hidden="false" customHeight="false" outlineLevel="0" collapsed="false">
      <c r="A14" s="9" t="s">
        <v>65</v>
      </c>
      <c r="B14" s="10" t="s">
        <v>83</v>
      </c>
      <c r="C14" s="9" t="s">
        <v>84</v>
      </c>
      <c r="D14" s="10" t="s">
        <v>26</v>
      </c>
      <c r="E14" s="9"/>
    </row>
    <row r="15" customFormat="false" ht="15" hidden="false" customHeight="false" outlineLevel="0" collapsed="false">
      <c r="A15" s="9" t="s">
        <v>65</v>
      </c>
      <c r="B15" s="10" t="s">
        <v>85</v>
      </c>
      <c r="C15" s="9" t="s">
        <v>86</v>
      </c>
      <c r="D15" s="10" t="s">
        <v>26</v>
      </c>
      <c r="E15" s="9" t="s">
        <v>82</v>
      </c>
    </row>
    <row r="16" customFormat="false" ht="15" hidden="false" customHeight="false" outlineLevel="0" collapsed="false">
      <c r="A16" s="9" t="s">
        <v>65</v>
      </c>
      <c r="B16" s="10" t="s">
        <v>87</v>
      </c>
      <c r="C16" s="9" t="s">
        <v>88</v>
      </c>
      <c r="D16" s="10" t="s">
        <v>24</v>
      </c>
      <c r="E16" s="9"/>
    </row>
    <row r="17" customFormat="false" ht="15" hidden="false" customHeight="false" outlineLevel="0" collapsed="false">
      <c r="A17" s="9" t="s">
        <v>65</v>
      </c>
      <c r="B17" s="10" t="s">
        <v>89</v>
      </c>
      <c r="C17" s="9" t="s">
        <v>90</v>
      </c>
      <c r="D17" s="10" t="s">
        <v>25</v>
      </c>
      <c r="E17" s="9"/>
    </row>
    <row r="18" customFormat="false" ht="15" hidden="false" customHeight="false" outlineLevel="0" collapsed="false">
      <c r="A18" s="9" t="s">
        <v>65</v>
      </c>
      <c r="B18" s="10" t="s">
        <v>91</v>
      </c>
      <c r="C18" s="9" t="s">
        <v>92</v>
      </c>
      <c r="D18" s="10" t="s">
        <v>24</v>
      </c>
      <c r="E18" s="9"/>
    </row>
    <row r="19" customFormat="false" ht="15" hidden="false" customHeight="false" outlineLevel="0" collapsed="false">
      <c r="A19" s="9" t="s">
        <v>93</v>
      </c>
      <c r="B19" s="10" t="s">
        <v>94</v>
      </c>
      <c r="C19" s="9" t="s">
        <v>95</v>
      </c>
      <c r="D19" s="10" t="s">
        <v>24</v>
      </c>
      <c r="E19" s="9"/>
    </row>
    <row r="20" customFormat="false" ht="15" hidden="false" customHeight="false" outlineLevel="0" collapsed="false">
      <c r="A20" s="9" t="s">
        <v>93</v>
      </c>
      <c r="B20" s="10" t="s">
        <v>96</v>
      </c>
      <c r="C20" s="9" t="s">
        <v>97</v>
      </c>
      <c r="D20" s="10" t="s">
        <v>26</v>
      </c>
      <c r="E20" s="9"/>
    </row>
    <row r="21" customFormat="false" ht="15" hidden="false" customHeight="false" outlineLevel="0" collapsed="false">
      <c r="A21" s="9" t="s">
        <v>93</v>
      </c>
      <c r="B21" s="10" t="s">
        <v>98</v>
      </c>
      <c r="C21" s="9" t="s">
        <v>99</v>
      </c>
      <c r="D21" s="10" t="s">
        <v>24</v>
      </c>
      <c r="E21" s="9"/>
    </row>
    <row r="22" customFormat="false" ht="15" hidden="false" customHeight="false" outlineLevel="0" collapsed="false">
      <c r="A22" s="9" t="s">
        <v>93</v>
      </c>
      <c r="B22" s="10" t="s">
        <v>100</v>
      </c>
      <c r="C22" s="9" t="s">
        <v>101</v>
      </c>
      <c r="D22" s="10" t="s">
        <v>27</v>
      </c>
      <c r="E22" s="9" t="s">
        <v>102</v>
      </c>
    </row>
    <row r="23" customFormat="false" ht="15" hidden="false" customHeight="false" outlineLevel="0" collapsed="false">
      <c r="A23" s="9" t="s">
        <v>93</v>
      </c>
      <c r="B23" s="10" t="s">
        <v>103</v>
      </c>
      <c r="C23" s="9" t="s">
        <v>104</v>
      </c>
      <c r="D23" s="10" t="s">
        <v>28</v>
      </c>
      <c r="E23" s="9" t="s">
        <v>105</v>
      </c>
    </row>
    <row r="24" customFormat="false" ht="15" hidden="false" customHeight="false" outlineLevel="0" collapsed="false">
      <c r="A24" s="9" t="s">
        <v>93</v>
      </c>
      <c r="B24" s="10" t="s">
        <v>106</v>
      </c>
      <c r="C24" s="9" t="s">
        <v>107</v>
      </c>
      <c r="D24" s="10" t="s">
        <v>26</v>
      </c>
      <c r="E24" s="9"/>
    </row>
    <row r="25" customFormat="false" ht="15" hidden="false" customHeight="false" outlineLevel="0" collapsed="false">
      <c r="A25" s="9" t="s">
        <v>93</v>
      </c>
      <c r="B25" s="10" t="s">
        <v>108</v>
      </c>
      <c r="C25" s="9" t="s">
        <v>109</v>
      </c>
      <c r="D25" s="10" t="s">
        <v>27</v>
      </c>
      <c r="E25" s="9" t="s">
        <v>102</v>
      </c>
    </row>
    <row r="26" customFormat="false" ht="15" hidden="false" customHeight="false" outlineLevel="0" collapsed="false">
      <c r="A26" s="9" t="s">
        <v>110</v>
      </c>
      <c r="B26" s="10" t="s">
        <v>111</v>
      </c>
      <c r="C26" s="9" t="s">
        <v>112</v>
      </c>
      <c r="D26" s="10" t="s">
        <v>26</v>
      </c>
      <c r="E26" s="9" t="s">
        <v>113</v>
      </c>
    </row>
    <row r="27" customFormat="false" ht="15" hidden="false" customHeight="false" outlineLevel="0" collapsed="false">
      <c r="A27" s="9" t="s">
        <v>110</v>
      </c>
      <c r="B27" s="10" t="s">
        <v>114</v>
      </c>
      <c r="C27" s="9" t="s">
        <v>115</v>
      </c>
      <c r="D27" s="10" t="s">
        <v>24</v>
      </c>
      <c r="E27" s="9"/>
    </row>
    <row r="28" customFormat="false" ht="15" hidden="false" customHeight="false" outlineLevel="0" collapsed="false">
      <c r="A28" s="9" t="s">
        <v>110</v>
      </c>
      <c r="B28" s="10" t="s">
        <v>116</v>
      </c>
      <c r="C28" s="9" t="s">
        <v>117</v>
      </c>
      <c r="D28" s="10" t="s">
        <v>28</v>
      </c>
      <c r="E28" s="9" t="s">
        <v>118</v>
      </c>
    </row>
    <row r="29" customFormat="false" ht="15" hidden="false" customHeight="false" outlineLevel="0" collapsed="false">
      <c r="A29" s="9" t="s">
        <v>110</v>
      </c>
      <c r="B29" s="10" t="s">
        <v>119</v>
      </c>
      <c r="C29" s="9" t="s">
        <v>120</v>
      </c>
      <c r="D29" s="10" t="s">
        <v>27</v>
      </c>
      <c r="E29" s="9" t="s">
        <v>102</v>
      </c>
    </row>
    <row r="30" customFormat="false" ht="15" hidden="false" customHeight="false" outlineLevel="0" collapsed="false">
      <c r="A30" s="9" t="s">
        <v>110</v>
      </c>
      <c r="B30" s="10" t="s">
        <v>121</v>
      </c>
      <c r="C30" s="9" t="s">
        <v>122</v>
      </c>
      <c r="D30" s="10" t="s">
        <v>28</v>
      </c>
      <c r="E30" s="9" t="s">
        <v>102</v>
      </c>
    </row>
    <row r="31" customFormat="false" ht="15" hidden="false" customHeight="false" outlineLevel="0" collapsed="false">
      <c r="A31" s="9" t="s">
        <v>110</v>
      </c>
      <c r="B31" s="10" t="s">
        <v>123</v>
      </c>
      <c r="C31" s="9" t="s">
        <v>124</v>
      </c>
      <c r="D31" s="10" t="s">
        <v>28</v>
      </c>
      <c r="E31" s="9" t="s">
        <v>105</v>
      </c>
    </row>
    <row r="32" customFormat="false" ht="15" hidden="false" customHeight="false" outlineLevel="0" collapsed="false">
      <c r="A32" s="9" t="s">
        <v>110</v>
      </c>
      <c r="B32" s="10" t="s">
        <v>125</v>
      </c>
      <c r="C32" s="9" t="s">
        <v>126</v>
      </c>
      <c r="D32" s="10" t="s">
        <v>26</v>
      </c>
      <c r="E32" s="9"/>
    </row>
    <row r="33" customFormat="false" ht="15" hidden="false" customHeight="false" outlineLevel="0" collapsed="false">
      <c r="A33" s="9" t="s">
        <v>110</v>
      </c>
      <c r="B33" s="10" t="s">
        <v>127</v>
      </c>
      <c r="C33" s="9" t="s">
        <v>128</v>
      </c>
      <c r="D33" s="10" t="s">
        <v>26</v>
      </c>
      <c r="E33" s="9"/>
    </row>
    <row r="34" customFormat="false" ht="15" hidden="false" customHeight="false" outlineLevel="0" collapsed="false">
      <c r="A34" s="9" t="s">
        <v>129</v>
      </c>
      <c r="B34" s="10" t="s">
        <v>130</v>
      </c>
      <c r="C34" s="9" t="s">
        <v>131</v>
      </c>
      <c r="D34" s="10" t="s">
        <v>26</v>
      </c>
      <c r="E34" s="9"/>
    </row>
    <row r="35" customFormat="false" ht="15" hidden="false" customHeight="false" outlineLevel="0" collapsed="false">
      <c r="A35" s="9" t="s">
        <v>129</v>
      </c>
      <c r="B35" s="10" t="s">
        <v>132</v>
      </c>
      <c r="C35" s="9" t="s">
        <v>133</v>
      </c>
      <c r="D35" s="10" t="s">
        <v>25</v>
      </c>
      <c r="E35" s="9"/>
    </row>
    <row r="36" customFormat="false" ht="15" hidden="false" customHeight="false" outlineLevel="0" collapsed="false">
      <c r="A36" s="9" t="s">
        <v>129</v>
      </c>
      <c r="B36" s="10" t="s">
        <v>134</v>
      </c>
      <c r="C36" s="9" t="s">
        <v>135</v>
      </c>
      <c r="D36" s="10" t="s">
        <v>24</v>
      </c>
      <c r="E36" s="9" t="s">
        <v>136</v>
      </c>
    </row>
    <row r="37" customFormat="false" ht="15" hidden="false" customHeight="false" outlineLevel="0" collapsed="false">
      <c r="A37" s="9" t="s">
        <v>129</v>
      </c>
      <c r="B37" s="10" t="s">
        <v>137</v>
      </c>
      <c r="C37" s="9" t="s">
        <v>138</v>
      </c>
      <c r="D37" s="10" t="s">
        <v>27</v>
      </c>
      <c r="E37" s="9" t="s">
        <v>118</v>
      </c>
    </row>
    <row r="38" customFormat="false" ht="15" hidden="false" customHeight="false" outlineLevel="0" collapsed="false">
      <c r="A38" s="9" t="s">
        <v>129</v>
      </c>
      <c r="B38" s="10" t="s">
        <v>139</v>
      </c>
      <c r="C38" s="9" t="s">
        <v>140</v>
      </c>
      <c r="D38" s="10" t="s">
        <v>27</v>
      </c>
      <c r="E38" s="9" t="s">
        <v>141</v>
      </c>
    </row>
    <row r="39" customFormat="false" ht="15" hidden="false" customHeight="false" outlineLevel="0" collapsed="false">
      <c r="A39" s="9" t="s">
        <v>129</v>
      </c>
      <c r="B39" s="10" t="s">
        <v>142</v>
      </c>
      <c r="C39" s="9" t="s">
        <v>143</v>
      </c>
      <c r="D39" s="10" t="s">
        <v>26</v>
      </c>
      <c r="E39" s="9" t="s">
        <v>118</v>
      </c>
    </row>
    <row r="40" customFormat="false" ht="15" hidden="false" customHeight="false" outlineLevel="0" collapsed="false">
      <c r="A40" s="9" t="s">
        <v>129</v>
      </c>
      <c r="B40" s="10" t="s">
        <v>144</v>
      </c>
      <c r="C40" s="9" t="s">
        <v>145</v>
      </c>
      <c r="D40" s="10" t="s">
        <v>27</v>
      </c>
      <c r="E40" s="9" t="s">
        <v>141</v>
      </c>
    </row>
    <row r="41" customFormat="false" ht="15" hidden="false" customHeight="false" outlineLevel="0" collapsed="false">
      <c r="A41" s="9" t="s">
        <v>129</v>
      </c>
      <c r="B41" s="10" t="s">
        <v>146</v>
      </c>
      <c r="C41" s="9" t="s">
        <v>147</v>
      </c>
      <c r="D41" s="10" t="s">
        <v>26</v>
      </c>
      <c r="E41" s="9" t="s">
        <v>148</v>
      </c>
    </row>
    <row r="42" customFormat="false" ht="15" hidden="false" customHeight="false" outlineLevel="0" collapsed="false">
      <c r="A42" s="9" t="s">
        <v>129</v>
      </c>
      <c r="B42" s="10" t="s">
        <v>149</v>
      </c>
      <c r="C42" s="9" t="s">
        <v>150</v>
      </c>
      <c r="D42" s="10" t="s">
        <v>28</v>
      </c>
      <c r="E42" s="9" t="s">
        <v>151</v>
      </c>
    </row>
    <row r="43" customFormat="false" ht="15" hidden="false" customHeight="false" outlineLevel="0" collapsed="false">
      <c r="A43" s="9" t="s">
        <v>129</v>
      </c>
      <c r="B43" s="10" t="s">
        <v>152</v>
      </c>
      <c r="C43" s="9" t="s">
        <v>153</v>
      </c>
      <c r="D43" s="10" t="s">
        <v>28</v>
      </c>
      <c r="E43" s="9" t="s">
        <v>154</v>
      </c>
    </row>
    <row r="44" customFormat="false" ht="15" hidden="false" customHeight="false" outlineLevel="0" collapsed="false">
      <c r="A44" s="9" t="s">
        <v>129</v>
      </c>
      <c r="B44" s="10" t="s">
        <v>155</v>
      </c>
      <c r="C44" s="9" t="s">
        <v>156</v>
      </c>
      <c r="D44" s="10" t="s">
        <v>24</v>
      </c>
      <c r="E44" s="9"/>
    </row>
    <row r="45" customFormat="false" ht="15" hidden="false" customHeight="false" outlineLevel="0" collapsed="false">
      <c r="A45" s="9" t="s">
        <v>129</v>
      </c>
      <c r="B45" s="10" t="s">
        <v>157</v>
      </c>
      <c r="C45" s="9" t="s">
        <v>158</v>
      </c>
      <c r="D45" s="10" t="s">
        <v>25</v>
      </c>
      <c r="E45" s="9"/>
    </row>
    <row r="46" customFormat="false" ht="15" hidden="false" customHeight="false" outlineLevel="0" collapsed="false">
      <c r="A46" s="9" t="s">
        <v>129</v>
      </c>
      <c r="B46" s="10" t="s">
        <v>159</v>
      </c>
      <c r="C46" s="9" t="s">
        <v>160</v>
      </c>
      <c r="D46" s="10" t="s">
        <v>25</v>
      </c>
      <c r="E46" s="9" t="s">
        <v>161</v>
      </c>
    </row>
    <row r="47" customFormat="false" ht="15" hidden="false" customHeight="false" outlineLevel="0" collapsed="false">
      <c r="A47" s="9" t="s">
        <v>129</v>
      </c>
      <c r="B47" s="10" t="s">
        <v>162</v>
      </c>
      <c r="C47" s="9" t="s">
        <v>163</v>
      </c>
      <c r="D47" s="10" t="s">
        <v>24</v>
      </c>
      <c r="E47" s="9"/>
    </row>
    <row r="48" customFormat="false" ht="15" hidden="false" customHeight="false" outlineLevel="0" collapsed="false">
      <c r="A48" s="9" t="s">
        <v>129</v>
      </c>
      <c r="B48" s="10" t="s">
        <v>164</v>
      </c>
      <c r="C48" s="9" t="s">
        <v>165</v>
      </c>
      <c r="D48" s="10" t="s">
        <v>27</v>
      </c>
      <c r="E48" s="9" t="s">
        <v>166</v>
      </c>
    </row>
    <row r="49" customFormat="false" ht="15" hidden="false" customHeight="false" outlineLevel="0" collapsed="false">
      <c r="A49" s="9" t="s">
        <v>129</v>
      </c>
      <c r="B49" s="10" t="s">
        <v>167</v>
      </c>
      <c r="C49" s="9" t="s">
        <v>168</v>
      </c>
      <c r="D49" s="10" t="s">
        <v>24</v>
      </c>
      <c r="E49" s="9" t="s">
        <v>169</v>
      </c>
    </row>
    <row r="50" customFormat="false" ht="15" hidden="false" customHeight="false" outlineLevel="0" collapsed="false">
      <c r="A50" s="9" t="s">
        <v>170</v>
      </c>
      <c r="B50" s="10" t="s">
        <v>171</v>
      </c>
      <c r="C50" s="9" t="s">
        <v>172</v>
      </c>
      <c r="D50" s="10" t="s">
        <v>27</v>
      </c>
      <c r="E50" s="9" t="s">
        <v>173</v>
      </c>
    </row>
    <row r="51" customFormat="false" ht="15" hidden="false" customHeight="false" outlineLevel="0" collapsed="false">
      <c r="A51" s="9" t="s">
        <v>170</v>
      </c>
      <c r="B51" s="10" t="s">
        <v>174</v>
      </c>
      <c r="C51" s="9" t="s">
        <v>175</v>
      </c>
      <c r="D51" s="10" t="s">
        <v>25</v>
      </c>
      <c r="E51" s="9" t="s">
        <v>176</v>
      </c>
    </row>
    <row r="52" customFormat="false" ht="15" hidden="false" customHeight="false" outlineLevel="0" collapsed="false">
      <c r="A52" s="9" t="s">
        <v>170</v>
      </c>
      <c r="B52" s="10" t="s">
        <v>177</v>
      </c>
      <c r="C52" s="9" t="s">
        <v>178</v>
      </c>
      <c r="D52" s="10" t="s">
        <v>24</v>
      </c>
      <c r="E52" s="9"/>
    </row>
    <row r="53" customFormat="false" ht="15" hidden="false" customHeight="false" outlineLevel="0" collapsed="false">
      <c r="A53" s="9" t="s">
        <v>170</v>
      </c>
      <c r="B53" s="10" t="s">
        <v>179</v>
      </c>
      <c r="C53" s="9" t="s">
        <v>180</v>
      </c>
      <c r="D53" s="10" t="s">
        <v>28</v>
      </c>
      <c r="E53" s="9" t="s">
        <v>105</v>
      </c>
    </row>
    <row r="54" customFormat="false" ht="15" hidden="false" customHeight="false" outlineLevel="0" collapsed="false">
      <c r="A54" s="9" t="s">
        <v>170</v>
      </c>
      <c r="B54" s="10" t="s">
        <v>181</v>
      </c>
      <c r="C54" s="9" t="s">
        <v>182</v>
      </c>
      <c r="D54" s="10" t="s">
        <v>26</v>
      </c>
      <c r="E54" s="9" t="s">
        <v>183</v>
      </c>
    </row>
    <row r="55" customFormat="false" ht="15" hidden="false" customHeight="false" outlineLevel="0" collapsed="false">
      <c r="A55" s="9" t="s">
        <v>170</v>
      </c>
      <c r="B55" s="10" t="s">
        <v>184</v>
      </c>
      <c r="C55" s="9" t="s">
        <v>185</v>
      </c>
      <c r="D55" s="10" t="s">
        <v>25</v>
      </c>
      <c r="E55" s="9"/>
    </row>
    <row r="56" customFormat="false" ht="15" hidden="false" customHeight="false" outlineLevel="0" collapsed="false">
      <c r="A56" s="9" t="s">
        <v>170</v>
      </c>
      <c r="B56" s="10" t="s">
        <v>186</v>
      </c>
      <c r="C56" s="9" t="s">
        <v>187</v>
      </c>
      <c r="D56" s="10" t="s">
        <v>24</v>
      </c>
      <c r="E56" s="9"/>
    </row>
    <row r="57" customFormat="false" ht="15" hidden="false" customHeight="false" outlineLevel="0" collapsed="false">
      <c r="A57" s="9" t="s">
        <v>170</v>
      </c>
      <c r="B57" s="10" t="s">
        <v>188</v>
      </c>
      <c r="C57" s="9" t="s">
        <v>189</v>
      </c>
      <c r="D57" s="10" t="s">
        <v>25</v>
      </c>
      <c r="E57" s="9" t="s">
        <v>190</v>
      </c>
    </row>
    <row r="58" customFormat="false" ht="15" hidden="false" customHeight="false" outlineLevel="0" collapsed="false">
      <c r="A58" s="9" t="s">
        <v>170</v>
      </c>
      <c r="B58" s="10" t="s">
        <v>191</v>
      </c>
      <c r="C58" s="9" t="s">
        <v>192</v>
      </c>
      <c r="D58" s="10" t="s">
        <v>24</v>
      </c>
      <c r="E58" s="10" t="s">
        <v>193</v>
      </c>
    </row>
    <row r="59" customFormat="false" ht="15" hidden="false" customHeight="false" outlineLevel="0" collapsed="false">
      <c r="A59" s="9" t="s">
        <v>170</v>
      </c>
      <c r="B59" s="10" t="s">
        <v>194</v>
      </c>
      <c r="C59" s="9" t="s">
        <v>195</v>
      </c>
      <c r="D59" s="10" t="s">
        <v>24</v>
      </c>
      <c r="E59" s="9"/>
    </row>
    <row r="60" customFormat="false" ht="15" hidden="false" customHeight="false" outlineLevel="0" collapsed="false">
      <c r="A60" s="9" t="s">
        <v>170</v>
      </c>
      <c r="B60" s="10" t="s">
        <v>196</v>
      </c>
      <c r="C60" s="9" t="s">
        <v>197</v>
      </c>
      <c r="D60" s="10" t="s">
        <v>24</v>
      </c>
      <c r="E60" s="9"/>
    </row>
    <row r="61" customFormat="false" ht="15" hidden="false" customHeight="false" outlineLevel="0" collapsed="false">
      <c r="A61" s="9" t="s">
        <v>198</v>
      </c>
      <c r="B61" s="10" t="s">
        <v>199</v>
      </c>
      <c r="C61" s="9" t="s">
        <v>200</v>
      </c>
      <c r="D61" s="10" t="s">
        <v>28</v>
      </c>
      <c r="E61" s="9"/>
    </row>
    <row r="62" customFormat="false" ht="15" hidden="false" customHeight="false" outlineLevel="0" collapsed="false">
      <c r="A62" s="9" t="s">
        <v>198</v>
      </c>
      <c r="B62" s="10" t="s">
        <v>201</v>
      </c>
      <c r="C62" s="9" t="s">
        <v>202</v>
      </c>
      <c r="D62" s="10" t="s">
        <v>26</v>
      </c>
      <c r="E62" s="9"/>
    </row>
    <row r="63" customFormat="false" ht="15" hidden="false" customHeight="false" outlineLevel="0" collapsed="false">
      <c r="A63" s="9" t="s">
        <v>198</v>
      </c>
      <c r="B63" s="10" t="s">
        <v>203</v>
      </c>
      <c r="C63" s="9" t="s">
        <v>204</v>
      </c>
      <c r="D63" s="10" t="s">
        <v>27</v>
      </c>
      <c r="E63" s="9"/>
    </row>
    <row r="64" customFormat="false" ht="15" hidden="false" customHeight="false" outlineLevel="0" collapsed="false">
      <c r="A64" s="9" t="s">
        <v>205</v>
      </c>
      <c r="B64" s="10" t="s">
        <v>206</v>
      </c>
      <c r="C64" s="9" t="s">
        <v>207</v>
      </c>
      <c r="D64" s="10" t="s">
        <v>28</v>
      </c>
      <c r="E64" s="9" t="s">
        <v>208</v>
      </c>
    </row>
    <row r="65" customFormat="false" ht="15" hidden="false" customHeight="false" outlineLevel="0" collapsed="false">
      <c r="A65" s="9" t="s">
        <v>205</v>
      </c>
      <c r="B65" s="10" t="s">
        <v>209</v>
      </c>
      <c r="C65" s="9" t="s">
        <v>210</v>
      </c>
      <c r="D65" s="10" t="s">
        <v>25</v>
      </c>
      <c r="E65" s="9"/>
    </row>
    <row r="66" customFormat="false" ht="15" hidden="false" customHeight="false" outlineLevel="0" collapsed="false">
      <c r="A66" s="9" t="s">
        <v>205</v>
      </c>
      <c r="B66" s="10" t="s">
        <v>211</v>
      </c>
      <c r="C66" s="9" t="s">
        <v>212</v>
      </c>
      <c r="D66" s="10" t="s">
        <v>27</v>
      </c>
      <c r="E66" s="9"/>
    </row>
    <row r="67" customFormat="false" ht="15" hidden="false" customHeight="false" outlineLevel="0" collapsed="false">
      <c r="A67" s="9" t="s">
        <v>205</v>
      </c>
      <c r="B67" s="10" t="s">
        <v>213</v>
      </c>
      <c r="C67" s="9" t="s">
        <v>214</v>
      </c>
      <c r="D67" s="10" t="s">
        <v>26</v>
      </c>
      <c r="E67" s="9"/>
    </row>
    <row r="68" customFormat="false" ht="15" hidden="false" customHeight="false" outlineLevel="0" collapsed="false">
      <c r="A68" s="9" t="s">
        <v>215</v>
      </c>
      <c r="B68" s="10" t="s">
        <v>216</v>
      </c>
      <c r="C68" s="9" t="s">
        <v>217</v>
      </c>
      <c r="D68" s="10" t="s">
        <v>24</v>
      </c>
      <c r="E68" s="9" t="s">
        <v>218</v>
      </c>
    </row>
    <row r="69" customFormat="false" ht="15" hidden="false" customHeight="false" outlineLevel="0" collapsed="false">
      <c r="A69" s="9" t="s">
        <v>215</v>
      </c>
      <c r="B69" s="10" t="s">
        <v>219</v>
      </c>
      <c r="C69" s="9" t="s">
        <v>220</v>
      </c>
      <c r="D69" s="10" t="s">
        <v>24</v>
      </c>
      <c r="E69" s="9" t="s">
        <v>221</v>
      </c>
    </row>
    <row r="70" customFormat="false" ht="15" hidden="false" customHeight="false" outlineLevel="0" collapsed="false">
      <c r="A70" s="9" t="s">
        <v>215</v>
      </c>
      <c r="B70" s="10" t="s">
        <v>222</v>
      </c>
      <c r="C70" s="9" t="s">
        <v>223</v>
      </c>
      <c r="D70" s="10" t="s">
        <v>25</v>
      </c>
      <c r="E70" s="9"/>
    </row>
    <row r="71" customFormat="false" ht="15" hidden="false" customHeight="false" outlineLevel="0" collapsed="false">
      <c r="A71" s="9" t="s">
        <v>215</v>
      </c>
      <c r="B71" s="10" t="s">
        <v>224</v>
      </c>
      <c r="C71" s="9" t="s">
        <v>225</v>
      </c>
      <c r="D71" s="10" t="s">
        <v>25</v>
      </c>
      <c r="E71" s="9"/>
    </row>
    <row r="72" customFormat="false" ht="15" hidden="false" customHeight="false" outlineLevel="0" collapsed="false">
      <c r="A72" s="9" t="s">
        <v>215</v>
      </c>
      <c r="B72" s="10" t="s">
        <v>226</v>
      </c>
      <c r="C72" s="9" t="s">
        <v>227</v>
      </c>
      <c r="D72" s="10" t="s">
        <v>24</v>
      </c>
      <c r="E72" s="9"/>
    </row>
    <row r="73" customFormat="false" ht="15" hidden="false" customHeight="false" outlineLevel="0" collapsed="false">
      <c r="A73" s="9" t="s">
        <v>215</v>
      </c>
      <c r="B73" s="10" t="s">
        <v>228</v>
      </c>
      <c r="C73" s="9" t="s">
        <v>229</v>
      </c>
      <c r="D73" s="10" t="s">
        <v>25</v>
      </c>
      <c r="E73" s="9"/>
    </row>
    <row r="74" customFormat="false" ht="15" hidden="false" customHeight="false" outlineLevel="0" collapsed="false">
      <c r="A74" s="9" t="s">
        <v>215</v>
      </c>
      <c r="B74" s="10" t="s">
        <v>230</v>
      </c>
      <c r="C74" s="9" t="s">
        <v>231</v>
      </c>
      <c r="D74" s="10" t="s">
        <v>25</v>
      </c>
      <c r="E74" s="9"/>
    </row>
    <row r="75" customFormat="false" ht="15" hidden="false" customHeight="false" outlineLevel="0" collapsed="false">
      <c r="A75" s="9" t="s">
        <v>215</v>
      </c>
      <c r="B75" s="10" t="s">
        <v>232</v>
      </c>
      <c r="C75" s="9" t="s">
        <v>233</v>
      </c>
      <c r="D75" s="10" t="s">
        <v>26</v>
      </c>
      <c r="E75" s="9"/>
    </row>
    <row r="76" customFormat="false" ht="15" hidden="false" customHeight="false" outlineLevel="0" collapsed="false">
      <c r="A76" s="9" t="s">
        <v>215</v>
      </c>
      <c r="B76" s="10" t="s">
        <v>234</v>
      </c>
      <c r="C76" s="9" t="s">
        <v>235</v>
      </c>
      <c r="D76" s="10" t="s">
        <v>24</v>
      </c>
      <c r="E76" s="9"/>
    </row>
    <row r="77" customFormat="false" ht="15" hidden="false" customHeight="false" outlineLevel="0" collapsed="false">
      <c r="A77" s="9" t="s">
        <v>215</v>
      </c>
      <c r="B77" s="10" t="s">
        <v>236</v>
      </c>
      <c r="C77" s="9" t="s">
        <v>237</v>
      </c>
      <c r="D77" s="10" t="s">
        <v>25</v>
      </c>
      <c r="E77" s="10" t="s">
        <v>193</v>
      </c>
    </row>
    <row r="78" customFormat="false" ht="15" hidden="false" customHeight="false" outlineLevel="0" collapsed="false">
      <c r="A78" s="9" t="s">
        <v>215</v>
      </c>
      <c r="B78" s="10" t="s">
        <v>238</v>
      </c>
      <c r="C78" s="9" t="s">
        <v>239</v>
      </c>
      <c r="D78" s="10" t="s">
        <v>24</v>
      </c>
      <c r="E78" s="9" t="s">
        <v>240</v>
      </c>
    </row>
    <row r="79" customFormat="false" ht="15" hidden="false" customHeight="false" outlineLevel="0" collapsed="false">
      <c r="A79" s="9" t="s">
        <v>215</v>
      </c>
      <c r="B79" s="10" t="s">
        <v>241</v>
      </c>
      <c r="C79" s="9" t="s">
        <v>242</v>
      </c>
      <c r="D79" s="10" t="s">
        <v>25</v>
      </c>
      <c r="E79" s="10" t="s">
        <v>193</v>
      </c>
    </row>
    <row r="80" customFormat="false" ht="15" hidden="false" customHeight="false" outlineLevel="0" collapsed="false">
      <c r="A80" s="9" t="s">
        <v>215</v>
      </c>
      <c r="B80" s="10" t="s">
        <v>243</v>
      </c>
      <c r="C80" s="9" t="s">
        <v>244</v>
      </c>
      <c r="D80" s="10" t="s">
        <v>26</v>
      </c>
      <c r="E80" s="9"/>
    </row>
    <row r="81" customFormat="false" ht="15" hidden="false" customHeight="false" outlineLevel="0" collapsed="false">
      <c r="A81" s="9" t="s">
        <v>215</v>
      </c>
      <c r="B81" s="10" t="s">
        <v>245</v>
      </c>
      <c r="C81" s="9" t="s">
        <v>246</v>
      </c>
      <c r="D81" s="10" t="s">
        <v>26</v>
      </c>
      <c r="E81" s="9"/>
    </row>
    <row r="82" customFormat="false" ht="15" hidden="false" customHeight="false" outlineLevel="0" collapsed="false">
      <c r="A82" s="9" t="s">
        <v>215</v>
      </c>
      <c r="B82" s="10" t="s">
        <v>247</v>
      </c>
      <c r="C82" s="9" t="s">
        <v>248</v>
      </c>
      <c r="D82" s="10" t="s">
        <v>24</v>
      </c>
      <c r="E82" s="9"/>
    </row>
    <row r="83" customFormat="false" ht="15" hidden="false" customHeight="false" outlineLevel="0" collapsed="false">
      <c r="A83" s="9" t="s">
        <v>215</v>
      </c>
      <c r="B83" s="10" t="s">
        <v>249</v>
      </c>
      <c r="C83" s="9" t="s">
        <v>250</v>
      </c>
      <c r="D83" s="10" t="s">
        <v>24</v>
      </c>
      <c r="E83" s="9"/>
    </row>
    <row r="84" customFormat="false" ht="15" hidden="false" customHeight="false" outlineLevel="0" collapsed="false">
      <c r="A84" s="9" t="s">
        <v>251</v>
      </c>
      <c r="B84" s="10" t="s">
        <v>252</v>
      </c>
      <c r="C84" s="9" t="s">
        <v>253</v>
      </c>
      <c r="D84" s="10" t="s">
        <v>25</v>
      </c>
      <c r="E84" s="9" t="s">
        <v>254</v>
      </c>
    </row>
    <row r="85" customFormat="false" ht="15" hidden="false" customHeight="false" outlineLevel="0" collapsed="false">
      <c r="A85" s="9" t="s">
        <v>251</v>
      </c>
      <c r="B85" s="10" t="s">
        <v>255</v>
      </c>
      <c r="C85" s="9" t="s">
        <v>256</v>
      </c>
      <c r="D85" s="10" t="s">
        <v>25</v>
      </c>
      <c r="E85" s="9"/>
    </row>
    <row r="86" customFormat="false" ht="15" hidden="false" customHeight="false" outlineLevel="0" collapsed="false">
      <c r="A86" s="9" t="s">
        <v>251</v>
      </c>
      <c r="B86" s="10" t="s">
        <v>257</v>
      </c>
      <c r="C86" s="9" t="s">
        <v>258</v>
      </c>
      <c r="D86" s="10" t="s">
        <v>25</v>
      </c>
      <c r="E86" s="9" t="s">
        <v>259</v>
      </c>
    </row>
    <row r="87" customFormat="false" ht="15" hidden="false" customHeight="false" outlineLevel="0" collapsed="false">
      <c r="A87" s="9" t="s">
        <v>251</v>
      </c>
      <c r="B87" s="10" t="s">
        <v>260</v>
      </c>
      <c r="C87" s="9" t="s">
        <v>261</v>
      </c>
      <c r="D87" s="10" t="s">
        <v>24</v>
      </c>
      <c r="E87" s="9" t="s">
        <v>262</v>
      </c>
    </row>
    <row r="88" customFormat="false" ht="15" hidden="false" customHeight="false" outlineLevel="0" collapsed="false">
      <c r="A88" s="9" t="s">
        <v>251</v>
      </c>
      <c r="B88" s="10" t="s">
        <v>263</v>
      </c>
      <c r="C88" s="9" t="s">
        <v>264</v>
      </c>
      <c r="D88" s="10" t="s">
        <v>26</v>
      </c>
      <c r="E88" s="9"/>
    </row>
    <row r="89" customFormat="false" ht="15" hidden="false" customHeight="false" outlineLevel="0" collapsed="false">
      <c r="A89" s="9" t="s">
        <v>265</v>
      </c>
      <c r="B89" s="10" t="s">
        <v>266</v>
      </c>
      <c r="C89" s="9" t="s">
        <v>267</v>
      </c>
      <c r="D89" s="10" t="s">
        <v>26</v>
      </c>
      <c r="E89" s="9"/>
    </row>
    <row r="90" customFormat="false" ht="15" hidden="false" customHeight="false" outlineLevel="0" collapsed="false">
      <c r="A90" s="9" t="s">
        <v>265</v>
      </c>
      <c r="B90" s="10" t="s">
        <v>268</v>
      </c>
      <c r="C90" s="9" t="s">
        <v>269</v>
      </c>
      <c r="D90" s="10" t="s">
        <v>26</v>
      </c>
      <c r="E90" s="9"/>
    </row>
    <row r="91" customFormat="false" ht="15" hidden="false" customHeight="false" outlineLevel="0" collapsed="false">
      <c r="A91" s="9" t="s">
        <v>265</v>
      </c>
      <c r="B91" s="10" t="s">
        <v>270</v>
      </c>
      <c r="C91" s="9" t="s">
        <v>271</v>
      </c>
      <c r="D91" s="10" t="s">
        <v>25</v>
      </c>
      <c r="E91" s="9"/>
    </row>
    <row r="92" customFormat="false" ht="15" hidden="false" customHeight="false" outlineLevel="0" collapsed="false">
      <c r="A92" s="9" t="s">
        <v>265</v>
      </c>
      <c r="B92" s="10" t="s">
        <v>272</v>
      </c>
      <c r="C92" s="9" t="s">
        <v>273</v>
      </c>
      <c r="D92" s="10" t="s">
        <v>25</v>
      </c>
      <c r="E92" s="9" t="s">
        <v>274</v>
      </c>
    </row>
    <row r="93" customFormat="false" ht="15" hidden="false" customHeight="false" outlineLevel="0" collapsed="false">
      <c r="A93" s="9" t="s">
        <v>265</v>
      </c>
      <c r="B93" s="10" t="s">
        <v>275</v>
      </c>
      <c r="C93" s="9" t="s">
        <v>276</v>
      </c>
      <c r="D93" s="10" t="s">
        <v>26</v>
      </c>
      <c r="E93" s="10" t="s">
        <v>193</v>
      </c>
    </row>
    <row r="94" customFormat="false" ht="26.85" hidden="false" customHeight="false" outlineLevel="0" collapsed="false">
      <c r="A94" s="9" t="s">
        <v>265</v>
      </c>
      <c r="B94" s="10" t="s">
        <v>277</v>
      </c>
      <c r="C94" s="9" t="s">
        <v>278</v>
      </c>
      <c r="D94" s="10" t="s">
        <v>25</v>
      </c>
      <c r="E94" s="9" t="s">
        <v>279</v>
      </c>
    </row>
    <row r="95" customFormat="false" ht="15" hidden="false" customHeight="false" outlineLevel="0" collapsed="false">
      <c r="A95" s="9" t="s">
        <v>265</v>
      </c>
      <c r="B95" s="10" t="s">
        <v>280</v>
      </c>
      <c r="C95" s="9" t="s">
        <v>281</v>
      </c>
      <c r="D95" s="10" t="s">
        <v>24</v>
      </c>
      <c r="E95" s="10" t="s">
        <v>193</v>
      </c>
    </row>
    <row r="96" customFormat="false" ht="15" hidden="false" customHeight="false" outlineLevel="0" collapsed="false">
      <c r="A96" s="9" t="s">
        <v>282</v>
      </c>
      <c r="B96" s="10" t="s">
        <v>283</v>
      </c>
      <c r="C96" s="9" t="s">
        <v>284</v>
      </c>
      <c r="D96" s="10" t="s">
        <v>28</v>
      </c>
      <c r="E96" s="9" t="s">
        <v>285</v>
      </c>
    </row>
    <row r="97" customFormat="false" ht="15" hidden="false" customHeight="false" outlineLevel="0" collapsed="false">
      <c r="A97" s="9" t="s">
        <v>282</v>
      </c>
      <c r="B97" s="10" t="s">
        <v>286</v>
      </c>
      <c r="C97" s="9" t="s">
        <v>287</v>
      </c>
      <c r="D97" s="10" t="s">
        <v>26</v>
      </c>
      <c r="E97" s="9"/>
    </row>
    <row r="98" customFormat="false" ht="15" hidden="false" customHeight="false" outlineLevel="0" collapsed="false">
      <c r="A98" s="9" t="s">
        <v>282</v>
      </c>
      <c r="B98" s="10" t="s">
        <v>288</v>
      </c>
      <c r="C98" s="9" t="s">
        <v>289</v>
      </c>
      <c r="D98" s="10" t="s">
        <v>26</v>
      </c>
      <c r="E98" s="10" t="s">
        <v>193</v>
      </c>
    </row>
    <row r="99" customFormat="false" ht="15" hidden="false" customHeight="false" outlineLevel="0" collapsed="false">
      <c r="A99" s="9" t="s">
        <v>282</v>
      </c>
      <c r="B99" s="10" t="s">
        <v>290</v>
      </c>
      <c r="C99" s="9" t="s">
        <v>291</v>
      </c>
      <c r="D99" s="10" t="s">
        <v>26</v>
      </c>
      <c r="E99" s="10" t="s">
        <v>193</v>
      </c>
    </row>
    <row r="100" customFormat="false" ht="15" hidden="false" customHeight="false" outlineLevel="0" collapsed="false">
      <c r="A100" s="9" t="s">
        <v>292</v>
      </c>
      <c r="B100" s="10" t="s">
        <v>293</v>
      </c>
      <c r="C100" s="9" t="s">
        <v>294</v>
      </c>
      <c r="D100" s="10" t="s">
        <v>26</v>
      </c>
      <c r="E100" s="10" t="s">
        <v>295</v>
      </c>
    </row>
    <row r="101" customFormat="false" ht="15" hidden="false" customHeight="false" outlineLevel="0" collapsed="false">
      <c r="A101" s="9" t="s">
        <v>292</v>
      </c>
      <c r="B101" s="10" t="s">
        <v>296</v>
      </c>
      <c r="C101" s="9" t="s">
        <v>297</v>
      </c>
      <c r="D101" s="10" t="s">
        <v>26</v>
      </c>
      <c r="E101" s="10" t="s">
        <v>193</v>
      </c>
    </row>
  </sheetData>
  <autoFilter ref="A2:E101"/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10"/>
  </cols>
  <sheetData>
    <row r="1" customFormat="false" ht="15" hidden="false" customHeight="false" outlineLevel="0" collapsed="false">
      <c r="A1" s="8" t="s">
        <v>298</v>
      </c>
      <c r="B1" s="8" t="s">
        <v>299</v>
      </c>
    </row>
    <row r="2" customFormat="false" ht="15" hidden="false" customHeight="false" outlineLevel="0" collapsed="false">
      <c r="A2" s="9" t="s">
        <v>300</v>
      </c>
      <c r="B2" s="9" t="s">
        <v>301</v>
      </c>
    </row>
    <row r="3" customFormat="false" ht="15" hidden="false" customHeight="false" outlineLevel="0" collapsed="false">
      <c r="A3" s="9" t="s">
        <v>302</v>
      </c>
      <c r="B3" s="10" t="s">
        <v>303</v>
      </c>
    </row>
    <row r="4" customFormat="false" ht="15" hidden="false" customHeight="false" outlineLevel="0" collapsed="false">
      <c r="A4" s="9" t="s">
        <v>215</v>
      </c>
      <c r="B4" s="9" t="s">
        <v>304</v>
      </c>
    </row>
    <row r="5" customFormat="false" ht="15" hidden="false" customHeight="false" outlineLevel="0" collapsed="false">
      <c r="A5" s="10" t="s">
        <v>305</v>
      </c>
      <c r="B5" s="9" t="s">
        <v>306</v>
      </c>
    </row>
    <row r="6" customFormat="false" ht="15" hidden="false" customHeight="false" outlineLevel="0" collapsed="false">
      <c r="A6" s="9" t="s">
        <v>307</v>
      </c>
      <c r="B6" s="9" t="s">
        <v>308</v>
      </c>
    </row>
    <row r="7" customFormat="false" ht="15" hidden="false" customHeight="false" outlineLevel="0" collapsed="false">
      <c r="A7" s="9" t="s">
        <v>309</v>
      </c>
      <c r="B7" s="9" t="s">
        <v>310</v>
      </c>
    </row>
    <row r="8" customFormat="false" ht="26.85" hidden="false" customHeight="false" outlineLevel="0" collapsed="false">
      <c r="A8" s="9" t="s">
        <v>311</v>
      </c>
      <c r="B8" s="9" t="s">
        <v>312</v>
      </c>
    </row>
    <row r="9" customFormat="false" ht="15" hidden="false" customHeight="false" outlineLevel="0" collapsed="false">
      <c r="A9" s="9" t="s">
        <v>313</v>
      </c>
      <c r="B9" s="9" t="s">
        <v>314</v>
      </c>
    </row>
    <row r="10" customFormat="false" ht="15" hidden="false" customHeight="false" outlineLevel="0" collapsed="false">
      <c r="A10" s="9" t="s">
        <v>315</v>
      </c>
      <c r="B10" s="9" t="s">
        <v>316</v>
      </c>
    </row>
    <row r="11" customFormat="false" ht="26.85" hidden="false" customHeight="false" outlineLevel="0" collapsed="false">
      <c r="A11" s="9" t="s">
        <v>317</v>
      </c>
      <c r="B11" s="9" t="s">
        <v>318</v>
      </c>
    </row>
    <row r="12" customFormat="false" ht="15" hidden="false" customHeight="false" outlineLevel="0" collapsed="false">
      <c r="A12" s="9" t="s">
        <v>319</v>
      </c>
      <c r="B12" s="9" t="s">
        <v>320</v>
      </c>
    </row>
  </sheetData>
  <autoFilter ref="A1:B1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12"/>
    <col collapsed="false" customWidth="true" hidden="false" outlineLevel="0" max="4" min="4" style="0" width="48"/>
    <col collapsed="false" customWidth="true" hidden="false" outlineLevel="0" max="5" min="5" style="0" width="7"/>
    <col collapsed="false" customWidth="true" hidden="false" outlineLevel="0" max="6" min="6" style="0" width="16"/>
    <col collapsed="false" customWidth="true" hidden="false" outlineLevel="0" max="7" min="7" style="0" width="40"/>
  </cols>
  <sheetData>
    <row r="1" customFormat="false" ht="30" hidden="false" customHeight="true" outlineLevel="0" collapsed="false">
      <c r="A1" s="7" t="s">
        <v>321</v>
      </c>
      <c r="B1" s="7"/>
      <c r="C1" s="7"/>
      <c r="D1" s="7"/>
      <c r="E1" s="7"/>
      <c r="F1" s="7"/>
      <c r="G1" s="7"/>
    </row>
    <row r="2" customFormat="false" ht="28.35" hidden="false" customHeight="false" outlineLevel="0" collapsed="false">
      <c r="A2" s="8" t="s">
        <v>322</v>
      </c>
      <c r="B2" s="8" t="s">
        <v>323</v>
      </c>
      <c r="C2" s="8" t="s">
        <v>324</v>
      </c>
      <c r="D2" s="8" t="s">
        <v>50</v>
      </c>
      <c r="E2" s="8" t="s">
        <v>51</v>
      </c>
      <c r="F2" s="8" t="s">
        <v>48</v>
      </c>
      <c r="G2" s="8" t="s">
        <v>325</v>
      </c>
    </row>
    <row r="3" customFormat="false" ht="26.85" hidden="false" customHeight="false" outlineLevel="0" collapsed="false">
      <c r="A3" s="9" t="n">
        <v>1</v>
      </c>
      <c r="B3" s="9" t="s">
        <v>326</v>
      </c>
      <c r="C3" s="10" t="s">
        <v>327</v>
      </c>
      <c r="D3" s="9" t="s">
        <v>326</v>
      </c>
      <c r="E3" s="10" t="s">
        <v>30</v>
      </c>
      <c r="F3" s="9" t="s">
        <v>328</v>
      </c>
      <c r="G3" s="9" t="s">
        <v>329</v>
      </c>
    </row>
    <row r="4" customFormat="false" ht="26.85" hidden="false" customHeight="false" outlineLevel="0" collapsed="false">
      <c r="A4" s="9" t="n">
        <v>2</v>
      </c>
      <c r="B4" s="9" t="s">
        <v>330</v>
      </c>
      <c r="C4" s="10" t="s">
        <v>331</v>
      </c>
      <c r="D4" s="9" t="s">
        <v>330</v>
      </c>
      <c r="E4" s="10" t="s">
        <v>30</v>
      </c>
      <c r="F4" s="9" t="s">
        <v>328</v>
      </c>
      <c r="G4" s="9" t="s">
        <v>332</v>
      </c>
    </row>
    <row r="5" customFormat="false" ht="15" hidden="false" customHeight="false" outlineLevel="0" collapsed="false">
      <c r="A5" s="9" t="n">
        <v>3</v>
      </c>
      <c r="B5" s="9" t="s">
        <v>333</v>
      </c>
      <c r="C5" s="10" t="s">
        <v>334</v>
      </c>
      <c r="D5" s="9" t="s">
        <v>333</v>
      </c>
      <c r="E5" s="10" t="s">
        <v>30</v>
      </c>
      <c r="F5" s="9" t="s">
        <v>328</v>
      </c>
      <c r="G5" s="9" t="s">
        <v>335</v>
      </c>
    </row>
    <row r="6" customFormat="false" ht="15" hidden="false" customHeight="false" outlineLevel="0" collapsed="false">
      <c r="A6" s="9" t="n">
        <v>4</v>
      </c>
      <c r="B6" s="9" t="s">
        <v>336</v>
      </c>
      <c r="C6" s="10" t="s">
        <v>337</v>
      </c>
      <c r="D6" s="9" t="s">
        <v>336</v>
      </c>
      <c r="E6" s="10" t="s">
        <v>30</v>
      </c>
      <c r="F6" s="9" t="s">
        <v>328</v>
      </c>
      <c r="G6" s="9" t="s">
        <v>338</v>
      </c>
    </row>
    <row r="7" customFormat="false" ht="15" hidden="false" customHeight="false" outlineLevel="0" collapsed="false">
      <c r="A7" s="9" t="n">
        <v>5</v>
      </c>
      <c r="B7" s="9" t="s">
        <v>339</v>
      </c>
      <c r="C7" s="10" t="s">
        <v>340</v>
      </c>
      <c r="D7" s="9" t="s">
        <v>339</v>
      </c>
      <c r="E7" s="10" t="s">
        <v>30</v>
      </c>
      <c r="F7" s="9" t="s">
        <v>328</v>
      </c>
      <c r="G7" s="9" t="s">
        <v>341</v>
      </c>
    </row>
    <row r="8" customFormat="false" ht="15" hidden="false" customHeight="false" outlineLevel="0" collapsed="false">
      <c r="A8" s="9" t="n">
        <v>6</v>
      </c>
      <c r="B8" s="9" t="s">
        <v>342</v>
      </c>
      <c r="C8" s="10" t="s">
        <v>343</v>
      </c>
      <c r="D8" s="9" t="s">
        <v>344</v>
      </c>
      <c r="E8" s="10" t="s">
        <v>30</v>
      </c>
      <c r="F8" s="9" t="s">
        <v>328</v>
      </c>
      <c r="G8" s="9"/>
    </row>
    <row r="9" customFormat="false" ht="15" hidden="false" customHeight="false" outlineLevel="0" collapsed="false">
      <c r="A9" s="9" t="n">
        <v>6</v>
      </c>
      <c r="B9" s="9" t="s">
        <v>342</v>
      </c>
      <c r="C9" s="10" t="s">
        <v>345</v>
      </c>
      <c r="D9" s="9" t="s">
        <v>346</v>
      </c>
      <c r="E9" s="10" t="s">
        <v>30</v>
      </c>
      <c r="F9" s="9" t="s">
        <v>328</v>
      </c>
      <c r="G9" s="9"/>
    </row>
    <row r="10" customFormat="false" ht="26.85" hidden="false" customHeight="false" outlineLevel="0" collapsed="false">
      <c r="A10" s="9" t="n">
        <v>7</v>
      </c>
      <c r="B10" s="9" t="s">
        <v>347</v>
      </c>
      <c r="C10" s="10" t="s">
        <v>348</v>
      </c>
      <c r="D10" s="9" t="s">
        <v>347</v>
      </c>
      <c r="E10" s="10" t="s">
        <v>30</v>
      </c>
      <c r="F10" s="9" t="s">
        <v>328</v>
      </c>
      <c r="G10" s="9" t="s">
        <v>349</v>
      </c>
    </row>
    <row r="11" customFormat="false" ht="26.85" hidden="false" customHeight="false" outlineLevel="0" collapsed="false">
      <c r="A11" s="9" t="n">
        <v>8</v>
      </c>
      <c r="B11" s="9" t="s">
        <v>350</v>
      </c>
      <c r="C11" s="10" t="s">
        <v>351</v>
      </c>
      <c r="D11" s="9" t="s">
        <v>350</v>
      </c>
      <c r="E11" s="10" t="s">
        <v>28</v>
      </c>
      <c r="F11" s="9" t="s">
        <v>328</v>
      </c>
      <c r="G11" s="9" t="s">
        <v>352</v>
      </c>
    </row>
    <row r="12" customFormat="false" ht="26.85" hidden="false" customHeight="false" outlineLevel="0" collapsed="false">
      <c r="A12" s="9" t="n">
        <v>9</v>
      </c>
      <c r="B12" s="9" t="s">
        <v>353</v>
      </c>
      <c r="C12" s="10" t="s">
        <v>354</v>
      </c>
      <c r="D12" s="9" t="s">
        <v>355</v>
      </c>
      <c r="E12" s="10" t="s">
        <v>24</v>
      </c>
      <c r="F12" s="9" t="s">
        <v>328</v>
      </c>
      <c r="G12" s="9"/>
    </row>
    <row r="13" customFormat="false" ht="26.85" hidden="false" customHeight="false" outlineLevel="0" collapsed="false">
      <c r="A13" s="9" t="n">
        <v>9</v>
      </c>
      <c r="B13" s="9" t="s">
        <v>353</v>
      </c>
      <c r="C13" s="10" t="s">
        <v>356</v>
      </c>
      <c r="D13" s="9" t="s">
        <v>357</v>
      </c>
      <c r="E13" s="10" t="s">
        <v>24</v>
      </c>
      <c r="F13" s="9" t="s">
        <v>328</v>
      </c>
      <c r="G13" s="9"/>
    </row>
    <row r="14" customFormat="false" ht="26.85" hidden="false" customHeight="false" outlineLevel="0" collapsed="false">
      <c r="A14" s="9" t="n">
        <v>9</v>
      </c>
      <c r="B14" s="9" t="s">
        <v>353</v>
      </c>
      <c r="C14" s="10" t="s">
        <v>358</v>
      </c>
      <c r="D14" s="9" t="s">
        <v>359</v>
      </c>
      <c r="E14" s="10" t="s">
        <v>24</v>
      </c>
      <c r="F14" s="9" t="s">
        <v>328</v>
      </c>
      <c r="G14" s="9"/>
    </row>
    <row r="15" customFormat="false" ht="26.85" hidden="false" customHeight="false" outlineLevel="0" collapsed="false">
      <c r="A15" s="9" t="n">
        <v>9</v>
      </c>
      <c r="B15" s="9" t="s">
        <v>353</v>
      </c>
      <c r="C15" s="10" t="s">
        <v>360</v>
      </c>
      <c r="D15" s="9" t="s">
        <v>361</v>
      </c>
      <c r="E15" s="10" t="s">
        <v>24</v>
      </c>
      <c r="F15" s="9" t="s">
        <v>328</v>
      </c>
      <c r="G15" s="9"/>
    </row>
    <row r="16" customFormat="false" ht="26.85" hidden="false" customHeight="false" outlineLevel="0" collapsed="false">
      <c r="A16" s="9" t="n">
        <v>9</v>
      </c>
      <c r="B16" s="9" t="s">
        <v>353</v>
      </c>
      <c r="C16" s="10" t="s">
        <v>362</v>
      </c>
      <c r="D16" s="9" t="s">
        <v>363</v>
      </c>
      <c r="E16" s="10" t="s">
        <v>24</v>
      </c>
      <c r="F16" s="9" t="s">
        <v>328</v>
      </c>
      <c r="G16" s="9"/>
    </row>
    <row r="17" customFormat="false" ht="15" hidden="false" customHeight="false" outlineLevel="0" collapsed="false">
      <c r="A17" s="9" t="n">
        <v>9</v>
      </c>
      <c r="B17" s="9" t="s">
        <v>353</v>
      </c>
      <c r="C17" s="10" t="s">
        <v>364</v>
      </c>
      <c r="D17" s="9" t="s">
        <v>365</v>
      </c>
      <c r="E17" s="10" t="s">
        <v>24</v>
      </c>
      <c r="F17" s="9" t="s">
        <v>328</v>
      </c>
      <c r="G17" s="9"/>
    </row>
    <row r="18" customFormat="false" ht="15" hidden="false" customHeight="false" outlineLevel="0" collapsed="false">
      <c r="A18" s="9" t="n">
        <v>10</v>
      </c>
      <c r="B18" s="9" t="s">
        <v>366</v>
      </c>
      <c r="C18" s="10" t="s">
        <v>367</v>
      </c>
      <c r="D18" s="9" t="s">
        <v>366</v>
      </c>
      <c r="E18" s="10" t="s">
        <v>30</v>
      </c>
      <c r="F18" s="9" t="s">
        <v>328</v>
      </c>
      <c r="G18" s="9" t="s">
        <v>368</v>
      </c>
    </row>
    <row r="19" customFormat="false" ht="15" hidden="false" customHeight="false" outlineLevel="0" collapsed="false">
      <c r="A19" s="9" t="n">
        <v>11</v>
      </c>
      <c r="B19" s="9" t="s">
        <v>369</v>
      </c>
      <c r="C19" s="10" t="s">
        <v>370</v>
      </c>
      <c r="D19" s="9" t="s">
        <v>371</v>
      </c>
      <c r="E19" s="10" t="s">
        <v>30</v>
      </c>
      <c r="F19" s="9" t="s">
        <v>372</v>
      </c>
      <c r="G19" s="9"/>
    </row>
    <row r="20" customFormat="false" ht="15" hidden="false" customHeight="false" outlineLevel="0" collapsed="false">
      <c r="A20" s="9" t="n">
        <v>11</v>
      </c>
      <c r="B20" s="9" t="s">
        <v>369</v>
      </c>
      <c r="C20" s="10" t="s">
        <v>373</v>
      </c>
      <c r="D20" s="9" t="s">
        <v>374</v>
      </c>
      <c r="E20" s="10" t="s">
        <v>30</v>
      </c>
      <c r="F20" s="9" t="s">
        <v>372</v>
      </c>
      <c r="G20" s="9"/>
    </row>
    <row r="21" customFormat="false" ht="15" hidden="false" customHeight="false" outlineLevel="0" collapsed="false">
      <c r="A21" s="9" t="n">
        <v>11</v>
      </c>
      <c r="B21" s="9" t="s">
        <v>369</v>
      </c>
      <c r="C21" s="10" t="s">
        <v>375</v>
      </c>
      <c r="D21" s="9" t="s">
        <v>376</v>
      </c>
      <c r="E21" s="10" t="s">
        <v>30</v>
      </c>
      <c r="F21" s="9" t="s">
        <v>372</v>
      </c>
      <c r="G21" s="9"/>
    </row>
    <row r="22" customFormat="false" ht="15" hidden="false" customHeight="false" outlineLevel="0" collapsed="false">
      <c r="A22" s="9" t="n">
        <v>11</v>
      </c>
      <c r="B22" s="9" t="s">
        <v>369</v>
      </c>
      <c r="C22" s="10" t="s">
        <v>377</v>
      </c>
      <c r="D22" s="9" t="s">
        <v>378</v>
      </c>
      <c r="E22" s="10" t="s">
        <v>30</v>
      </c>
      <c r="F22" s="9" t="s">
        <v>372</v>
      </c>
      <c r="G22" s="9"/>
    </row>
    <row r="23" customFormat="false" ht="15" hidden="false" customHeight="false" outlineLevel="0" collapsed="false">
      <c r="A23" s="9" t="n">
        <v>11</v>
      </c>
      <c r="B23" s="9" t="s">
        <v>369</v>
      </c>
      <c r="C23" s="10" t="s">
        <v>379</v>
      </c>
      <c r="D23" s="9" t="s">
        <v>380</v>
      </c>
      <c r="E23" s="10" t="s">
        <v>28</v>
      </c>
      <c r="F23" s="9" t="s">
        <v>372</v>
      </c>
      <c r="G23" s="9"/>
    </row>
    <row r="24" customFormat="false" ht="15" hidden="false" customHeight="false" outlineLevel="0" collapsed="false">
      <c r="A24" s="9" t="n">
        <v>11</v>
      </c>
      <c r="B24" s="9" t="s">
        <v>369</v>
      </c>
      <c r="C24" s="10" t="s">
        <v>381</v>
      </c>
      <c r="D24" s="9" t="s">
        <v>382</v>
      </c>
      <c r="E24" s="10" t="s">
        <v>28</v>
      </c>
      <c r="F24" s="9" t="s">
        <v>372</v>
      </c>
      <c r="G24" s="9"/>
    </row>
    <row r="25" customFormat="false" ht="15" hidden="false" customHeight="false" outlineLevel="0" collapsed="false">
      <c r="A25" s="9" t="n">
        <v>11</v>
      </c>
      <c r="B25" s="9" t="s">
        <v>369</v>
      </c>
      <c r="C25" s="10" t="s">
        <v>383</v>
      </c>
      <c r="D25" s="9" t="s">
        <v>384</v>
      </c>
      <c r="E25" s="10" t="s">
        <v>30</v>
      </c>
      <c r="F25" s="9" t="s">
        <v>372</v>
      </c>
      <c r="G25" s="9"/>
    </row>
    <row r="26" customFormat="false" ht="15" hidden="false" customHeight="false" outlineLevel="0" collapsed="false">
      <c r="A26" s="9" t="n">
        <v>11</v>
      </c>
      <c r="B26" s="9" t="s">
        <v>369</v>
      </c>
      <c r="C26" s="10" t="s">
        <v>385</v>
      </c>
      <c r="D26" s="9" t="s">
        <v>386</v>
      </c>
      <c r="E26" s="10" t="s">
        <v>28</v>
      </c>
      <c r="F26" s="9" t="s">
        <v>372</v>
      </c>
      <c r="G26" s="9"/>
    </row>
    <row r="27" customFormat="false" ht="15" hidden="false" customHeight="false" outlineLevel="0" collapsed="false">
      <c r="A27" s="9" t="n">
        <v>12</v>
      </c>
      <c r="B27" s="9" t="s">
        <v>387</v>
      </c>
      <c r="C27" s="10" t="s">
        <v>388</v>
      </c>
      <c r="D27" s="9" t="s">
        <v>389</v>
      </c>
      <c r="E27" s="10" t="s">
        <v>30</v>
      </c>
      <c r="F27" s="9" t="s">
        <v>372</v>
      </c>
      <c r="G27" s="9"/>
    </row>
    <row r="28" customFormat="false" ht="15" hidden="false" customHeight="false" outlineLevel="0" collapsed="false">
      <c r="A28" s="9" t="n">
        <v>12</v>
      </c>
      <c r="B28" s="9" t="s">
        <v>387</v>
      </c>
      <c r="C28" s="10" t="s">
        <v>390</v>
      </c>
      <c r="D28" s="9" t="s">
        <v>391</v>
      </c>
      <c r="E28" s="10" t="s">
        <v>30</v>
      </c>
      <c r="F28" s="9" t="s">
        <v>372</v>
      </c>
      <c r="G28" s="9"/>
    </row>
    <row r="29" customFormat="false" ht="15" hidden="false" customHeight="false" outlineLevel="0" collapsed="false">
      <c r="A29" s="9" t="n">
        <v>12</v>
      </c>
      <c r="B29" s="9" t="s">
        <v>387</v>
      </c>
      <c r="C29" s="10" t="s">
        <v>392</v>
      </c>
      <c r="D29" s="9" t="s">
        <v>393</v>
      </c>
      <c r="E29" s="10" t="s">
        <v>28</v>
      </c>
      <c r="F29" s="9" t="s">
        <v>372</v>
      </c>
      <c r="G29" s="9"/>
    </row>
    <row r="30" customFormat="false" ht="15" hidden="false" customHeight="false" outlineLevel="0" collapsed="false">
      <c r="A30" s="9" t="n">
        <v>12</v>
      </c>
      <c r="B30" s="9" t="s">
        <v>387</v>
      </c>
      <c r="C30" s="10" t="s">
        <v>394</v>
      </c>
      <c r="D30" s="9" t="s">
        <v>395</v>
      </c>
      <c r="E30" s="10" t="s">
        <v>28</v>
      </c>
      <c r="F30" s="9" t="s">
        <v>372</v>
      </c>
      <c r="G30" s="9"/>
    </row>
    <row r="31" customFormat="false" ht="15" hidden="false" customHeight="false" outlineLevel="0" collapsed="false">
      <c r="A31" s="9" t="n">
        <v>12</v>
      </c>
      <c r="B31" s="9" t="s">
        <v>387</v>
      </c>
      <c r="C31" s="10" t="s">
        <v>396</v>
      </c>
      <c r="D31" s="9" t="s">
        <v>397</v>
      </c>
      <c r="E31" s="10" t="s">
        <v>28</v>
      </c>
      <c r="F31" s="9" t="s">
        <v>372</v>
      </c>
      <c r="G31" s="9"/>
    </row>
    <row r="32" customFormat="false" ht="15" hidden="false" customHeight="false" outlineLevel="0" collapsed="false">
      <c r="A32" s="9" t="n">
        <v>12</v>
      </c>
      <c r="B32" s="9" t="s">
        <v>387</v>
      </c>
      <c r="C32" s="10" t="s">
        <v>398</v>
      </c>
      <c r="D32" s="9" t="s">
        <v>399</v>
      </c>
      <c r="E32" s="10" t="s">
        <v>28</v>
      </c>
      <c r="F32" s="9" t="s">
        <v>372</v>
      </c>
      <c r="G32" s="9"/>
    </row>
    <row r="33" customFormat="false" ht="15" hidden="false" customHeight="false" outlineLevel="0" collapsed="false">
      <c r="A33" s="9" t="n">
        <v>12</v>
      </c>
      <c r="B33" s="9" t="s">
        <v>387</v>
      </c>
      <c r="C33" s="10" t="s">
        <v>400</v>
      </c>
      <c r="D33" s="9" t="s">
        <v>401</v>
      </c>
      <c r="E33" s="10" t="s">
        <v>28</v>
      </c>
      <c r="F33" s="9" t="s">
        <v>372</v>
      </c>
      <c r="G33" s="9"/>
    </row>
    <row r="34" customFormat="false" ht="15" hidden="false" customHeight="false" outlineLevel="0" collapsed="false">
      <c r="A34" s="9" t="n">
        <v>13</v>
      </c>
      <c r="B34" s="9" t="s">
        <v>402</v>
      </c>
      <c r="C34" s="10" t="s">
        <v>403</v>
      </c>
      <c r="D34" s="9" t="s">
        <v>404</v>
      </c>
      <c r="E34" s="10" t="s">
        <v>30</v>
      </c>
      <c r="F34" s="9" t="s">
        <v>372</v>
      </c>
      <c r="G34" s="9"/>
    </row>
    <row r="35" customFormat="false" ht="15" hidden="false" customHeight="false" outlineLevel="0" collapsed="false">
      <c r="A35" s="9" t="n">
        <v>13</v>
      </c>
      <c r="B35" s="9" t="s">
        <v>402</v>
      </c>
      <c r="C35" s="10" t="s">
        <v>405</v>
      </c>
      <c r="D35" s="9" t="s">
        <v>406</v>
      </c>
      <c r="E35" s="10" t="s">
        <v>30</v>
      </c>
      <c r="F35" s="9" t="s">
        <v>372</v>
      </c>
      <c r="G35" s="9"/>
    </row>
    <row r="36" customFormat="false" ht="15" hidden="false" customHeight="false" outlineLevel="0" collapsed="false">
      <c r="A36" s="9" t="n">
        <v>13</v>
      </c>
      <c r="B36" s="9" t="s">
        <v>402</v>
      </c>
      <c r="C36" s="10" t="s">
        <v>407</v>
      </c>
      <c r="D36" s="9" t="s">
        <v>408</v>
      </c>
      <c r="E36" s="10" t="s">
        <v>30</v>
      </c>
      <c r="F36" s="9" t="s">
        <v>372</v>
      </c>
      <c r="G36" s="9"/>
    </row>
    <row r="37" customFormat="false" ht="15" hidden="false" customHeight="false" outlineLevel="0" collapsed="false">
      <c r="A37" s="9" t="n">
        <v>14</v>
      </c>
      <c r="B37" s="9" t="s">
        <v>409</v>
      </c>
      <c r="C37" s="10" t="s">
        <v>410</v>
      </c>
      <c r="D37" s="9" t="s">
        <v>411</v>
      </c>
      <c r="E37" s="10" t="s">
        <v>27</v>
      </c>
      <c r="F37" s="9" t="s">
        <v>372</v>
      </c>
      <c r="G37" s="9"/>
    </row>
    <row r="38" customFormat="false" ht="15" hidden="false" customHeight="false" outlineLevel="0" collapsed="false">
      <c r="A38" s="9" t="n">
        <v>14</v>
      </c>
      <c r="B38" s="9" t="s">
        <v>409</v>
      </c>
      <c r="C38" s="10" t="s">
        <v>412</v>
      </c>
      <c r="D38" s="9" t="s">
        <v>413</v>
      </c>
      <c r="E38" s="10" t="s">
        <v>27</v>
      </c>
      <c r="F38" s="9" t="s">
        <v>372</v>
      </c>
      <c r="G38" s="9"/>
    </row>
    <row r="39" customFormat="false" ht="15" hidden="false" customHeight="false" outlineLevel="0" collapsed="false">
      <c r="A39" s="9" t="n">
        <v>14</v>
      </c>
      <c r="B39" s="9" t="s">
        <v>409</v>
      </c>
      <c r="C39" s="10" t="s">
        <v>414</v>
      </c>
      <c r="D39" s="9" t="s">
        <v>415</v>
      </c>
      <c r="E39" s="10" t="s">
        <v>27</v>
      </c>
      <c r="F39" s="9" t="s">
        <v>372</v>
      </c>
      <c r="G39" s="9"/>
    </row>
    <row r="40" customFormat="false" ht="15" hidden="false" customHeight="false" outlineLevel="0" collapsed="false">
      <c r="A40" s="9" t="n">
        <v>15</v>
      </c>
      <c r="B40" s="9" t="s">
        <v>416</v>
      </c>
      <c r="C40" s="10" t="s">
        <v>417</v>
      </c>
      <c r="D40" s="9" t="s">
        <v>418</v>
      </c>
      <c r="E40" s="10" t="s">
        <v>30</v>
      </c>
      <c r="F40" s="9" t="s">
        <v>372</v>
      </c>
      <c r="G40" s="9" t="s">
        <v>419</v>
      </c>
    </row>
    <row r="41" customFormat="false" ht="15" hidden="false" customHeight="false" outlineLevel="0" collapsed="false">
      <c r="A41" s="9" t="n">
        <v>16</v>
      </c>
      <c r="B41" s="9" t="s">
        <v>420</v>
      </c>
      <c r="C41" s="10" t="s">
        <v>421</v>
      </c>
      <c r="D41" s="9" t="s">
        <v>422</v>
      </c>
      <c r="E41" s="10" t="s">
        <v>30</v>
      </c>
      <c r="F41" s="9" t="s">
        <v>372</v>
      </c>
      <c r="G41" s="9"/>
    </row>
    <row r="42" customFormat="false" ht="15" hidden="false" customHeight="false" outlineLevel="0" collapsed="false">
      <c r="A42" s="9" t="n">
        <v>16</v>
      </c>
      <c r="B42" s="9" t="s">
        <v>420</v>
      </c>
      <c r="C42" s="10" t="s">
        <v>423</v>
      </c>
      <c r="D42" s="9" t="s">
        <v>424</v>
      </c>
      <c r="E42" s="10" t="s">
        <v>30</v>
      </c>
      <c r="F42" s="9" t="s">
        <v>372</v>
      </c>
      <c r="G42" s="9"/>
    </row>
    <row r="43" customFormat="false" ht="15" hidden="false" customHeight="false" outlineLevel="0" collapsed="false">
      <c r="A43" s="9" t="n">
        <v>16</v>
      </c>
      <c r="B43" s="9" t="s">
        <v>420</v>
      </c>
      <c r="C43" s="10" t="s">
        <v>425</v>
      </c>
      <c r="D43" s="9" t="s">
        <v>426</v>
      </c>
      <c r="E43" s="10" t="s">
        <v>30</v>
      </c>
      <c r="F43" s="9" t="s">
        <v>372</v>
      </c>
      <c r="G43" s="9"/>
    </row>
    <row r="44" customFormat="false" ht="15" hidden="false" customHeight="false" outlineLevel="0" collapsed="false">
      <c r="A44" s="9" t="n">
        <v>16</v>
      </c>
      <c r="B44" s="9" t="s">
        <v>420</v>
      </c>
      <c r="C44" s="10" t="s">
        <v>427</v>
      </c>
      <c r="D44" s="9" t="s">
        <v>428</v>
      </c>
      <c r="E44" s="10" t="s">
        <v>30</v>
      </c>
      <c r="F44" s="9" t="s">
        <v>372</v>
      </c>
      <c r="G44" s="9"/>
    </row>
    <row r="45" customFormat="false" ht="15" hidden="false" customHeight="false" outlineLevel="0" collapsed="false">
      <c r="A45" s="9" t="n">
        <v>16</v>
      </c>
      <c r="B45" s="9" t="s">
        <v>420</v>
      </c>
      <c r="C45" s="10" t="s">
        <v>429</v>
      </c>
      <c r="D45" s="9" t="s">
        <v>430</v>
      </c>
      <c r="E45" s="10" t="s">
        <v>28</v>
      </c>
      <c r="F45" s="9" t="s">
        <v>372</v>
      </c>
      <c r="G45" s="9" t="s">
        <v>431</v>
      </c>
    </row>
    <row r="46" customFormat="false" ht="15" hidden="false" customHeight="false" outlineLevel="0" collapsed="false">
      <c r="A46" s="9" t="n">
        <v>16</v>
      </c>
      <c r="B46" s="9" t="s">
        <v>420</v>
      </c>
      <c r="C46" s="10" t="s">
        <v>432</v>
      </c>
      <c r="D46" s="9" t="s">
        <v>433</v>
      </c>
      <c r="E46" s="10" t="s">
        <v>30</v>
      </c>
      <c r="F46" s="9" t="s">
        <v>372</v>
      </c>
      <c r="G46" s="9"/>
    </row>
    <row r="47" customFormat="false" ht="15" hidden="false" customHeight="false" outlineLevel="0" collapsed="false">
      <c r="A47" s="9" t="n">
        <v>17</v>
      </c>
      <c r="B47" s="9" t="s">
        <v>434</v>
      </c>
      <c r="C47" s="10" t="s">
        <v>435</v>
      </c>
      <c r="D47" s="9" t="s">
        <v>436</v>
      </c>
      <c r="E47" s="10" t="s">
        <v>29</v>
      </c>
      <c r="F47" s="9" t="s">
        <v>372</v>
      </c>
      <c r="G47" s="9" t="s">
        <v>437</v>
      </c>
    </row>
    <row r="48" customFormat="false" ht="15" hidden="false" customHeight="false" outlineLevel="0" collapsed="false">
      <c r="A48" s="9" t="n">
        <v>18</v>
      </c>
      <c r="B48" s="9" t="s">
        <v>438</v>
      </c>
      <c r="C48" s="10" t="s">
        <v>439</v>
      </c>
      <c r="D48" s="9" t="s">
        <v>440</v>
      </c>
      <c r="E48" s="10" t="s">
        <v>29</v>
      </c>
      <c r="F48" s="9" t="s">
        <v>372</v>
      </c>
      <c r="G48" s="9"/>
    </row>
    <row r="49" customFormat="false" ht="15" hidden="false" customHeight="false" outlineLevel="0" collapsed="false">
      <c r="A49" s="9" t="n">
        <v>18</v>
      </c>
      <c r="B49" s="9" t="s">
        <v>438</v>
      </c>
      <c r="C49" s="10" t="s">
        <v>441</v>
      </c>
      <c r="D49" s="9" t="s">
        <v>442</v>
      </c>
      <c r="E49" s="10" t="s">
        <v>29</v>
      </c>
      <c r="F49" s="9" t="s">
        <v>372</v>
      </c>
      <c r="G49" s="9"/>
    </row>
    <row r="50" customFormat="false" ht="15" hidden="false" customHeight="false" outlineLevel="0" collapsed="false">
      <c r="A50" s="9" t="n">
        <v>19</v>
      </c>
      <c r="B50" s="9" t="s">
        <v>443</v>
      </c>
      <c r="C50" s="10" t="s">
        <v>444</v>
      </c>
      <c r="D50" s="9" t="s">
        <v>445</v>
      </c>
      <c r="E50" s="10" t="s">
        <v>28</v>
      </c>
      <c r="F50" s="9" t="s">
        <v>372</v>
      </c>
      <c r="G50" s="9"/>
    </row>
    <row r="51" customFormat="false" ht="15" hidden="false" customHeight="false" outlineLevel="0" collapsed="false">
      <c r="A51" s="9" t="n">
        <v>19</v>
      </c>
      <c r="B51" s="9" t="s">
        <v>443</v>
      </c>
      <c r="C51" s="10" t="s">
        <v>446</v>
      </c>
      <c r="D51" s="9" t="s">
        <v>447</v>
      </c>
      <c r="E51" s="10" t="s">
        <v>28</v>
      </c>
      <c r="F51" s="9" t="s">
        <v>372</v>
      </c>
      <c r="G51" s="9"/>
    </row>
    <row r="52" customFormat="false" ht="15" hidden="false" customHeight="false" outlineLevel="0" collapsed="false">
      <c r="A52" s="9" t="n">
        <v>19</v>
      </c>
      <c r="B52" s="9" t="s">
        <v>443</v>
      </c>
      <c r="C52" s="10" t="s">
        <v>448</v>
      </c>
      <c r="D52" s="9" t="s">
        <v>449</v>
      </c>
      <c r="E52" s="10" t="s">
        <v>28</v>
      </c>
      <c r="F52" s="9" t="s">
        <v>372</v>
      </c>
      <c r="G52" s="9"/>
    </row>
    <row r="53" customFormat="false" ht="15" hidden="false" customHeight="false" outlineLevel="0" collapsed="false">
      <c r="A53" s="9" t="n">
        <v>19</v>
      </c>
      <c r="B53" s="9" t="s">
        <v>443</v>
      </c>
      <c r="C53" s="10" t="s">
        <v>450</v>
      </c>
      <c r="D53" s="9" t="s">
        <v>451</v>
      </c>
      <c r="E53" s="10" t="s">
        <v>28</v>
      </c>
      <c r="F53" s="9" t="s">
        <v>372</v>
      </c>
      <c r="G53" s="9"/>
    </row>
    <row r="54" customFormat="false" ht="15" hidden="false" customHeight="false" outlineLevel="0" collapsed="false">
      <c r="A54" s="9" t="n">
        <v>19</v>
      </c>
      <c r="B54" s="9" t="s">
        <v>443</v>
      </c>
      <c r="C54" s="10" t="s">
        <v>452</v>
      </c>
      <c r="D54" s="9" t="s">
        <v>453</v>
      </c>
      <c r="E54" s="10" t="s">
        <v>28</v>
      </c>
      <c r="F54" s="9" t="s">
        <v>372</v>
      </c>
      <c r="G54" s="9"/>
    </row>
    <row r="55" customFormat="false" ht="15" hidden="false" customHeight="false" outlineLevel="0" collapsed="false">
      <c r="A55" s="9" t="n">
        <v>19</v>
      </c>
      <c r="B55" s="9" t="s">
        <v>443</v>
      </c>
      <c r="C55" s="10" t="s">
        <v>454</v>
      </c>
      <c r="D55" s="9" t="s">
        <v>455</v>
      </c>
      <c r="E55" s="10" t="s">
        <v>28</v>
      </c>
      <c r="F55" s="9" t="s">
        <v>372</v>
      </c>
      <c r="G55" s="9"/>
    </row>
    <row r="56" customFormat="false" ht="15" hidden="false" customHeight="false" outlineLevel="0" collapsed="false">
      <c r="A56" s="9" t="n">
        <v>20</v>
      </c>
      <c r="B56" s="9" t="s">
        <v>456</v>
      </c>
      <c r="C56" s="10" t="s">
        <v>457</v>
      </c>
      <c r="D56" s="9" t="s">
        <v>458</v>
      </c>
      <c r="E56" s="10" t="s">
        <v>28</v>
      </c>
      <c r="F56" s="9" t="s">
        <v>372</v>
      </c>
      <c r="G56" s="9" t="s">
        <v>459</v>
      </c>
    </row>
    <row r="57" customFormat="false" ht="15" hidden="false" customHeight="false" outlineLevel="0" collapsed="false">
      <c r="A57" s="9" t="n">
        <v>21</v>
      </c>
      <c r="B57" s="9" t="s">
        <v>460</v>
      </c>
      <c r="C57" s="10" t="s">
        <v>461</v>
      </c>
      <c r="D57" s="9" t="s">
        <v>462</v>
      </c>
      <c r="E57" s="10" t="s">
        <v>27</v>
      </c>
      <c r="F57" s="9" t="s">
        <v>372</v>
      </c>
      <c r="G57" s="9" t="s">
        <v>463</v>
      </c>
    </row>
    <row r="58" customFormat="false" ht="15" hidden="false" customHeight="false" outlineLevel="0" collapsed="false">
      <c r="A58" s="9" t="n">
        <v>22</v>
      </c>
      <c r="B58" s="9" t="s">
        <v>464</v>
      </c>
      <c r="C58" s="10" t="s">
        <v>465</v>
      </c>
      <c r="D58" s="9" t="s">
        <v>466</v>
      </c>
      <c r="E58" s="10" t="s">
        <v>29</v>
      </c>
      <c r="F58" s="9" t="s">
        <v>372</v>
      </c>
      <c r="G58" s="9"/>
    </row>
    <row r="59" customFormat="false" ht="15" hidden="false" customHeight="false" outlineLevel="0" collapsed="false">
      <c r="A59" s="9" t="n">
        <v>22</v>
      </c>
      <c r="B59" s="9" t="s">
        <v>464</v>
      </c>
      <c r="C59" s="10" t="s">
        <v>467</v>
      </c>
      <c r="D59" s="9" t="s">
        <v>468</v>
      </c>
      <c r="E59" s="10" t="s">
        <v>29</v>
      </c>
      <c r="F59" s="9" t="s">
        <v>372</v>
      </c>
      <c r="G59" s="9"/>
    </row>
    <row r="60" customFormat="false" ht="15" hidden="false" customHeight="false" outlineLevel="0" collapsed="false">
      <c r="A60" s="9" t="n">
        <v>22</v>
      </c>
      <c r="B60" s="9" t="s">
        <v>464</v>
      </c>
      <c r="C60" s="10" t="s">
        <v>469</v>
      </c>
      <c r="D60" s="9" t="s">
        <v>470</v>
      </c>
      <c r="E60" s="10" t="s">
        <v>29</v>
      </c>
      <c r="F60" s="9" t="s">
        <v>372</v>
      </c>
      <c r="G60" s="9"/>
    </row>
    <row r="61" customFormat="false" ht="15" hidden="false" customHeight="false" outlineLevel="0" collapsed="false">
      <c r="A61" s="9" t="n">
        <v>22</v>
      </c>
      <c r="B61" s="9" t="s">
        <v>464</v>
      </c>
      <c r="C61" s="10" t="s">
        <v>471</v>
      </c>
      <c r="D61" s="9" t="s">
        <v>472</v>
      </c>
      <c r="E61" s="10" t="s">
        <v>30</v>
      </c>
      <c r="F61" s="9" t="s">
        <v>372</v>
      </c>
      <c r="G61" s="9"/>
    </row>
    <row r="62" customFormat="false" ht="15" hidden="false" customHeight="false" outlineLevel="0" collapsed="false">
      <c r="A62" s="9" t="n">
        <v>22</v>
      </c>
      <c r="B62" s="9" t="s">
        <v>464</v>
      </c>
      <c r="C62" s="10" t="s">
        <v>473</v>
      </c>
      <c r="D62" s="9" t="s">
        <v>474</v>
      </c>
      <c r="E62" s="10" t="s">
        <v>30</v>
      </c>
      <c r="F62" s="9" t="s">
        <v>372</v>
      </c>
      <c r="G62" s="9"/>
    </row>
    <row r="63" customFormat="false" ht="15" hidden="false" customHeight="false" outlineLevel="0" collapsed="false">
      <c r="A63" s="9" t="n">
        <v>23</v>
      </c>
      <c r="B63" s="9" t="s">
        <v>475</v>
      </c>
      <c r="C63" s="10" t="s">
        <v>476</v>
      </c>
      <c r="D63" s="9" t="s">
        <v>477</v>
      </c>
      <c r="E63" s="10" t="s">
        <v>29</v>
      </c>
      <c r="F63" s="9" t="s">
        <v>372</v>
      </c>
      <c r="G63" s="9" t="s">
        <v>478</v>
      </c>
    </row>
    <row r="64" customFormat="false" ht="15" hidden="false" customHeight="false" outlineLevel="0" collapsed="false">
      <c r="A64" s="9" t="n">
        <v>24</v>
      </c>
      <c r="B64" s="9" t="s">
        <v>479</v>
      </c>
      <c r="C64" s="10" t="s">
        <v>480</v>
      </c>
      <c r="D64" s="9" t="s">
        <v>481</v>
      </c>
      <c r="E64" s="10" t="s">
        <v>27</v>
      </c>
      <c r="F64" s="9" t="s">
        <v>372</v>
      </c>
      <c r="G64" s="9"/>
    </row>
    <row r="65" customFormat="false" ht="15" hidden="false" customHeight="false" outlineLevel="0" collapsed="false">
      <c r="A65" s="9" t="n">
        <v>24</v>
      </c>
      <c r="B65" s="9" t="s">
        <v>479</v>
      </c>
      <c r="C65" s="10" t="s">
        <v>482</v>
      </c>
      <c r="D65" s="9" t="s">
        <v>483</v>
      </c>
      <c r="E65" s="10" t="s">
        <v>27</v>
      </c>
      <c r="F65" s="9" t="s">
        <v>372</v>
      </c>
      <c r="G65" s="9"/>
    </row>
    <row r="66" customFormat="false" ht="15" hidden="false" customHeight="false" outlineLevel="0" collapsed="false">
      <c r="A66" s="9" t="n">
        <v>24</v>
      </c>
      <c r="B66" s="9" t="s">
        <v>479</v>
      </c>
      <c r="C66" s="10" t="s">
        <v>484</v>
      </c>
      <c r="D66" s="9" t="s">
        <v>485</v>
      </c>
      <c r="E66" s="10" t="s">
        <v>27</v>
      </c>
      <c r="F66" s="9" t="s">
        <v>372</v>
      </c>
      <c r="G66" s="9"/>
    </row>
    <row r="67" customFormat="false" ht="15" hidden="false" customHeight="false" outlineLevel="0" collapsed="false">
      <c r="A67" s="9" t="n">
        <v>25</v>
      </c>
      <c r="B67" s="9" t="s">
        <v>486</v>
      </c>
      <c r="C67" s="10" t="s">
        <v>487</v>
      </c>
      <c r="D67" s="9" t="s">
        <v>488</v>
      </c>
      <c r="E67" s="10" t="s">
        <v>28</v>
      </c>
      <c r="F67" s="9" t="s">
        <v>372</v>
      </c>
      <c r="G67" s="9"/>
    </row>
    <row r="68" customFormat="false" ht="15" hidden="false" customHeight="false" outlineLevel="0" collapsed="false">
      <c r="A68" s="9" t="n">
        <v>25</v>
      </c>
      <c r="B68" s="9" t="s">
        <v>486</v>
      </c>
      <c r="C68" s="10" t="s">
        <v>489</v>
      </c>
      <c r="D68" s="9" t="s">
        <v>490</v>
      </c>
      <c r="E68" s="10" t="s">
        <v>28</v>
      </c>
      <c r="F68" s="9" t="s">
        <v>372</v>
      </c>
      <c r="G68" s="9"/>
    </row>
    <row r="69" customFormat="false" ht="15" hidden="false" customHeight="false" outlineLevel="0" collapsed="false">
      <c r="A69" s="9" t="n">
        <v>25</v>
      </c>
      <c r="B69" s="9" t="s">
        <v>486</v>
      </c>
      <c r="C69" s="10" t="s">
        <v>491</v>
      </c>
      <c r="D69" s="9" t="s">
        <v>492</v>
      </c>
      <c r="E69" s="10" t="s">
        <v>28</v>
      </c>
      <c r="F69" s="9" t="s">
        <v>372</v>
      </c>
      <c r="G69" s="9"/>
    </row>
    <row r="70" customFormat="false" ht="15" hidden="false" customHeight="false" outlineLevel="0" collapsed="false">
      <c r="A70" s="9" t="n">
        <v>25</v>
      </c>
      <c r="B70" s="9" t="s">
        <v>486</v>
      </c>
      <c r="C70" s="10" t="s">
        <v>493</v>
      </c>
      <c r="D70" s="9" t="s">
        <v>494</v>
      </c>
      <c r="E70" s="10" t="s">
        <v>28</v>
      </c>
      <c r="F70" s="9" t="s">
        <v>372</v>
      </c>
      <c r="G70" s="9"/>
    </row>
    <row r="71" customFormat="false" ht="15" hidden="false" customHeight="false" outlineLevel="0" collapsed="false">
      <c r="A71" s="9" t="n">
        <v>26</v>
      </c>
      <c r="B71" s="9" t="s">
        <v>495</v>
      </c>
      <c r="C71" s="10" t="s">
        <v>496</v>
      </c>
      <c r="D71" s="9" t="s">
        <v>497</v>
      </c>
      <c r="E71" s="10" t="s">
        <v>28</v>
      </c>
      <c r="F71" s="9" t="s">
        <v>372</v>
      </c>
      <c r="G71" s="9"/>
    </row>
    <row r="72" customFormat="false" ht="15" hidden="false" customHeight="false" outlineLevel="0" collapsed="false">
      <c r="A72" s="9" t="n">
        <v>26</v>
      </c>
      <c r="B72" s="9" t="s">
        <v>495</v>
      </c>
      <c r="C72" s="10" t="s">
        <v>498</v>
      </c>
      <c r="D72" s="9" t="s">
        <v>499</v>
      </c>
      <c r="E72" s="10" t="s">
        <v>28</v>
      </c>
      <c r="F72" s="9" t="s">
        <v>372</v>
      </c>
      <c r="G72" s="9"/>
    </row>
    <row r="73" customFormat="false" ht="15" hidden="false" customHeight="false" outlineLevel="0" collapsed="false">
      <c r="A73" s="9" t="n">
        <v>26</v>
      </c>
      <c r="B73" s="9" t="s">
        <v>495</v>
      </c>
      <c r="C73" s="10" t="s">
        <v>500</v>
      </c>
      <c r="D73" s="9" t="s">
        <v>501</v>
      </c>
      <c r="E73" s="10" t="s">
        <v>28</v>
      </c>
      <c r="F73" s="9" t="s">
        <v>372</v>
      </c>
      <c r="G73" s="9"/>
    </row>
    <row r="74" customFormat="false" ht="15" hidden="false" customHeight="false" outlineLevel="0" collapsed="false">
      <c r="A74" s="9" t="n">
        <v>27</v>
      </c>
      <c r="B74" s="9" t="s">
        <v>502</v>
      </c>
      <c r="C74" s="10" t="s">
        <v>503</v>
      </c>
      <c r="D74" s="9" t="s">
        <v>504</v>
      </c>
      <c r="E74" s="10" t="s">
        <v>27</v>
      </c>
      <c r="F74" s="9" t="s">
        <v>372</v>
      </c>
      <c r="G74" s="9"/>
    </row>
    <row r="75" customFormat="false" ht="15" hidden="false" customHeight="false" outlineLevel="0" collapsed="false">
      <c r="A75" s="9" t="n">
        <v>27</v>
      </c>
      <c r="B75" s="9" t="s">
        <v>502</v>
      </c>
      <c r="C75" s="10" t="s">
        <v>505</v>
      </c>
      <c r="D75" s="9" t="s">
        <v>506</v>
      </c>
      <c r="E75" s="10" t="s">
        <v>27</v>
      </c>
      <c r="F75" s="9" t="s">
        <v>372</v>
      </c>
      <c r="G75" s="9"/>
    </row>
    <row r="76" customFormat="false" ht="15" hidden="false" customHeight="false" outlineLevel="0" collapsed="false">
      <c r="A76" s="9" t="n">
        <v>27</v>
      </c>
      <c r="B76" s="9" t="s">
        <v>502</v>
      </c>
      <c r="C76" s="10" t="s">
        <v>507</v>
      </c>
      <c r="D76" s="9" t="s">
        <v>508</v>
      </c>
      <c r="E76" s="10" t="s">
        <v>25</v>
      </c>
      <c r="F76" s="9" t="s">
        <v>372</v>
      </c>
      <c r="G76" s="9"/>
    </row>
    <row r="77" customFormat="false" ht="15" hidden="false" customHeight="false" outlineLevel="0" collapsed="false">
      <c r="A77" s="9" t="n">
        <v>27</v>
      </c>
      <c r="B77" s="9" t="s">
        <v>502</v>
      </c>
      <c r="C77" s="10" t="s">
        <v>509</v>
      </c>
      <c r="D77" s="9" t="s">
        <v>510</v>
      </c>
      <c r="E77" s="10" t="s">
        <v>25</v>
      </c>
      <c r="F77" s="9" t="s">
        <v>372</v>
      </c>
      <c r="G77" s="9"/>
    </row>
    <row r="78" customFormat="false" ht="15" hidden="false" customHeight="false" outlineLevel="0" collapsed="false">
      <c r="A78" s="9" t="n">
        <v>27</v>
      </c>
      <c r="B78" s="9" t="s">
        <v>502</v>
      </c>
      <c r="C78" s="10" t="s">
        <v>511</v>
      </c>
      <c r="D78" s="9" t="s">
        <v>512</v>
      </c>
      <c r="E78" s="10" t="s">
        <v>24</v>
      </c>
      <c r="F78" s="9" t="s">
        <v>372</v>
      </c>
      <c r="G78" s="9"/>
    </row>
    <row r="79" customFormat="false" ht="15" hidden="false" customHeight="false" outlineLevel="0" collapsed="false">
      <c r="A79" s="9" t="n">
        <v>27</v>
      </c>
      <c r="B79" s="9" t="s">
        <v>502</v>
      </c>
      <c r="C79" s="10" t="s">
        <v>513</v>
      </c>
      <c r="D79" s="9" t="s">
        <v>514</v>
      </c>
      <c r="E79" s="10" t="s">
        <v>24</v>
      </c>
      <c r="F79" s="9" t="s">
        <v>372</v>
      </c>
      <c r="G79" s="9"/>
    </row>
    <row r="80" customFormat="false" ht="15" hidden="false" customHeight="false" outlineLevel="0" collapsed="false">
      <c r="A80" s="9" t="n">
        <v>28</v>
      </c>
      <c r="B80" s="9" t="s">
        <v>515</v>
      </c>
      <c r="C80" s="10" t="s">
        <v>516</v>
      </c>
      <c r="D80" s="9" t="s">
        <v>517</v>
      </c>
      <c r="E80" s="10" t="s">
        <v>24</v>
      </c>
      <c r="F80" s="9" t="s">
        <v>372</v>
      </c>
      <c r="G80" s="9"/>
    </row>
    <row r="81" customFormat="false" ht="15" hidden="false" customHeight="false" outlineLevel="0" collapsed="false">
      <c r="A81" s="9" t="n">
        <v>28</v>
      </c>
      <c r="B81" s="9" t="s">
        <v>515</v>
      </c>
      <c r="C81" s="10" t="s">
        <v>518</v>
      </c>
      <c r="D81" s="9" t="s">
        <v>519</v>
      </c>
      <c r="E81" s="10" t="s">
        <v>24</v>
      </c>
      <c r="F81" s="9" t="s">
        <v>372</v>
      </c>
      <c r="G81" s="9"/>
    </row>
    <row r="82" customFormat="false" ht="26.85" hidden="false" customHeight="false" outlineLevel="0" collapsed="false">
      <c r="A82" s="9" t="n">
        <v>29</v>
      </c>
      <c r="B82" s="9" t="s">
        <v>520</v>
      </c>
      <c r="C82" s="10" t="s">
        <v>521</v>
      </c>
      <c r="D82" s="9" t="s">
        <v>522</v>
      </c>
      <c r="E82" s="10" t="s">
        <v>26</v>
      </c>
      <c r="F82" s="9" t="s">
        <v>372</v>
      </c>
      <c r="G82" s="9" t="s">
        <v>523</v>
      </c>
    </row>
    <row r="83" customFormat="false" ht="26.85" hidden="false" customHeight="false" outlineLevel="0" collapsed="false">
      <c r="A83" s="9" t="n">
        <v>29</v>
      </c>
      <c r="B83" s="9" t="s">
        <v>520</v>
      </c>
      <c r="C83" s="10" t="s">
        <v>524</v>
      </c>
      <c r="D83" s="9" t="s">
        <v>525</v>
      </c>
      <c r="E83" s="10" t="s">
        <v>24</v>
      </c>
      <c r="F83" s="9" t="s">
        <v>372</v>
      </c>
      <c r="G83" s="9" t="s">
        <v>526</v>
      </c>
    </row>
    <row r="84" customFormat="false" ht="15" hidden="false" customHeight="false" outlineLevel="0" collapsed="false">
      <c r="A84" s="9" t="n">
        <v>30</v>
      </c>
      <c r="B84" s="9" t="s">
        <v>527</v>
      </c>
      <c r="C84" s="10" t="s">
        <v>528</v>
      </c>
      <c r="D84" s="9" t="s">
        <v>529</v>
      </c>
      <c r="E84" s="10" t="s">
        <v>24</v>
      </c>
      <c r="F84" s="9" t="s">
        <v>372</v>
      </c>
      <c r="G84" s="9"/>
    </row>
    <row r="85" customFormat="false" ht="15" hidden="false" customHeight="false" outlineLevel="0" collapsed="false">
      <c r="A85" s="9" t="n">
        <v>30</v>
      </c>
      <c r="B85" s="9" t="s">
        <v>527</v>
      </c>
      <c r="C85" s="10" t="s">
        <v>530</v>
      </c>
      <c r="D85" s="9" t="s">
        <v>531</v>
      </c>
      <c r="E85" s="10" t="s">
        <v>24</v>
      </c>
      <c r="F85" s="9" t="s">
        <v>372</v>
      </c>
      <c r="G85" s="9"/>
    </row>
    <row r="86" customFormat="false" ht="15" hidden="false" customHeight="false" outlineLevel="0" collapsed="false">
      <c r="A86" s="9" t="n">
        <v>30</v>
      </c>
      <c r="B86" s="9" t="s">
        <v>527</v>
      </c>
      <c r="C86" s="10" t="s">
        <v>532</v>
      </c>
      <c r="D86" s="9" t="s">
        <v>533</v>
      </c>
      <c r="E86" s="10" t="s">
        <v>24</v>
      </c>
      <c r="F86" s="9" t="s">
        <v>372</v>
      </c>
      <c r="G86" s="9"/>
    </row>
    <row r="87" customFormat="false" ht="15" hidden="false" customHeight="false" outlineLevel="0" collapsed="false">
      <c r="A87" s="9" t="n">
        <v>30</v>
      </c>
      <c r="B87" s="9" t="s">
        <v>527</v>
      </c>
      <c r="C87" s="10" t="s">
        <v>534</v>
      </c>
      <c r="D87" s="9" t="s">
        <v>535</v>
      </c>
      <c r="E87" s="10" t="s">
        <v>24</v>
      </c>
      <c r="F87" s="9" t="s">
        <v>372</v>
      </c>
      <c r="G87" s="9"/>
    </row>
    <row r="88" customFormat="false" ht="15" hidden="false" customHeight="false" outlineLevel="0" collapsed="false">
      <c r="A88" s="9" t="n">
        <v>30</v>
      </c>
      <c r="B88" s="9" t="s">
        <v>527</v>
      </c>
      <c r="C88" s="10" t="s">
        <v>536</v>
      </c>
      <c r="D88" s="9" t="s">
        <v>537</v>
      </c>
      <c r="E88" s="10" t="s">
        <v>24</v>
      </c>
      <c r="F88" s="9" t="s">
        <v>372</v>
      </c>
      <c r="G88" s="9"/>
    </row>
    <row r="89" customFormat="false" ht="15" hidden="false" customHeight="false" outlineLevel="0" collapsed="false">
      <c r="A89" s="9" t="n">
        <v>31</v>
      </c>
      <c r="B89" s="9" t="s">
        <v>538</v>
      </c>
      <c r="C89" s="10" t="s">
        <v>539</v>
      </c>
      <c r="D89" s="9" t="s">
        <v>540</v>
      </c>
      <c r="E89" s="10" t="s">
        <v>27</v>
      </c>
      <c r="F89" s="9" t="s">
        <v>372</v>
      </c>
      <c r="G89" s="9" t="s">
        <v>540</v>
      </c>
    </row>
    <row r="90" customFormat="false" ht="15" hidden="false" customHeight="false" outlineLevel="0" collapsed="false">
      <c r="A90" s="9" t="n">
        <v>31</v>
      </c>
      <c r="B90" s="9" t="s">
        <v>538</v>
      </c>
      <c r="C90" s="10" t="s">
        <v>541</v>
      </c>
      <c r="D90" s="9" t="s">
        <v>542</v>
      </c>
      <c r="E90" s="10" t="s">
        <v>25</v>
      </c>
      <c r="F90" s="9" t="s">
        <v>372</v>
      </c>
      <c r="G90" s="9" t="s">
        <v>542</v>
      </c>
    </row>
    <row r="91" customFormat="false" ht="15" hidden="false" customHeight="false" outlineLevel="0" collapsed="false">
      <c r="A91" s="9" t="n">
        <v>32</v>
      </c>
      <c r="B91" s="9" t="s">
        <v>543</v>
      </c>
      <c r="C91" s="10" t="s">
        <v>544</v>
      </c>
      <c r="D91" s="9" t="s">
        <v>545</v>
      </c>
      <c r="E91" s="10" t="s">
        <v>24</v>
      </c>
      <c r="F91" s="9" t="s">
        <v>546</v>
      </c>
      <c r="G91" s="9"/>
    </row>
    <row r="92" customFormat="false" ht="15" hidden="false" customHeight="false" outlineLevel="0" collapsed="false">
      <c r="A92" s="9" t="n">
        <v>32</v>
      </c>
      <c r="B92" s="9" t="s">
        <v>543</v>
      </c>
      <c r="C92" s="10" t="s">
        <v>547</v>
      </c>
      <c r="D92" s="9" t="s">
        <v>548</v>
      </c>
      <c r="E92" s="10" t="s">
        <v>24</v>
      </c>
      <c r="F92" s="9" t="s">
        <v>546</v>
      </c>
      <c r="G92" s="9"/>
    </row>
    <row r="93" customFormat="false" ht="15" hidden="false" customHeight="false" outlineLevel="0" collapsed="false">
      <c r="A93" s="9" t="n">
        <v>32</v>
      </c>
      <c r="B93" s="9" t="s">
        <v>543</v>
      </c>
      <c r="C93" s="10" t="s">
        <v>549</v>
      </c>
      <c r="D93" s="9" t="s">
        <v>550</v>
      </c>
      <c r="E93" s="10" t="s">
        <v>24</v>
      </c>
      <c r="F93" s="9" t="s">
        <v>546</v>
      </c>
      <c r="G93" s="9"/>
    </row>
    <row r="94" customFormat="false" ht="15" hidden="false" customHeight="false" outlineLevel="0" collapsed="false">
      <c r="A94" s="9" t="n">
        <v>32</v>
      </c>
      <c r="B94" s="9" t="s">
        <v>543</v>
      </c>
      <c r="C94" s="10" t="s">
        <v>551</v>
      </c>
      <c r="D94" s="9" t="s">
        <v>552</v>
      </c>
      <c r="E94" s="10" t="s">
        <v>24</v>
      </c>
      <c r="F94" s="9" t="s">
        <v>546</v>
      </c>
      <c r="G94" s="9"/>
    </row>
    <row r="95" customFormat="false" ht="15" hidden="false" customHeight="false" outlineLevel="0" collapsed="false">
      <c r="A95" s="9" t="n">
        <v>33</v>
      </c>
      <c r="B95" s="9" t="s">
        <v>553</v>
      </c>
      <c r="C95" s="10" t="s">
        <v>554</v>
      </c>
      <c r="D95" s="9" t="s">
        <v>555</v>
      </c>
      <c r="E95" s="10" t="s">
        <v>25</v>
      </c>
      <c r="F95" s="9" t="s">
        <v>546</v>
      </c>
      <c r="G95" s="9"/>
    </row>
    <row r="96" customFormat="false" ht="15" hidden="false" customHeight="false" outlineLevel="0" collapsed="false">
      <c r="A96" s="9" t="n">
        <v>33</v>
      </c>
      <c r="B96" s="9" t="s">
        <v>553</v>
      </c>
      <c r="C96" s="10" t="s">
        <v>556</v>
      </c>
      <c r="D96" s="9" t="s">
        <v>557</v>
      </c>
      <c r="E96" s="10" t="s">
        <v>25</v>
      </c>
      <c r="F96" s="9" t="s">
        <v>546</v>
      </c>
      <c r="G96" s="9"/>
    </row>
    <row r="97" customFormat="false" ht="15" hidden="false" customHeight="false" outlineLevel="0" collapsed="false">
      <c r="A97" s="9" t="n">
        <v>33</v>
      </c>
      <c r="B97" s="9" t="s">
        <v>553</v>
      </c>
      <c r="C97" s="10" t="s">
        <v>558</v>
      </c>
      <c r="D97" s="9" t="s">
        <v>559</v>
      </c>
      <c r="E97" s="10" t="s">
        <v>25</v>
      </c>
      <c r="F97" s="9" t="s">
        <v>546</v>
      </c>
      <c r="G97" s="9"/>
    </row>
    <row r="98" customFormat="false" ht="15" hidden="false" customHeight="false" outlineLevel="0" collapsed="false">
      <c r="A98" s="9" t="n">
        <v>34</v>
      </c>
      <c r="B98" s="9" t="s">
        <v>560</v>
      </c>
      <c r="C98" s="10" t="s">
        <v>561</v>
      </c>
      <c r="D98" s="9" t="s">
        <v>562</v>
      </c>
      <c r="E98" s="10" t="s">
        <v>25</v>
      </c>
      <c r="F98" s="9" t="s">
        <v>546</v>
      </c>
      <c r="G98" s="9" t="s">
        <v>563</v>
      </c>
    </row>
    <row r="99" customFormat="false" ht="26.85" hidden="false" customHeight="false" outlineLevel="0" collapsed="false">
      <c r="A99" s="9" t="n">
        <v>35</v>
      </c>
      <c r="B99" s="9" t="s">
        <v>564</v>
      </c>
      <c r="C99" s="10" t="s">
        <v>565</v>
      </c>
      <c r="D99" s="9" t="s">
        <v>566</v>
      </c>
      <c r="E99" s="10" t="s">
        <v>25</v>
      </c>
      <c r="F99" s="9" t="s">
        <v>546</v>
      </c>
      <c r="G99" s="9"/>
    </row>
    <row r="100" customFormat="false" ht="26.85" hidden="false" customHeight="false" outlineLevel="0" collapsed="false">
      <c r="A100" s="9" t="n">
        <v>35</v>
      </c>
      <c r="B100" s="9" t="s">
        <v>564</v>
      </c>
      <c r="C100" s="10" t="s">
        <v>567</v>
      </c>
      <c r="D100" s="9" t="s">
        <v>568</v>
      </c>
      <c r="E100" s="10" t="s">
        <v>25</v>
      </c>
      <c r="F100" s="9" t="s">
        <v>546</v>
      </c>
      <c r="G100" s="9"/>
    </row>
    <row r="101" customFormat="false" ht="26.85" hidden="false" customHeight="false" outlineLevel="0" collapsed="false">
      <c r="A101" s="9" t="n">
        <v>35</v>
      </c>
      <c r="B101" s="9" t="s">
        <v>564</v>
      </c>
      <c r="C101" s="10" t="s">
        <v>569</v>
      </c>
      <c r="D101" s="9" t="s">
        <v>570</v>
      </c>
      <c r="E101" s="10" t="s">
        <v>25</v>
      </c>
      <c r="F101" s="9" t="s">
        <v>546</v>
      </c>
      <c r="G101" s="9"/>
    </row>
    <row r="102" customFormat="false" ht="26.85" hidden="false" customHeight="false" outlineLevel="0" collapsed="false">
      <c r="A102" s="9" t="n">
        <v>35</v>
      </c>
      <c r="B102" s="9" t="s">
        <v>564</v>
      </c>
      <c r="C102" s="10" t="s">
        <v>571</v>
      </c>
      <c r="D102" s="9" t="s">
        <v>572</v>
      </c>
      <c r="E102" s="10" t="s">
        <v>25</v>
      </c>
      <c r="F102" s="9" t="s">
        <v>546</v>
      </c>
      <c r="G102" s="9"/>
    </row>
    <row r="103" customFormat="false" ht="15" hidden="false" customHeight="false" outlineLevel="0" collapsed="false">
      <c r="A103" s="9" t="n">
        <v>36</v>
      </c>
      <c r="B103" s="9" t="s">
        <v>573</v>
      </c>
      <c r="C103" s="10" t="s">
        <v>574</v>
      </c>
      <c r="D103" s="9" t="s">
        <v>575</v>
      </c>
      <c r="E103" s="10" t="s">
        <v>25</v>
      </c>
      <c r="F103" s="9" t="s">
        <v>546</v>
      </c>
      <c r="G103" s="9"/>
    </row>
    <row r="104" customFormat="false" ht="15" hidden="false" customHeight="false" outlineLevel="0" collapsed="false">
      <c r="A104" s="9" t="n">
        <v>36</v>
      </c>
      <c r="B104" s="9" t="s">
        <v>573</v>
      </c>
      <c r="C104" s="10" t="s">
        <v>576</v>
      </c>
      <c r="D104" s="9" t="s">
        <v>577</v>
      </c>
      <c r="E104" s="10" t="s">
        <v>25</v>
      </c>
      <c r="F104" s="9" t="s">
        <v>546</v>
      </c>
      <c r="G104" s="9"/>
    </row>
    <row r="105" customFormat="false" ht="15" hidden="false" customHeight="false" outlineLevel="0" collapsed="false">
      <c r="A105" s="9" t="n">
        <v>36</v>
      </c>
      <c r="B105" s="9" t="s">
        <v>573</v>
      </c>
      <c r="C105" s="10" t="s">
        <v>578</v>
      </c>
      <c r="D105" s="9" t="s">
        <v>579</v>
      </c>
      <c r="E105" s="10" t="s">
        <v>25</v>
      </c>
      <c r="F105" s="9" t="s">
        <v>546</v>
      </c>
      <c r="G105" s="9"/>
    </row>
    <row r="106" customFormat="false" ht="26.85" hidden="false" customHeight="false" outlineLevel="0" collapsed="false">
      <c r="A106" s="9" t="n">
        <v>37</v>
      </c>
      <c r="B106" s="9" t="s">
        <v>580</v>
      </c>
      <c r="C106" s="10" t="s">
        <v>581</v>
      </c>
      <c r="D106" s="9" t="s">
        <v>582</v>
      </c>
      <c r="E106" s="10" t="s">
        <v>24</v>
      </c>
      <c r="F106" s="9" t="s">
        <v>546</v>
      </c>
      <c r="G106" s="9"/>
    </row>
    <row r="107" customFormat="false" ht="26.85" hidden="false" customHeight="false" outlineLevel="0" collapsed="false">
      <c r="A107" s="9" t="n">
        <v>37</v>
      </c>
      <c r="B107" s="9" t="s">
        <v>580</v>
      </c>
      <c r="C107" s="10" t="s">
        <v>583</v>
      </c>
      <c r="D107" s="9" t="s">
        <v>584</v>
      </c>
      <c r="E107" s="10" t="s">
        <v>24</v>
      </c>
      <c r="F107" s="9" t="s">
        <v>546</v>
      </c>
      <c r="G107" s="9"/>
    </row>
    <row r="108" customFormat="false" ht="26.85" hidden="false" customHeight="false" outlineLevel="0" collapsed="false">
      <c r="A108" s="9" t="n">
        <v>37</v>
      </c>
      <c r="B108" s="9" t="s">
        <v>580</v>
      </c>
      <c r="C108" s="10" t="s">
        <v>585</v>
      </c>
      <c r="D108" s="9" t="s">
        <v>586</v>
      </c>
      <c r="E108" s="10" t="s">
        <v>24</v>
      </c>
      <c r="F108" s="9" t="s">
        <v>546</v>
      </c>
      <c r="G108" s="9"/>
    </row>
    <row r="109" customFormat="false" ht="26.85" hidden="false" customHeight="false" outlineLevel="0" collapsed="false">
      <c r="A109" s="9" t="n">
        <v>37</v>
      </c>
      <c r="B109" s="9" t="s">
        <v>580</v>
      </c>
      <c r="C109" s="10" t="s">
        <v>587</v>
      </c>
      <c r="D109" s="9" t="s">
        <v>588</v>
      </c>
      <c r="E109" s="10" t="s">
        <v>24</v>
      </c>
      <c r="F109" s="9" t="s">
        <v>546</v>
      </c>
      <c r="G109" s="9"/>
    </row>
    <row r="110" customFormat="false" ht="26.85" hidden="false" customHeight="false" outlineLevel="0" collapsed="false">
      <c r="A110" s="9" t="n">
        <v>38</v>
      </c>
      <c r="B110" s="9" t="s">
        <v>589</v>
      </c>
      <c r="C110" s="10" t="s">
        <v>590</v>
      </c>
      <c r="D110" s="9" t="s">
        <v>591</v>
      </c>
      <c r="E110" s="10" t="s">
        <v>24</v>
      </c>
      <c r="F110" s="9" t="s">
        <v>546</v>
      </c>
      <c r="G110" s="9"/>
    </row>
    <row r="111" customFormat="false" ht="26.85" hidden="false" customHeight="false" outlineLevel="0" collapsed="false">
      <c r="A111" s="9" t="n">
        <v>38</v>
      </c>
      <c r="B111" s="9" t="s">
        <v>589</v>
      </c>
      <c r="C111" s="10" t="s">
        <v>592</v>
      </c>
      <c r="D111" s="9" t="s">
        <v>593</v>
      </c>
      <c r="E111" s="10" t="s">
        <v>24</v>
      </c>
      <c r="F111" s="9" t="s">
        <v>546</v>
      </c>
      <c r="G111" s="9"/>
    </row>
    <row r="112" customFormat="false" ht="26.85" hidden="false" customHeight="false" outlineLevel="0" collapsed="false">
      <c r="A112" s="9" t="n">
        <v>38</v>
      </c>
      <c r="B112" s="9" t="s">
        <v>589</v>
      </c>
      <c r="C112" s="10" t="s">
        <v>594</v>
      </c>
      <c r="D112" s="9" t="s">
        <v>595</v>
      </c>
      <c r="E112" s="10" t="s">
        <v>24</v>
      </c>
      <c r="F112" s="9" t="s">
        <v>546</v>
      </c>
      <c r="G112" s="9"/>
    </row>
    <row r="113" customFormat="false" ht="15" hidden="false" customHeight="false" outlineLevel="0" collapsed="false">
      <c r="A113" s="9" t="n">
        <v>39</v>
      </c>
      <c r="B113" s="9" t="s">
        <v>596</v>
      </c>
      <c r="C113" s="10" t="s">
        <v>597</v>
      </c>
      <c r="D113" s="9" t="s">
        <v>598</v>
      </c>
      <c r="E113" s="10" t="s">
        <v>24</v>
      </c>
      <c r="F113" s="9" t="s">
        <v>546</v>
      </c>
      <c r="G113" s="9" t="s">
        <v>599</v>
      </c>
    </row>
    <row r="114" customFormat="false" ht="15" hidden="false" customHeight="false" outlineLevel="0" collapsed="false">
      <c r="A114" s="9" t="n">
        <v>40</v>
      </c>
      <c r="B114" s="9" t="s">
        <v>600</v>
      </c>
      <c r="C114" s="10" t="s">
        <v>601</v>
      </c>
      <c r="D114" s="9" t="s">
        <v>602</v>
      </c>
      <c r="E114" s="10" t="s">
        <v>25</v>
      </c>
      <c r="F114" s="9" t="s">
        <v>546</v>
      </c>
      <c r="G114" s="9"/>
    </row>
    <row r="115" customFormat="false" ht="15" hidden="false" customHeight="false" outlineLevel="0" collapsed="false">
      <c r="A115" s="9" t="n">
        <v>40</v>
      </c>
      <c r="B115" s="9" t="s">
        <v>600</v>
      </c>
      <c r="C115" s="10" t="s">
        <v>603</v>
      </c>
      <c r="D115" s="9" t="s">
        <v>604</v>
      </c>
      <c r="E115" s="10" t="s">
        <v>25</v>
      </c>
      <c r="F115" s="9" t="s">
        <v>546</v>
      </c>
      <c r="G115" s="9"/>
    </row>
    <row r="116" customFormat="false" ht="15" hidden="false" customHeight="false" outlineLevel="0" collapsed="false">
      <c r="A116" s="9" t="n">
        <v>40</v>
      </c>
      <c r="B116" s="9" t="s">
        <v>600</v>
      </c>
      <c r="C116" s="10" t="s">
        <v>605</v>
      </c>
      <c r="D116" s="9" t="s">
        <v>606</v>
      </c>
      <c r="E116" s="10" t="s">
        <v>25</v>
      </c>
      <c r="F116" s="9" t="s">
        <v>546</v>
      </c>
      <c r="G116" s="9"/>
    </row>
    <row r="117" customFormat="false" ht="15" hidden="false" customHeight="false" outlineLevel="0" collapsed="false">
      <c r="A117" s="9" t="n">
        <v>40</v>
      </c>
      <c r="B117" s="9" t="s">
        <v>600</v>
      </c>
      <c r="C117" s="10" t="s">
        <v>607</v>
      </c>
      <c r="D117" s="9" t="s">
        <v>608</v>
      </c>
      <c r="E117" s="10" t="s">
        <v>25</v>
      </c>
      <c r="F117" s="9" t="s">
        <v>546</v>
      </c>
      <c r="G117" s="9"/>
    </row>
    <row r="118" customFormat="false" ht="15" hidden="false" customHeight="false" outlineLevel="0" collapsed="false">
      <c r="A118" s="9" t="n">
        <v>41</v>
      </c>
      <c r="B118" s="9" t="s">
        <v>609</v>
      </c>
      <c r="C118" s="10" t="s">
        <v>610</v>
      </c>
      <c r="D118" s="9" t="s">
        <v>611</v>
      </c>
      <c r="E118" s="10" t="s">
        <v>24</v>
      </c>
      <c r="F118" s="9" t="s">
        <v>546</v>
      </c>
      <c r="G118" s="9"/>
    </row>
    <row r="119" customFormat="false" ht="15" hidden="false" customHeight="false" outlineLevel="0" collapsed="false">
      <c r="A119" s="9" t="n">
        <v>41</v>
      </c>
      <c r="B119" s="9" t="s">
        <v>609</v>
      </c>
      <c r="C119" s="10" t="s">
        <v>612</v>
      </c>
      <c r="D119" s="9" t="s">
        <v>613</v>
      </c>
      <c r="E119" s="10" t="s">
        <v>24</v>
      </c>
      <c r="F119" s="9" t="s">
        <v>546</v>
      </c>
      <c r="G119" s="9"/>
    </row>
    <row r="120" customFormat="false" ht="15" hidden="false" customHeight="false" outlineLevel="0" collapsed="false">
      <c r="A120" s="9" t="n">
        <v>42</v>
      </c>
      <c r="B120" s="9" t="s">
        <v>614</v>
      </c>
      <c r="C120" s="10" t="s">
        <v>615</v>
      </c>
      <c r="D120" s="9" t="s">
        <v>616</v>
      </c>
      <c r="E120" s="10" t="s">
        <v>24</v>
      </c>
      <c r="F120" s="9" t="s">
        <v>546</v>
      </c>
      <c r="G120" s="9"/>
    </row>
    <row r="121" customFormat="false" ht="15" hidden="false" customHeight="false" outlineLevel="0" collapsed="false">
      <c r="A121" s="9" t="n">
        <v>42</v>
      </c>
      <c r="B121" s="9" t="s">
        <v>614</v>
      </c>
      <c r="C121" s="10" t="s">
        <v>617</v>
      </c>
      <c r="D121" s="9" t="s">
        <v>618</v>
      </c>
      <c r="E121" s="10" t="s">
        <v>24</v>
      </c>
      <c r="F121" s="9" t="s">
        <v>546</v>
      </c>
      <c r="G121" s="9"/>
    </row>
    <row r="122" customFormat="false" ht="15" hidden="false" customHeight="false" outlineLevel="0" collapsed="false">
      <c r="A122" s="9" t="n">
        <v>43</v>
      </c>
      <c r="B122" s="9" t="s">
        <v>619</v>
      </c>
      <c r="C122" s="10" t="s">
        <v>620</v>
      </c>
      <c r="D122" s="9" t="s">
        <v>621</v>
      </c>
      <c r="E122" s="10" t="s">
        <v>24</v>
      </c>
      <c r="F122" s="9" t="s">
        <v>546</v>
      </c>
      <c r="G122" s="9"/>
    </row>
    <row r="123" customFormat="false" ht="15" hidden="false" customHeight="false" outlineLevel="0" collapsed="false">
      <c r="A123" s="9" t="n">
        <v>43</v>
      </c>
      <c r="B123" s="9" t="s">
        <v>619</v>
      </c>
      <c r="C123" s="10" t="s">
        <v>622</v>
      </c>
      <c r="D123" s="9" t="s">
        <v>623</v>
      </c>
      <c r="E123" s="10" t="s">
        <v>24</v>
      </c>
      <c r="F123" s="9" t="s">
        <v>546</v>
      </c>
      <c r="G123" s="9"/>
    </row>
    <row r="124" customFormat="false" ht="15" hidden="false" customHeight="false" outlineLevel="0" collapsed="false">
      <c r="A124" s="9" t="n">
        <v>43</v>
      </c>
      <c r="B124" s="9" t="s">
        <v>619</v>
      </c>
      <c r="C124" s="10" t="s">
        <v>624</v>
      </c>
      <c r="D124" s="9" t="s">
        <v>625</v>
      </c>
      <c r="E124" s="10" t="s">
        <v>24</v>
      </c>
      <c r="F124" s="9" t="s">
        <v>546</v>
      </c>
      <c r="G124" s="9"/>
    </row>
    <row r="125" customFormat="false" ht="15" hidden="false" customHeight="false" outlineLevel="0" collapsed="false">
      <c r="A125" s="9" t="n">
        <v>43</v>
      </c>
      <c r="B125" s="9" t="s">
        <v>619</v>
      </c>
      <c r="C125" s="10" t="s">
        <v>626</v>
      </c>
      <c r="D125" s="9" t="s">
        <v>627</v>
      </c>
      <c r="E125" s="10" t="s">
        <v>24</v>
      </c>
      <c r="F125" s="9" t="s">
        <v>546</v>
      </c>
      <c r="G125" s="9"/>
    </row>
    <row r="126" customFormat="false" ht="15" hidden="false" customHeight="false" outlineLevel="0" collapsed="false">
      <c r="A126" s="9" t="n">
        <v>43</v>
      </c>
      <c r="B126" s="9" t="s">
        <v>619</v>
      </c>
      <c r="C126" s="10" t="s">
        <v>628</v>
      </c>
      <c r="D126" s="9" t="s">
        <v>629</v>
      </c>
      <c r="E126" s="10" t="s">
        <v>24</v>
      </c>
      <c r="F126" s="9" t="s">
        <v>546</v>
      </c>
      <c r="G126" s="9"/>
    </row>
    <row r="127" customFormat="false" ht="15" hidden="false" customHeight="false" outlineLevel="0" collapsed="false">
      <c r="A127" s="9" t="n">
        <v>43</v>
      </c>
      <c r="B127" s="9" t="s">
        <v>619</v>
      </c>
      <c r="C127" s="10" t="s">
        <v>630</v>
      </c>
      <c r="D127" s="9" t="s">
        <v>631</v>
      </c>
      <c r="E127" s="10" t="s">
        <v>24</v>
      </c>
      <c r="F127" s="9" t="s">
        <v>546</v>
      </c>
      <c r="G127" s="9"/>
    </row>
    <row r="128" customFormat="false" ht="15" hidden="false" customHeight="false" outlineLevel="0" collapsed="false">
      <c r="A128" s="9" t="n">
        <v>43</v>
      </c>
      <c r="B128" s="9" t="s">
        <v>619</v>
      </c>
      <c r="C128" s="10" t="s">
        <v>632</v>
      </c>
      <c r="D128" s="9" t="s">
        <v>633</v>
      </c>
      <c r="E128" s="10" t="s">
        <v>24</v>
      </c>
      <c r="F128" s="9" t="s">
        <v>546</v>
      </c>
      <c r="G128" s="9"/>
    </row>
    <row r="129" customFormat="false" ht="15" hidden="false" customHeight="false" outlineLevel="0" collapsed="false">
      <c r="A129" s="9" t="n">
        <v>44</v>
      </c>
      <c r="B129" s="9" t="s">
        <v>634</v>
      </c>
      <c r="C129" s="10" t="s">
        <v>635</v>
      </c>
      <c r="D129" s="9" t="s">
        <v>636</v>
      </c>
      <c r="E129" s="10" t="s">
        <v>24</v>
      </c>
      <c r="F129" s="9" t="s">
        <v>546</v>
      </c>
      <c r="G129" s="9"/>
    </row>
    <row r="130" customFormat="false" ht="15" hidden="false" customHeight="false" outlineLevel="0" collapsed="false">
      <c r="A130" s="9" t="n">
        <v>44</v>
      </c>
      <c r="B130" s="9" t="s">
        <v>634</v>
      </c>
      <c r="C130" s="10" t="s">
        <v>637</v>
      </c>
      <c r="D130" s="9" t="s">
        <v>638</v>
      </c>
      <c r="E130" s="10" t="s">
        <v>24</v>
      </c>
      <c r="F130" s="9" t="s">
        <v>546</v>
      </c>
      <c r="G130" s="9"/>
    </row>
    <row r="131" customFormat="false" ht="15" hidden="false" customHeight="false" outlineLevel="0" collapsed="false">
      <c r="A131" s="9" t="n">
        <v>44</v>
      </c>
      <c r="B131" s="9" t="s">
        <v>634</v>
      </c>
      <c r="C131" s="10" t="s">
        <v>639</v>
      </c>
      <c r="D131" s="9" t="s">
        <v>640</v>
      </c>
      <c r="E131" s="10" t="s">
        <v>24</v>
      </c>
      <c r="F131" s="9" t="s">
        <v>546</v>
      </c>
      <c r="G131" s="9"/>
    </row>
    <row r="132" customFormat="false" ht="15" hidden="false" customHeight="false" outlineLevel="0" collapsed="false">
      <c r="A132" s="9" t="n">
        <v>44</v>
      </c>
      <c r="B132" s="9" t="s">
        <v>634</v>
      </c>
      <c r="C132" s="10" t="s">
        <v>641</v>
      </c>
      <c r="D132" s="9" t="s">
        <v>642</v>
      </c>
      <c r="E132" s="10" t="s">
        <v>24</v>
      </c>
      <c r="F132" s="9" t="s">
        <v>546</v>
      </c>
      <c r="G132" s="9"/>
    </row>
    <row r="133" customFormat="false" ht="15" hidden="false" customHeight="false" outlineLevel="0" collapsed="false">
      <c r="A133" s="9" t="n">
        <v>44</v>
      </c>
      <c r="B133" s="9" t="s">
        <v>634</v>
      </c>
      <c r="C133" s="10" t="s">
        <v>643</v>
      </c>
      <c r="D133" s="9" t="s">
        <v>644</v>
      </c>
      <c r="E133" s="10" t="s">
        <v>24</v>
      </c>
      <c r="F133" s="9" t="s">
        <v>546</v>
      </c>
      <c r="G133" s="9"/>
    </row>
    <row r="134" customFormat="false" ht="15" hidden="false" customHeight="false" outlineLevel="0" collapsed="false">
      <c r="A134" s="9" t="n">
        <v>45</v>
      </c>
      <c r="B134" s="9" t="s">
        <v>645</v>
      </c>
      <c r="C134" s="10" t="s">
        <v>646</v>
      </c>
      <c r="D134" s="9" t="s">
        <v>647</v>
      </c>
      <c r="E134" s="10" t="s">
        <v>24</v>
      </c>
      <c r="F134" s="9" t="s">
        <v>546</v>
      </c>
      <c r="G134" s="9"/>
    </row>
    <row r="135" customFormat="false" ht="15" hidden="false" customHeight="false" outlineLevel="0" collapsed="false">
      <c r="A135" s="9" t="n">
        <v>45</v>
      </c>
      <c r="B135" s="9" t="s">
        <v>645</v>
      </c>
      <c r="C135" s="10" t="s">
        <v>648</v>
      </c>
      <c r="D135" s="9" t="s">
        <v>649</v>
      </c>
      <c r="E135" s="10" t="s">
        <v>24</v>
      </c>
      <c r="F135" s="9" t="s">
        <v>546</v>
      </c>
      <c r="G135" s="9"/>
    </row>
    <row r="136" customFormat="false" ht="15" hidden="false" customHeight="false" outlineLevel="0" collapsed="false">
      <c r="A136" s="9" t="n">
        <v>45</v>
      </c>
      <c r="B136" s="9" t="s">
        <v>645</v>
      </c>
      <c r="C136" s="10" t="s">
        <v>650</v>
      </c>
      <c r="D136" s="9" t="s">
        <v>651</v>
      </c>
      <c r="E136" s="10" t="s">
        <v>24</v>
      </c>
      <c r="F136" s="9" t="s">
        <v>546</v>
      </c>
      <c r="G136" s="9"/>
    </row>
    <row r="137" customFormat="false" ht="15" hidden="false" customHeight="false" outlineLevel="0" collapsed="false">
      <c r="A137" s="9" t="n">
        <v>46</v>
      </c>
      <c r="B137" s="9" t="s">
        <v>652</v>
      </c>
      <c r="C137" s="10" t="s">
        <v>653</v>
      </c>
      <c r="D137" s="9" t="s">
        <v>654</v>
      </c>
      <c r="E137" s="10" t="s">
        <v>24</v>
      </c>
      <c r="F137" s="9" t="s">
        <v>546</v>
      </c>
      <c r="G137" s="9" t="s">
        <v>655</v>
      </c>
    </row>
    <row r="138" customFormat="false" ht="15" hidden="false" customHeight="false" outlineLevel="0" collapsed="false">
      <c r="A138" s="9" t="n">
        <v>47</v>
      </c>
      <c r="B138" s="9" t="s">
        <v>656</v>
      </c>
      <c r="C138" s="10" t="s">
        <v>657</v>
      </c>
      <c r="D138" s="9" t="s">
        <v>658</v>
      </c>
      <c r="E138" s="10" t="s">
        <v>28</v>
      </c>
      <c r="F138" s="9" t="s">
        <v>659</v>
      </c>
      <c r="G138" s="9" t="s">
        <v>660</v>
      </c>
    </row>
    <row r="139" customFormat="false" ht="15" hidden="false" customHeight="false" outlineLevel="0" collapsed="false">
      <c r="A139" s="9" t="n">
        <v>47</v>
      </c>
      <c r="B139" s="9" t="s">
        <v>656</v>
      </c>
      <c r="C139" s="10" t="s">
        <v>661</v>
      </c>
      <c r="D139" s="9" t="s">
        <v>662</v>
      </c>
      <c r="E139" s="10" t="s">
        <v>26</v>
      </c>
      <c r="F139" s="9" t="s">
        <v>659</v>
      </c>
      <c r="G139" s="9" t="s">
        <v>663</v>
      </c>
    </row>
    <row r="140" customFormat="false" ht="15" hidden="false" customHeight="false" outlineLevel="0" collapsed="false">
      <c r="A140" s="9" t="n">
        <v>47</v>
      </c>
      <c r="B140" s="9" t="s">
        <v>656</v>
      </c>
      <c r="C140" s="10" t="s">
        <v>664</v>
      </c>
      <c r="D140" s="9" t="s">
        <v>665</v>
      </c>
      <c r="E140" s="10" t="s">
        <v>25</v>
      </c>
      <c r="F140" s="9" t="s">
        <v>659</v>
      </c>
      <c r="G140" s="9" t="s">
        <v>665</v>
      </c>
    </row>
    <row r="141" customFormat="false" ht="15" hidden="false" customHeight="false" outlineLevel="0" collapsed="false">
      <c r="A141" s="9" t="n">
        <v>48</v>
      </c>
      <c r="B141" s="9" t="s">
        <v>666</v>
      </c>
      <c r="C141" s="10" t="s">
        <v>667</v>
      </c>
      <c r="D141" s="9" t="s">
        <v>668</v>
      </c>
      <c r="E141" s="10" t="s">
        <v>25</v>
      </c>
      <c r="F141" s="9" t="s">
        <v>659</v>
      </c>
      <c r="G141" s="9"/>
    </row>
    <row r="142" customFormat="false" ht="15" hidden="false" customHeight="false" outlineLevel="0" collapsed="false">
      <c r="A142" s="9" t="n">
        <v>48</v>
      </c>
      <c r="B142" s="9" t="s">
        <v>666</v>
      </c>
      <c r="C142" s="10" t="s">
        <v>669</v>
      </c>
      <c r="D142" s="9" t="s">
        <v>670</v>
      </c>
      <c r="E142" s="10" t="s">
        <v>25</v>
      </c>
      <c r="F142" s="9" t="s">
        <v>659</v>
      </c>
      <c r="G142" s="9"/>
    </row>
    <row r="143" customFormat="false" ht="15" hidden="false" customHeight="false" outlineLevel="0" collapsed="false">
      <c r="A143" s="9" t="n">
        <v>48</v>
      </c>
      <c r="B143" s="9" t="s">
        <v>666</v>
      </c>
      <c r="C143" s="10" t="s">
        <v>671</v>
      </c>
      <c r="D143" s="9" t="s">
        <v>672</v>
      </c>
      <c r="E143" s="10" t="s">
        <v>25</v>
      </c>
      <c r="F143" s="9" t="s">
        <v>659</v>
      </c>
      <c r="G143" s="9"/>
    </row>
    <row r="144" customFormat="false" ht="15" hidden="false" customHeight="false" outlineLevel="0" collapsed="false">
      <c r="A144" s="9" t="n">
        <v>48</v>
      </c>
      <c r="B144" s="9" t="s">
        <v>666</v>
      </c>
      <c r="C144" s="10" t="s">
        <v>673</v>
      </c>
      <c r="D144" s="9" t="s">
        <v>674</v>
      </c>
      <c r="E144" s="10" t="s">
        <v>25</v>
      </c>
      <c r="F144" s="9" t="s">
        <v>659</v>
      </c>
      <c r="G144" s="9"/>
    </row>
    <row r="145" customFormat="false" ht="15" hidden="false" customHeight="false" outlineLevel="0" collapsed="false">
      <c r="A145" s="9" t="n">
        <v>48</v>
      </c>
      <c r="B145" s="9" t="s">
        <v>666</v>
      </c>
      <c r="C145" s="10" t="s">
        <v>675</v>
      </c>
      <c r="D145" s="9" t="s">
        <v>676</v>
      </c>
      <c r="E145" s="10" t="s">
        <v>25</v>
      </c>
      <c r="F145" s="9" t="s">
        <v>659</v>
      </c>
      <c r="G145" s="9"/>
    </row>
    <row r="146" customFormat="false" ht="15" hidden="false" customHeight="false" outlineLevel="0" collapsed="false">
      <c r="A146" s="9" t="n">
        <v>48</v>
      </c>
      <c r="B146" s="9" t="s">
        <v>666</v>
      </c>
      <c r="C146" s="10" t="s">
        <v>677</v>
      </c>
      <c r="D146" s="9" t="s">
        <v>678</v>
      </c>
      <c r="E146" s="10" t="s">
        <v>25</v>
      </c>
      <c r="F146" s="9" t="s">
        <v>659</v>
      </c>
      <c r="G146" s="9"/>
    </row>
    <row r="147" customFormat="false" ht="15" hidden="false" customHeight="false" outlineLevel="0" collapsed="false">
      <c r="A147" s="9" t="n">
        <v>49</v>
      </c>
      <c r="B147" s="9" t="s">
        <v>679</v>
      </c>
      <c r="C147" s="10" t="s">
        <v>680</v>
      </c>
      <c r="D147" s="9" t="s">
        <v>681</v>
      </c>
      <c r="E147" s="10" t="s">
        <v>24</v>
      </c>
      <c r="F147" s="9" t="s">
        <v>659</v>
      </c>
      <c r="G147" s="9"/>
    </row>
    <row r="148" customFormat="false" ht="15" hidden="false" customHeight="false" outlineLevel="0" collapsed="false">
      <c r="A148" s="9" t="n">
        <v>49</v>
      </c>
      <c r="B148" s="9" t="s">
        <v>679</v>
      </c>
      <c r="C148" s="10" t="s">
        <v>682</v>
      </c>
      <c r="D148" s="9" t="s">
        <v>683</v>
      </c>
      <c r="E148" s="10" t="s">
        <v>24</v>
      </c>
      <c r="F148" s="9" t="s">
        <v>659</v>
      </c>
      <c r="G148" s="9"/>
    </row>
    <row r="149" customFormat="false" ht="15" hidden="false" customHeight="false" outlineLevel="0" collapsed="false">
      <c r="A149" s="9" t="n">
        <v>50</v>
      </c>
      <c r="B149" s="9" t="s">
        <v>684</v>
      </c>
      <c r="C149" s="10" t="s">
        <v>685</v>
      </c>
      <c r="D149" s="9" t="s">
        <v>686</v>
      </c>
      <c r="E149" s="10" t="s">
        <v>29</v>
      </c>
      <c r="F149" s="9" t="s">
        <v>659</v>
      </c>
      <c r="G149" s="9"/>
    </row>
    <row r="150" customFormat="false" ht="15" hidden="false" customHeight="false" outlineLevel="0" collapsed="false">
      <c r="A150" s="9" t="n">
        <v>50</v>
      </c>
      <c r="B150" s="9" t="s">
        <v>684</v>
      </c>
      <c r="C150" s="10" t="s">
        <v>687</v>
      </c>
      <c r="D150" s="9" t="s">
        <v>688</v>
      </c>
      <c r="E150" s="10" t="s">
        <v>29</v>
      </c>
      <c r="F150" s="9" t="s">
        <v>659</v>
      </c>
      <c r="G150" s="9"/>
    </row>
    <row r="151" customFormat="false" ht="15" hidden="false" customHeight="false" outlineLevel="0" collapsed="false">
      <c r="A151" s="9" t="n">
        <v>51</v>
      </c>
      <c r="B151" s="9" t="s">
        <v>689</v>
      </c>
      <c r="C151" s="10" t="s">
        <v>690</v>
      </c>
      <c r="D151" s="9" t="s">
        <v>691</v>
      </c>
      <c r="E151" s="10" t="s">
        <v>24</v>
      </c>
      <c r="F151" s="9" t="s">
        <v>659</v>
      </c>
      <c r="G151" s="9"/>
    </row>
    <row r="152" customFormat="false" ht="15" hidden="false" customHeight="false" outlineLevel="0" collapsed="false">
      <c r="A152" s="9" t="n">
        <v>51</v>
      </c>
      <c r="B152" s="9" t="s">
        <v>689</v>
      </c>
      <c r="C152" s="10" t="s">
        <v>692</v>
      </c>
      <c r="D152" s="9" t="s">
        <v>693</v>
      </c>
      <c r="E152" s="10" t="s">
        <v>24</v>
      </c>
      <c r="F152" s="9" t="s">
        <v>659</v>
      </c>
      <c r="G152" s="9"/>
    </row>
    <row r="153" customFormat="false" ht="15" hidden="false" customHeight="false" outlineLevel="0" collapsed="false">
      <c r="A153" s="9" t="n">
        <v>51</v>
      </c>
      <c r="B153" s="9" t="s">
        <v>689</v>
      </c>
      <c r="C153" s="10" t="s">
        <v>694</v>
      </c>
      <c r="D153" s="9" t="s">
        <v>695</v>
      </c>
      <c r="E153" s="10" t="s">
        <v>24</v>
      </c>
      <c r="F153" s="9" t="s">
        <v>659</v>
      </c>
      <c r="G153" s="9"/>
    </row>
    <row r="154" customFormat="false" ht="15" hidden="false" customHeight="false" outlineLevel="0" collapsed="false">
      <c r="A154" s="9" t="n">
        <v>51</v>
      </c>
      <c r="B154" s="9" t="s">
        <v>689</v>
      </c>
      <c r="C154" s="10" t="s">
        <v>696</v>
      </c>
      <c r="D154" s="9" t="s">
        <v>697</v>
      </c>
      <c r="E154" s="10" t="s">
        <v>24</v>
      </c>
      <c r="F154" s="9" t="s">
        <v>659</v>
      </c>
      <c r="G154" s="9"/>
    </row>
    <row r="155" customFormat="false" ht="15" hidden="false" customHeight="false" outlineLevel="0" collapsed="false">
      <c r="A155" s="9" t="n">
        <v>52</v>
      </c>
      <c r="B155" s="9" t="s">
        <v>698</v>
      </c>
      <c r="C155" s="10" t="s">
        <v>699</v>
      </c>
      <c r="D155" s="9" t="s">
        <v>700</v>
      </c>
      <c r="E155" s="10" t="s">
        <v>24</v>
      </c>
      <c r="F155" s="9" t="s">
        <v>659</v>
      </c>
      <c r="G155" s="9"/>
    </row>
    <row r="156" customFormat="false" ht="15" hidden="false" customHeight="false" outlineLevel="0" collapsed="false">
      <c r="A156" s="9" t="n">
        <v>52</v>
      </c>
      <c r="B156" s="9" t="s">
        <v>698</v>
      </c>
      <c r="C156" s="10" t="s">
        <v>701</v>
      </c>
      <c r="D156" s="9" t="s">
        <v>702</v>
      </c>
      <c r="E156" s="10" t="s">
        <v>24</v>
      </c>
      <c r="F156" s="9" t="s">
        <v>659</v>
      </c>
      <c r="G156" s="9"/>
    </row>
    <row r="157" customFormat="false" ht="15" hidden="false" customHeight="false" outlineLevel="0" collapsed="false">
      <c r="A157" s="9" t="n">
        <v>52</v>
      </c>
      <c r="B157" s="9" t="s">
        <v>698</v>
      </c>
      <c r="C157" s="10" t="s">
        <v>703</v>
      </c>
      <c r="D157" s="9" t="s">
        <v>704</v>
      </c>
      <c r="E157" s="10" t="s">
        <v>24</v>
      </c>
      <c r="F157" s="9" t="s">
        <v>659</v>
      </c>
      <c r="G157" s="9"/>
    </row>
    <row r="158" customFormat="false" ht="15" hidden="false" customHeight="false" outlineLevel="0" collapsed="false">
      <c r="A158" s="9" t="n">
        <v>52</v>
      </c>
      <c r="B158" s="9" t="s">
        <v>698</v>
      </c>
      <c r="C158" s="10" t="s">
        <v>705</v>
      </c>
      <c r="D158" s="9" t="s">
        <v>706</v>
      </c>
      <c r="E158" s="10" t="s">
        <v>24</v>
      </c>
      <c r="F158" s="9" t="s">
        <v>659</v>
      </c>
      <c r="G158" s="9"/>
    </row>
    <row r="159" customFormat="false" ht="15" hidden="false" customHeight="false" outlineLevel="0" collapsed="false">
      <c r="A159" s="9" t="n">
        <v>52</v>
      </c>
      <c r="B159" s="9" t="s">
        <v>698</v>
      </c>
      <c r="C159" s="10" t="s">
        <v>707</v>
      </c>
      <c r="D159" s="9" t="s">
        <v>708</v>
      </c>
      <c r="E159" s="10" t="s">
        <v>24</v>
      </c>
      <c r="F159" s="9" t="s">
        <v>659</v>
      </c>
      <c r="G159" s="9"/>
    </row>
    <row r="160" customFormat="false" ht="15" hidden="false" customHeight="false" outlineLevel="0" collapsed="false">
      <c r="A160" s="9" t="n">
        <v>52</v>
      </c>
      <c r="B160" s="9" t="s">
        <v>698</v>
      </c>
      <c r="C160" s="10" t="s">
        <v>709</v>
      </c>
      <c r="D160" s="9" t="s">
        <v>710</v>
      </c>
      <c r="E160" s="10" t="s">
        <v>24</v>
      </c>
      <c r="F160" s="9" t="s">
        <v>659</v>
      </c>
      <c r="G160" s="9"/>
    </row>
    <row r="161" customFormat="false" ht="15" hidden="false" customHeight="false" outlineLevel="0" collapsed="false">
      <c r="A161" s="9" t="n">
        <v>53</v>
      </c>
      <c r="B161" s="9" t="s">
        <v>711</v>
      </c>
      <c r="C161" s="10" t="s">
        <v>712</v>
      </c>
      <c r="D161" s="9" t="s">
        <v>713</v>
      </c>
      <c r="E161" s="10" t="s">
        <v>24</v>
      </c>
      <c r="F161" s="9" t="s">
        <v>659</v>
      </c>
      <c r="G161" s="9"/>
    </row>
    <row r="162" customFormat="false" ht="15" hidden="false" customHeight="false" outlineLevel="0" collapsed="false">
      <c r="A162" s="9" t="n">
        <v>53</v>
      </c>
      <c r="B162" s="9" t="s">
        <v>711</v>
      </c>
      <c r="C162" s="10" t="s">
        <v>714</v>
      </c>
      <c r="D162" s="9" t="s">
        <v>715</v>
      </c>
      <c r="E162" s="10" t="s">
        <v>24</v>
      </c>
      <c r="F162" s="9" t="s">
        <v>659</v>
      </c>
      <c r="G162" s="9"/>
    </row>
    <row r="163" customFormat="false" ht="15" hidden="false" customHeight="false" outlineLevel="0" collapsed="false">
      <c r="A163" s="9" t="n">
        <v>53</v>
      </c>
      <c r="B163" s="9" t="s">
        <v>711</v>
      </c>
      <c r="C163" s="10" t="s">
        <v>716</v>
      </c>
      <c r="D163" s="9" t="s">
        <v>717</v>
      </c>
      <c r="E163" s="10" t="s">
        <v>24</v>
      </c>
      <c r="F163" s="9" t="s">
        <v>659</v>
      </c>
      <c r="G163" s="9"/>
    </row>
    <row r="164" customFormat="false" ht="15" hidden="false" customHeight="false" outlineLevel="0" collapsed="false">
      <c r="A164" s="9" t="n">
        <v>54</v>
      </c>
      <c r="B164" s="9" t="s">
        <v>718</v>
      </c>
      <c r="C164" s="10" t="s">
        <v>719</v>
      </c>
      <c r="D164" s="9" t="s">
        <v>720</v>
      </c>
      <c r="E164" s="10" t="s">
        <v>29</v>
      </c>
      <c r="F164" s="9" t="s">
        <v>659</v>
      </c>
      <c r="G164" s="9" t="s">
        <v>721</v>
      </c>
    </row>
    <row r="165" customFormat="false" ht="15" hidden="false" customHeight="false" outlineLevel="0" collapsed="false">
      <c r="A165" s="9" t="n">
        <v>55</v>
      </c>
      <c r="B165" s="9" t="s">
        <v>722</v>
      </c>
      <c r="C165" s="10" t="s">
        <v>723</v>
      </c>
      <c r="D165" s="9" t="s">
        <v>724</v>
      </c>
      <c r="E165" s="10" t="s">
        <v>29</v>
      </c>
      <c r="F165" s="9" t="s">
        <v>659</v>
      </c>
      <c r="G165" s="9"/>
    </row>
    <row r="166" customFormat="false" ht="15" hidden="false" customHeight="false" outlineLevel="0" collapsed="false">
      <c r="A166" s="9" t="n">
        <v>55</v>
      </c>
      <c r="B166" s="9" t="s">
        <v>722</v>
      </c>
      <c r="C166" s="10" t="s">
        <v>725</v>
      </c>
      <c r="D166" s="9" t="s">
        <v>726</v>
      </c>
      <c r="E166" s="10" t="s">
        <v>29</v>
      </c>
      <c r="F166" s="9" t="s">
        <v>659</v>
      </c>
      <c r="G166" s="9"/>
    </row>
    <row r="167" customFormat="false" ht="15" hidden="false" customHeight="false" outlineLevel="0" collapsed="false">
      <c r="A167" s="9" t="n">
        <v>56</v>
      </c>
      <c r="B167" s="9" t="s">
        <v>727</v>
      </c>
      <c r="C167" s="10" t="s">
        <v>728</v>
      </c>
      <c r="D167" s="9" t="s">
        <v>729</v>
      </c>
      <c r="E167" s="10" t="s">
        <v>27</v>
      </c>
      <c r="F167" s="9" t="s">
        <v>659</v>
      </c>
      <c r="G167" s="9"/>
    </row>
    <row r="168" customFormat="false" ht="15" hidden="false" customHeight="false" outlineLevel="0" collapsed="false">
      <c r="A168" s="9" t="n">
        <v>56</v>
      </c>
      <c r="B168" s="9" t="s">
        <v>727</v>
      </c>
      <c r="C168" s="10" t="s">
        <v>730</v>
      </c>
      <c r="D168" s="9" t="s">
        <v>731</v>
      </c>
      <c r="E168" s="10" t="s">
        <v>27</v>
      </c>
      <c r="F168" s="9" t="s">
        <v>659</v>
      </c>
      <c r="G168" s="9"/>
    </row>
    <row r="169" customFormat="false" ht="15" hidden="false" customHeight="false" outlineLevel="0" collapsed="false">
      <c r="A169" s="9" t="n">
        <v>57</v>
      </c>
      <c r="B169" s="9" t="s">
        <v>732</v>
      </c>
      <c r="C169" s="10" t="s">
        <v>733</v>
      </c>
      <c r="D169" s="9" t="s">
        <v>734</v>
      </c>
      <c r="E169" s="10" t="s">
        <v>25</v>
      </c>
      <c r="F169" s="9" t="s">
        <v>659</v>
      </c>
      <c r="G169" s="9"/>
    </row>
    <row r="170" customFormat="false" ht="15" hidden="false" customHeight="false" outlineLevel="0" collapsed="false">
      <c r="A170" s="9" t="n">
        <v>57</v>
      </c>
      <c r="B170" s="9" t="s">
        <v>732</v>
      </c>
      <c r="C170" s="10" t="s">
        <v>735</v>
      </c>
      <c r="D170" s="9" t="s">
        <v>736</v>
      </c>
      <c r="E170" s="10" t="s">
        <v>25</v>
      </c>
      <c r="F170" s="9" t="s">
        <v>659</v>
      </c>
      <c r="G170" s="9"/>
    </row>
    <row r="171" customFormat="false" ht="15" hidden="false" customHeight="false" outlineLevel="0" collapsed="false">
      <c r="A171" s="9" t="n">
        <v>57</v>
      </c>
      <c r="B171" s="9" t="s">
        <v>732</v>
      </c>
      <c r="C171" s="10" t="s">
        <v>737</v>
      </c>
      <c r="D171" s="9" t="s">
        <v>738</v>
      </c>
      <c r="E171" s="10" t="s">
        <v>25</v>
      </c>
      <c r="F171" s="9" t="s">
        <v>659</v>
      </c>
      <c r="G171" s="9"/>
    </row>
    <row r="172" customFormat="false" ht="15" hidden="false" customHeight="false" outlineLevel="0" collapsed="false">
      <c r="A172" s="9" t="n">
        <v>58</v>
      </c>
      <c r="B172" s="9" t="s">
        <v>739</v>
      </c>
      <c r="C172" s="10" t="s">
        <v>740</v>
      </c>
      <c r="D172" s="9" t="s">
        <v>741</v>
      </c>
      <c r="E172" s="10" t="s">
        <v>25</v>
      </c>
      <c r="F172" s="9" t="s">
        <v>659</v>
      </c>
      <c r="G172" s="9" t="s">
        <v>742</v>
      </c>
    </row>
    <row r="173" customFormat="false" ht="15" hidden="false" customHeight="false" outlineLevel="0" collapsed="false">
      <c r="A173" s="9" t="n">
        <v>59</v>
      </c>
      <c r="B173" s="9" t="s">
        <v>743</v>
      </c>
      <c r="C173" s="10" t="s">
        <v>744</v>
      </c>
      <c r="D173" s="9" t="s">
        <v>745</v>
      </c>
      <c r="E173" s="10" t="s">
        <v>25</v>
      </c>
      <c r="F173" s="9" t="s">
        <v>659</v>
      </c>
      <c r="G173" s="9"/>
    </row>
    <row r="174" customFormat="false" ht="15" hidden="false" customHeight="false" outlineLevel="0" collapsed="false">
      <c r="A174" s="9" t="n">
        <v>59</v>
      </c>
      <c r="B174" s="9" t="s">
        <v>743</v>
      </c>
      <c r="C174" s="10" t="s">
        <v>746</v>
      </c>
      <c r="D174" s="9" t="s">
        <v>747</v>
      </c>
      <c r="E174" s="10" t="s">
        <v>25</v>
      </c>
      <c r="F174" s="9" t="s">
        <v>659</v>
      </c>
      <c r="G174" s="9"/>
    </row>
    <row r="175" customFormat="false" ht="15" hidden="false" customHeight="false" outlineLevel="0" collapsed="false">
      <c r="A175" s="9" t="n">
        <v>59</v>
      </c>
      <c r="B175" s="9" t="s">
        <v>743</v>
      </c>
      <c r="C175" s="10" t="s">
        <v>748</v>
      </c>
      <c r="D175" s="9" t="s">
        <v>749</v>
      </c>
      <c r="E175" s="10" t="s">
        <v>24</v>
      </c>
      <c r="F175" s="9" t="s">
        <v>659</v>
      </c>
      <c r="G175" s="9"/>
    </row>
    <row r="176" customFormat="false" ht="15" hidden="false" customHeight="false" outlineLevel="0" collapsed="false">
      <c r="A176" s="9" t="n">
        <v>59</v>
      </c>
      <c r="B176" s="9" t="s">
        <v>743</v>
      </c>
      <c r="C176" s="10" t="s">
        <v>750</v>
      </c>
      <c r="D176" s="9" t="s">
        <v>751</v>
      </c>
      <c r="E176" s="10" t="s">
        <v>24</v>
      </c>
      <c r="F176" s="9" t="s">
        <v>659</v>
      </c>
      <c r="G176" s="9"/>
    </row>
    <row r="177" customFormat="false" ht="15" hidden="false" customHeight="false" outlineLevel="0" collapsed="false">
      <c r="A177" s="9" t="n">
        <v>60</v>
      </c>
      <c r="B177" s="9" t="s">
        <v>752</v>
      </c>
      <c r="C177" s="10" t="s">
        <v>753</v>
      </c>
      <c r="D177" s="9" t="s">
        <v>752</v>
      </c>
      <c r="E177" s="10" t="s">
        <v>24</v>
      </c>
      <c r="F177" s="9" t="s">
        <v>659</v>
      </c>
      <c r="G177" s="9" t="s">
        <v>754</v>
      </c>
    </row>
    <row r="178" customFormat="false" ht="15" hidden="false" customHeight="false" outlineLevel="0" collapsed="false">
      <c r="A178" s="9" t="n">
        <v>61</v>
      </c>
      <c r="B178" s="9" t="s">
        <v>755</v>
      </c>
      <c r="C178" s="10" t="s">
        <v>756</v>
      </c>
      <c r="D178" s="9" t="s">
        <v>757</v>
      </c>
      <c r="E178" s="10" t="s">
        <v>24</v>
      </c>
      <c r="F178" s="9" t="s">
        <v>659</v>
      </c>
      <c r="G178" s="9"/>
    </row>
    <row r="179" customFormat="false" ht="15" hidden="false" customHeight="false" outlineLevel="0" collapsed="false">
      <c r="A179" s="9" t="n">
        <v>61</v>
      </c>
      <c r="B179" s="9" t="s">
        <v>755</v>
      </c>
      <c r="C179" s="10" t="s">
        <v>758</v>
      </c>
      <c r="D179" s="9" t="s">
        <v>759</v>
      </c>
      <c r="E179" s="10" t="s">
        <v>24</v>
      </c>
      <c r="F179" s="9" t="s">
        <v>659</v>
      </c>
      <c r="G179" s="9"/>
    </row>
    <row r="180" customFormat="false" ht="15" hidden="false" customHeight="false" outlineLevel="0" collapsed="false">
      <c r="A180" s="9" t="n">
        <v>62</v>
      </c>
      <c r="B180" s="9" t="s">
        <v>760</v>
      </c>
      <c r="C180" s="10" t="s">
        <v>761</v>
      </c>
      <c r="D180" s="9" t="s">
        <v>762</v>
      </c>
      <c r="E180" s="10" t="s">
        <v>24</v>
      </c>
      <c r="F180" s="9" t="s">
        <v>659</v>
      </c>
      <c r="G180" s="9"/>
    </row>
    <row r="181" customFormat="false" ht="15" hidden="false" customHeight="false" outlineLevel="0" collapsed="false">
      <c r="A181" s="9" t="n">
        <v>62</v>
      </c>
      <c r="B181" s="9" t="s">
        <v>760</v>
      </c>
      <c r="C181" s="10" t="s">
        <v>763</v>
      </c>
      <c r="D181" s="9" t="s">
        <v>764</v>
      </c>
      <c r="E181" s="10" t="s">
        <v>24</v>
      </c>
      <c r="F181" s="9" t="s">
        <v>659</v>
      </c>
      <c r="G181" s="9"/>
    </row>
    <row r="182" customFormat="false" ht="15" hidden="false" customHeight="false" outlineLevel="0" collapsed="false">
      <c r="A182" s="9" t="n">
        <v>63</v>
      </c>
      <c r="B182" s="9" t="s">
        <v>765</v>
      </c>
      <c r="C182" s="10" t="s">
        <v>766</v>
      </c>
      <c r="D182" s="9" t="s">
        <v>767</v>
      </c>
      <c r="E182" s="10" t="s">
        <v>24</v>
      </c>
      <c r="F182" s="9" t="s">
        <v>659</v>
      </c>
      <c r="G182" s="9" t="s">
        <v>768</v>
      </c>
    </row>
    <row r="183" customFormat="false" ht="15" hidden="false" customHeight="false" outlineLevel="0" collapsed="false">
      <c r="A183" s="9" t="n">
        <v>64</v>
      </c>
      <c r="B183" s="9" t="s">
        <v>769</v>
      </c>
      <c r="C183" s="10" t="s">
        <v>770</v>
      </c>
      <c r="D183" s="9" t="s">
        <v>771</v>
      </c>
      <c r="E183" s="10" t="s">
        <v>29</v>
      </c>
      <c r="F183" s="9" t="s">
        <v>93</v>
      </c>
      <c r="G183" s="9"/>
    </row>
    <row r="184" customFormat="false" ht="15" hidden="false" customHeight="false" outlineLevel="0" collapsed="false">
      <c r="A184" s="9" t="n">
        <v>64</v>
      </c>
      <c r="B184" s="9" t="s">
        <v>769</v>
      </c>
      <c r="C184" s="10" t="s">
        <v>772</v>
      </c>
      <c r="D184" s="9" t="s">
        <v>773</v>
      </c>
      <c r="E184" s="10" t="s">
        <v>29</v>
      </c>
      <c r="F184" s="9" t="s">
        <v>93</v>
      </c>
      <c r="G184" s="9"/>
    </row>
    <row r="185" customFormat="false" ht="15" hidden="false" customHeight="false" outlineLevel="0" collapsed="false">
      <c r="A185" s="9" t="n">
        <v>64</v>
      </c>
      <c r="B185" s="9" t="s">
        <v>769</v>
      </c>
      <c r="C185" s="10" t="s">
        <v>774</v>
      </c>
      <c r="D185" s="9" t="s">
        <v>775</v>
      </c>
      <c r="E185" s="10" t="s">
        <v>29</v>
      </c>
      <c r="F185" s="9" t="s">
        <v>93</v>
      </c>
      <c r="G185" s="9"/>
    </row>
    <row r="186" customFormat="false" ht="15" hidden="false" customHeight="false" outlineLevel="0" collapsed="false">
      <c r="A186" s="9" t="n">
        <v>64</v>
      </c>
      <c r="B186" s="9" t="s">
        <v>769</v>
      </c>
      <c r="C186" s="10" t="s">
        <v>776</v>
      </c>
      <c r="D186" s="9" t="s">
        <v>777</v>
      </c>
      <c r="E186" s="10" t="s">
        <v>29</v>
      </c>
      <c r="F186" s="9" t="s">
        <v>93</v>
      </c>
      <c r="G186" s="9"/>
    </row>
    <row r="187" customFormat="false" ht="15" hidden="false" customHeight="false" outlineLevel="0" collapsed="false">
      <c r="A187" s="9" t="n">
        <v>64</v>
      </c>
      <c r="B187" s="9" t="s">
        <v>769</v>
      </c>
      <c r="C187" s="10" t="s">
        <v>778</v>
      </c>
      <c r="D187" s="9" t="s">
        <v>779</v>
      </c>
      <c r="E187" s="10" t="s">
        <v>29</v>
      </c>
      <c r="F187" s="9" t="s">
        <v>93</v>
      </c>
      <c r="G187" s="9"/>
    </row>
    <row r="188" customFormat="false" ht="15" hidden="false" customHeight="false" outlineLevel="0" collapsed="false">
      <c r="A188" s="9" t="n">
        <v>64</v>
      </c>
      <c r="B188" s="9" t="s">
        <v>769</v>
      </c>
      <c r="C188" s="10" t="s">
        <v>780</v>
      </c>
      <c r="D188" s="9" t="s">
        <v>781</v>
      </c>
      <c r="E188" s="10" t="s">
        <v>29</v>
      </c>
      <c r="F188" s="9" t="s">
        <v>93</v>
      </c>
      <c r="G188" s="9"/>
    </row>
    <row r="189" customFormat="false" ht="15" hidden="false" customHeight="false" outlineLevel="0" collapsed="false">
      <c r="A189" s="9" t="n">
        <v>64</v>
      </c>
      <c r="B189" s="9" t="s">
        <v>769</v>
      </c>
      <c r="C189" s="10" t="s">
        <v>782</v>
      </c>
      <c r="D189" s="9" t="s">
        <v>783</v>
      </c>
      <c r="E189" s="10" t="s">
        <v>26</v>
      </c>
      <c r="F189" s="9" t="s">
        <v>93</v>
      </c>
      <c r="G189" s="9" t="s">
        <v>783</v>
      </c>
    </row>
    <row r="190" customFormat="false" ht="15" hidden="false" customHeight="false" outlineLevel="0" collapsed="false">
      <c r="A190" s="9" t="n">
        <v>64</v>
      </c>
      <c r="B190" s="9" t="s">
        <v>769</v>
      </c>
      <c r="C190" s="10" t="s">
        <v>784</v>
      </c>
      <c r="D190" s="9" t="s">
        <v>785</v>
      </c>
      <c r="E190" s="10" t="s">
        <v>29</v>
      </c>
      <c r="F190" s="9" t="s">
        <v>93</v>
      </c>
      <c r="G190" s="9"/>
    </row>
    <row r="191" customFormat="false" ht="15" hidden="false" customHeight="false" outlineLevel="0" collapsed="false">
      <c r="A191" s="9" t="n">
        <v>64</v>
      </c>
      <c r="B191" s="9" t="s">
        <v>769</v>
      </c>
      <c r="C191" s="10" t="s">
        <v>786</v>
      </c>
      <c r="D191" s="9" t="s">
        <v>787</v>
      </c>
      <c r="E191" s="10" t="s">
        <v>29</v>
      </c>
      <c r="F191" s="9" t="s">
        <v>93</v>
      </c>
      <c r="G191" s="9"/>
    </row>
    <row r="192" customFormat="false" ht="15" hidden="false" customHeight="false" outlineLevel="0" collapsed="false">
      <c r="A192" s="9" t="n">
        <v>65</v>
      </c>
      <c r="B192" s="9" t="s">
        <v>788</v>
      </c>
      <c r="C192" s="10" t="s">
        <v>789</v>
      </c>
      <c r="D192" s="9" t="s">
        <v>790</v>
      </c>
      <c r="E192" s="10" t="s">
        <v>25</v>
      </c>
      <c r="F192" s="9" t="s">
        <v>93</v>
      </c>
      <c r="G192" s="9" t="s">
        <v>791</v>
      </c>
    </row>
    <row r="193" customFormat="false" ht="15" hidden="false" customHeight="false" outlineLevel="0" collapsed="false">
      <c r="A193" s="9" t="n">
        <v>66</v>
      </c>
      <c r="B193" s="9" t="s">
        <v>792</v>
      </c>
      <c r="C193" s="10" t="s">
        <v>793</v>
      </c>
      <c r="D193" s="9" t="s">
        <v>794</v>
      </c>
      <c r="E193" s="10" t="s">
        <v>24</v>
      </c>
      <c r="F193" s="9" t="s">
        <v>93</v>
      </c>
      <c r="G193" s="9"/>
    </row>
    <row r="194" customFormat="false" ht="15" hidden="false" customHeight="false" outlineLevel="0" collapsed="false">
      <c r="A194" s="9" t="n">
        <v>66</v>
      </c>
      <c r="B194" s="9" t="s">
        <v>792</v>
      </c>
      <c r="C194" s="10" t="s">
        <v>795</v>
      </c>
      <c r="D194" s="9" t="s">
        <v>796</v>
      </c>
      <c r="E194" s="10" t="s">
        <v>24</v>
      </c>
      <c r="F194" s="9" t="s">
        <v>93</v>
      </c>
      <c r="G194" s="9"/>
    </row>
    <row r="195" customFormat="false" ht="15" hidden="false" customHeight="false" outlineLevel="0" collapsed="false">
      <c r="A195" s="9" t="n">
        <v>66</v>
      </c>
      <c r="B195" s="9" t="s">
        <v>792</v>
      </c>
      <c r="C195" s="10" t="s">
        <v>797</v>
      </c>
      <c r="D195" s="9" t="s">
        <v>798</v>
      </c>
      <c r="E195" s="10" t="s">
        <v>24</v>
      </c>
      <c r="F195" s="9" t="s">
        <v>93</v>
      </c>
      <c r="G195" s="9"/>
    </row>
    <row r="196" customFormat="false" ht="15" hidden="false" customHeight="false" outlineLevel="0" collapsed="false">
      <c r="A196" s="9" t="n">
        <v>67</v>
      </c>
      <c r="B196" s="9" t="s">
        <v>799</v>
      </c>
      <c r="C196" s="10" t="s">
        <v>800</v>
      </c>
      <c r="D196" s="9" t="s">
        <v>801</v>
      </c>
      <c r="E196" s="10" t="s">
        <v>24</v>
      </c>
      <c r="F196" s="9" t="s">
        <v>93</v>
      </c>
      <c r="G196" s="9" t="s">
        <v>802</v>
      </c>
    </row>
    <row r="197" customFormat="false" ht="15" hidden="false" customHeight="false" outlineLevel="0" collapsed="false">
      <c r="A197" s="9" t="n">
        <v>68</v>
      </c>
      <c r="B197" s="9" t="s">
        <v>803</v>
      </c>
      <c r="C197" s="10" t="s">
        <v>804</v>
      </c>
      <c r="D197" s="9" t="s">
        <v>805</v>
      </c>
      <c r="E197" s="10" t="s">
        <v>24</v>
      </c>
      <c r="F197" s="9" t="s">
        <v>93</v>
      </c>
      <c r="G197" s="9" t="s">
        <v>806</v>
      </c>
    </row>
    <row r="198" customFormat="false" ht="15" hidden="false" customHeight="false" outlineLevel="0" collapsed="false">
      <c r="A198" s="9" t="n">
        <v>69</v>
      </c>
      <c r="B198" s="9" t="s">
        <v>807</v>
      </c>
      <c r="C198" s="10" t="s">
        <v>808</v>
      </c>
      <c r="D198" s="9" t="s">
        <v>809</v>
      </c>
      <c r="E198" s="10" t="s">
        <v>28</v>
      </c>
      <c r="F198" s="9" t="s">
        <v>810</v>
      </c>
      <c r="G198" s="9"/>
    </row>
    <row r="199" customFormat="false" ht="15" hidden="false" customHeight="false" outlineLevel="0" collapsed="false">
      <c r="A199" s="9" t="n">
        <v>69</v>
      </c>
      <c r="B199" s="9" t="s">
        <v>807</v>
      </c>
      <c r="C199" s="10" t="s">
        <v>811</v>
      </c>
      <c r="D199" s="9" t="s">
        <v>812</v>
      </c>
      <c r="E199" s="10" t="s">
        <v>28</v>
      </c>
      <c r="F199" s="9" t="s">
        <v>810</v>
      </c>
      <c r="G199" s="9"/>
    </row>
    <row r="200" customFormat="false" ht="15" hidden="false" customHeight="false" outlineLevel="0" collapsed="false">
      <c r="A200" s="9" t="n">
        <v>70</v>
      </c>
      <c r="B200" s="9" t="s">
        <v>813</v>
      </c>
      <c r="C200" s="10" t="s">
        <v>814</v>
      </c>
      <c r="D200" s="9" t="s">
        <v>815</v>
      </c>
      <c r="E200" s="10" t="s">
        <v>30</v>
      </c>
      <c r="F200" s="9" t="s">
        <v>810</v>
      </c>
      <c r="G200" s="9"/>
    </row>
    <row r="201" customFormat="false" ht="15" hidden="false" customHeight="false" outlineLevel="0" collapsed="false">
      <c r="A201" s="9" t="n">
        <v>70</v>
      </c>
      <c r="B201" s="9" t="s">
        <v>813</v>
      </c>
      <c r="C201" s="10" t="s">
        <v>816</v>
      </c>
      <c r="D201" s="9" t="s">
        <v>817</v>
      </c>
      <c r="E201" s="10" t="s">
        <v>30</v>
      </c>
      <c r="F201" s="9" t="s">
        <v>810</v>
      </c>
      <c r="G201" s="9"/>
    </row>
    <row r="202" customFormat="false" ht="15" hidden="false" customHeight="false" outlineLevel="0" collapsed="false">
      <c r="A202" s="9" t="n">
        <v>70</v>
      </c>
      <c r="B202" s="9" t="s">
        <v>813</v>
      </c>
      <c r="C202" s="10" t="s">
        <v>818</v>
      </c>
      <c r="D202" s="9" t="s">
        <v>819</v>
      </c>
      <c r="E202" s="10" t="s">
        <v>30</v>
      </c>
      <c r="F202" s="9" t="s">
        <v>810</v>
      </c>
      <c r="G202" s="9"/>
    </row>
    <row r="203" customFormat="false" ht="15" hidden="false" customHeight="false" outlineLevel="0" collapsed="false">
      <c r="A203" s="9" t="n">
        <v>71</v>
      </c>
      <c r="B203" s="9" t="s">
        <v>820</v>
      </c>
      <c r="C203" s="10" t="s">
        <v>821</v>
      </c>
      <c r="D203" s="9" t="s">
        <v>822</v>
      </c>
      <c r="E203" s="10" t="s">
        <v>30</v>
      </c>
      <c r="F203" s="9" t="s">
        <v>810</v>
      </c>
      <c r="G203" s="9"/>
    </row>
    <row r="204" customFormat="false" ht="15" hidden="false" customHeight="false" outlineLevel="0" collapsed="false">
      <c r="A204" s="9" t="n">
        <v>71</v>
      </c>
      <c r="B204" s="9" t="s">
        <v>820</v>
      </c>
      <c r="C204" s="10" t="s">
        <v>823</v>
      </c>
      <c r="D204" s="9" t="s">
        <v>824</v>
      </c>
      <c r="E204" s="10" t="s">
        <v>30</v>
      </c>
      <c r="F204" s="9" t="s">
        <v>810</v>
      </c>
      <c r="G204" s="9"/>
    </row>
    <row r="205" customFormat="false" ht="15" hidden="false" customHeight="false" outlineLevel="0" collapsed="false">
      <c r="A205" s="9" t="n">
        <v>71</v>
      </c>
      <c r="B205" s="9" t="s">
        <v>820</v>
      </c>
      <c r="C205" s="10" t="s">
        <v>825</v>
      </c>
      <c r="D205" s="9" t="s">
        <v>826</v>
      </c>
      <c r="E205" s="10" t="s">
        <v>30</v>
      </c>
      <c r="F205" s="9" t="s">
        <v>810</v>
      </c>
      <c r="G205" s="9"/>
    </row>
    <row r="206" customFormat="false" ht="26.85" hidden="false" customHeight="false" outlineLevel="0" collapsed="false">
      <c r="A206" s="9" t="n">
        <v>72</v>
      </c>
      <c r="B206" s="9" t="s">
        <v>827</v>
      </c>
      <c r="C206" s="10" t="s">
        <v>828</v>
      </c>
      <c r="D206" s="9" t="s">
        <v>829</v>
      </c>
      <c r="E206" s="10" t="s">
        <v>30</v>
      </c>
      <c r="F206" s="9" t="s">
        <v>810</v>
      </c>
      <c r="G206" s="9"/>
    </row>
    <row r="207" customFormat="false" ht="26.85" hidden="false" customHeight="false" outlineLevel="0" collapsed="false">
      <c r="A207" s="9" t="n">
        <v>72</v>
      </c>
      <c r="B207" s="9" t="s">
        <v>827</v>
      </c>
      <c r="C207" s="10" t="s">
        <v>830</v>
      </c>
      <c r="D207" s="9" t="s">
        <v>831</v>
      </c>
      <c r="E207" s="10" t="s">
        <v>30</v>
      </c>
      <c r="F207" s="9" t="s">
        <v>810</v>
      </c>
      <c r="G207" s="9"/>
    </row>
    <row r="208" customFormat="false" ht="26.85" hidden="false" customHeight="false" outlineLevel="0" collapsed="false">
      <c r="A208" s="9" t="n">
        <v>72</v>
      </c>
      <c r="B208" s="9" t="s">
        <v>827</v>
      </c>
      <c r="C208" s="10" t="s">
        <v>832</v>
      </c>
      <c r="D208" s="9" t="s">
        <v>833</v>
      </c>
      <c r="E208" s="10" t="s">
        <v>30</v>
      </c>
      <c r="F208" s="9" t="s">
        <v>810</v>
      </c>
      <c r="G208" s="9"/>
    </row>
    <row r="209" customFormat="false" ht="26.85" hidden="false" customHeight="false" outlineLevel="0" collapsed="false">
      <c r="A209" s="9" t="n">
        <v>72</v>
      </c>
      <c r="B209" s="9" t="s">
        <v>827</v>
      </c>
      <c r="C209" s="10" t="s">
        <v>834</v>
      </c>
      <c r="D209" s="9" t="s">
        <v>835</v>
      </c>
      <c r="E209" s="10" t="s">
        <v>30</v>
      </c>
      <c r="F209" s="9" t="s">
        <v>810</v>
      </c>
      <c r="G209" s="9"/>
    </row>
    <row r="210" customFormat="false" ht="15" hidden="false" customHeight="false" outlineLevel="0" collapsed="false">
      <c r="A210" s="9" t="n">
        <v>73</v>
      </c>
      <c r="B210" s="9" t="s">
        <v>836</v>
      </c>
      <c r="C210" s="10" t="s">
        <v>837</v>
      </c>
      <c r="D210" s="9" t="s">
        <v>838</v>
      </c>
      <c r="E210" s="10" t="s">
        <v>29</v>
      </c>
      <c r="F210" s="9" t="s">
        <v>810</v>
      </c>
      <c r="G210" s="9" t="s">
        <v>839</v>
      </c>
    </row>
    <row r="211" customFormat="false" ht="15" hidden="false" customHeight="false" outlineLevel="0" collapsed="false">
      <c r="A211" s="9" t="n">
        <v>73</v>
      </c>
      <c r="B211" s="9" t="s">
        <v>836</v>
      </c>
      <c r="C211" s="10" t="s">
        <v>840</v>
      </c>
      <c r="D211" s="9" t="s">
        <v>841</v>
      </c>
      <c r="E211" s="10" t="s">
        <v>28</v>
      </c>
      <c r="F211" s="9" t="s">
        <v>810</v>
      </c>
      <c r="G211" s="9" t="s">
        <v>842</v>
      </c>
    </row>
    <row r="212" customFormat="false" ht="15" hidden="false" customHeight="false" outlineLevel="0" collapsed="false">
      <c r="A212" s="9" t="n">
        <v>74</v>
      </c>
      <c r="B212" s="9" t="s">
        <v>843</v>
      </c>
      <c r="C212" s="10" t="s">
        <v>844</v>
      </c>
      <c r="D212" s="9" t="s">
        <v>845</v>
      </c>
      <c r="E212" s="10" t="s">
        <v>30</v>
      </c>
      <c r="F212" s="9" t="s">
        <v>810</v>
      </c>
      <c r="G212" s="9"/>
    </row>
    <row r="213" customFormat="false" ht="26.85" hidden="false" customHeight="false" outlineLevel="0" collapsed="false">
      <c r="A213" s="9" t="n">
        <v>74</v>
      </c>
      <c r="B213" s="9" t="s">
        <v>843</v>
      </c>
      <c r="C213" s="10" t="s">
        <v>846</v>
      </c>
      <c r="D213" s="9" t="s">
        <v>847</v>
      </c>
      <c r="E213" s="10" t="s">
        <v>30</v>
      </c>
      <c r="F213" s="9" t="s">
        <v>810</v>
      </c>
      <c r="G213" s="9"/>
    </row>
    <row r="214" customFormat="false" ht="15" hidden="false" customHeight="false" outlineLevel="0" collapsed="false">
      <c r="A214" s="9" t="n">
        <v>74</v>
      </c>
      <c r="B214" s="9" t="s">
        <v>843</v>
      </c>
      <c r="C214" s="10" t="s">
        <v>848</v>
      </c>
      <c r="D214" s="9" t="s">
        <v>849</v>
      </c>
      <c r="E214" s="10" t="s">
        <v>30</v>
      </c>
      <c r="F214" s="9" t="s">
        <v>810</v>
      </c>
      <c r="G214" s="9"/>
    </row>
    <row r="215" customFormat="false" ht="26.85" hidden="false" customHeight="false" outlineLevel="0" collapsed="false">
      <c r="A215" s="9" t="n">
        <v>75</v>
      </c>
      <c r="B215" s="9" t="s">
        <v>850</v>
      </c>
      <c r="C215" s="10" t="s">
        <v>851</v>
      </c>
      <c r="D215" s="9" t="s">
        <v>852</v>
      </c>
      <c r="E215" s="10" t="s">
        <v>30</v>
      </c>
      <c r="F215" s="9" t="s">
        <v>810</v>
      </c>
      <c r="G215" s="9"/>
    </row>
    <row r="216" customFormat="false" ht="26.85" hidden="false" customHeight="false" outlineLevel="0" collapsed="false">
      <c r="A216" s="9" t="n">
        <v>75</v>
      </c>
      <c r="B216" s="9" t="s">
        <v>850</v>
      </c>
      <c r="C216" s="10" t="s">
        <v>853</v>
      </c>
      <c r="D216" s="9" t="s">
        <v>854</v>
      </c>
      <c r="E216" s="10" t="s">
        <v>30</v>
      </c>
      <c r="F216" s="9" t="s">
        <v>810</v>
      </c>
      <c r="G216" s="9"/>
    </row>
    <row r="217" customFormat="false" ht="26.85" hidden="false" customHeight="false" outlineLevel="0" collapsed="false">
      <c r="A217" s="9" t="n">
        <v>75</v>
      </c>
      <c r="B217" s="9" t="s">
        <v>850</v>
      </c>
      <c r="C217" s="10" t="s">
        <v>855</v>
      </c>
      <c r="D217" s="9" t="s">
        <v>856</v>
      </c>
      <c r="E217" s="10" t="s">
        <v>29</v>
      </c>
      <c r="F217" s="9" t="s">
        <v>810</v>
      </c>
      <c r="G217" s="9" t="s">
        <v>857</v>
      </c>
    </row>
    <row r="218" customFormat="false" ht="15" hidden="false" customHeight="false" outlineLevel="0" collapsed="false">
      <c r="A218" s="9" t="n">
        <v>76</v>
      </c>
      <c r="B218" s="9" t="s">
        <v>858</v>
      </c>
      <c r="C218" s="10" t="s">
        <v>859</v>
      </c>
      <c r="D218" s="9" t="s">
        <v>860</v>
      </c>
      <c r="E218" s="10" t="s">
        <v>27</v>
      </c>
      <c r="F218" s="9" t="s">
        <v>810</v>
      </c>
      <c r="G218" s="9"/>
    </row>
    <row r="219" customFormat="false" ht="15" hidden="false" customHeight="false" outlineLevel="0" collapsed="false">
      <c r="A219" s="9" t="n">
        <v>76</v>
      </c>
      <c r="B219" s="9" t="s">
        <v>858</v>
      </c>
      <c r="C219" s="10" t="s">
        <v>861</v>
      </c>
      <c r="D219" s="9" t="s">
        <v>862</v>
      </c>
      <c r="E219" s="10" t="s">
        <v>27</v>
      </c>
      <c r="F219" s="9" t="s">
        <v>810</v>
      </c>
      <c r="G219" s="9"/>
    </row>
    <row r="220" customFormat="false" ht="15" hidden="false" customHeight="false" outlineLevel="0" collapsed="false">
      <c r="A220" s="9" t="n">
        <v>76</v>
      </c>
      <c r="B220" s="9" t="s">
        <v>858</v>
      </c>
      <c r="C220" s="10" t="s">
        <v>863</v>
      </c>
      <c r="D220" s="9" t="s">
        <v>864</v>
      </c>
      <c r="E220" s="10" t="s">
        <v>27</v>
      </c>
      <c r="F220" s="9" t="s">
        <v>810</v>
      </c>
      <c r="G220" s="9"/>
    </row>
    <row r="221" customFormat="false" ht="15" hidden="false" customHeight="false" outlineLevel="0" collapsed="false">
      <c r="A221" s="9" t="n">
        <v>76</v>
      </c>
      <c r="B221" s="9" t="s">
        <v>858</v>
      </c>
      <c r="C221" s="10" t="s">
        <v>865</v>
      </c>
      <c r="D221" s="9" t="s">
        <v>866</v>
      </c>
      <c r="E221" s="10" t="s">
        <v>27</v>
      </c>
      <c r="F221" s="9" t="s">
        <v>810</v>
      </c>
      <c r="G221" s="9"/>
    </row>
    <row r="222" customFormat="false" ht="15" hidden="false" customHeight="false" outlineLevel="0" collapsed="false">
      <c r="A222" s="9" t="n">
        <v>77</v>
      </c>
      <c r="B222" s="9" t="s">
        <v>867</v>
      </c>
      <c r="C222" s="10" t="s">
        <v>868</v>
      </c>
      <c r="D222" s="9" t="s">
        <v>869</v>
      </c>
      <c r="E222" s="10" t="s">
        <v>27</v>
      </c>
      <c r="F222" s="9" t="s">
        <v>810</v>
      </c>
      <c r="G222" s="9"/>
    </row>
    <row r="223" customFormat="false" ht="15" hidden="false" customHeight="false" outlineLevel="0" collapsed="false">
      <c r="A223" s="9" t="n">
        <v>77</v>
      </c>
      <c r="B223" s="9" t="s">
        <v>867</v>
      </c>
      <c r="C223" s="10" t="s">
        <v>870</v>
      </c>
      <c r="D223" s="9" t="s">
        <v>871</v>
      </c>
      <c r="E223" s="10" t="s">
        <v>27</v>
      </c>
      <c r="F223" s="9" t="s">
        <v>810</v>
      </c>
      <c r="G223" s="9"/>
    </row>
    <row r="224" customFormat="false" ht="15" hidden="false" customHeight="false" outlineLevel="0" collapsed="false">
      <c r="A224" s="9" t="n">
        <v>78</v>
      </c>
      <c r="B224" s="9" t="s">
        <v>872</v>
      </c>
      <c r="C224" s="10" t="s">
        <v>873</v>
      </c>
      <c r="D224" s="9" t="s">
        <v>874</v>
      </c>
      <c r="E224" s="10" t="s">
        <v>27</v>
      </c>
      <c r="F224" s="9" t="s">
        <v>810</v>
      </c>
      <c r="G224" s="9"/>
    </row>
    <row r="225" customFormat="false" ht="15" hidden="false" customHeight="false" outlineLevel="0" collapsed="false">
      <c r="A225" s="9" t="n">
        <v>78</v>
      </c>
      <c r="B225" s="9" t="s">
        <v>872</v>
      </c>
      <c r="C225" s="10" t="s">
        <v>875</v>
      </c>
      <c r="D225" s="9" t="s">
        <v>876</v>
      </c>
      <c r="E225" s="10" t="s">
        <v>27</v>
      </c>
      <c r="F225" s="9" t="s">
        <v>810</v>
      </c>
      <c r="G225" s="9"/>
    </row>
    <row r="226" customFormat="false" ht="15" hidden="false" customHeight="false" outlineLevel="0" collapsed="false">
      <c r="A226" s="9" t="n">
        <v>78</v>
      </c>
      <c r="B226" s="9" t="s">
        <v>872</v>
      </c>
      <c r="C226" s="10" t="s">
        <v>877</v>
      </c>
      <c r="D226" s="9" t="s">
        <v>878</v>
      </c>
      <c r="E226" s="10" t="s">
        <v>27</v>
      </c>
      <c r="F226" s="9" t="s">
        <v>810</v>
      </c>
      <c r="G226" s="9"/>
    </row>
    <row r="227" customFormat="false" ht="26.85" hidden="false" customHeight="false" outlineLevel="0" collapsed="false">
      <c r="A227" s="9" t="n">
        <v>79</v>
      </c>
      <c r="B227" s="9" t="s">
        <v>879</v>
      </c>
      <c r="C227" s="10" t="s">
        <v>880</v>
      </c>
      <c r="D227" s="9" t="s">
        <v>881</v>
      </c>
      <c r="E227" s="10" t="s">
        <v>27</v>
      </c>
      <c r="F227" s="9" t="s">
        <v>810</v>
      </c>
      <c r="G227" s="9"/>
    </row>
    <row r="228" customFormat="false" ht="26.85" hidden="false" customHeight="false" outlineLevel="0" collapsed="false">
      <c r="A228" s="9" t="n">
        <v>79</v>
      </c>
      <c r="B228" s="9" t="s">
        <v>879</v>
      </c>
      <c r="C228" s="10" t="s">
        <v>882</v>
      </c>
      <c r="D228" s="9" t="s">
        <v>883</v>
      </c>
      <c r="E228" s="10" t="s">
        <v>27</v>
      </c>
      <c r="F228" s="9" t="s">
        <v>810</v>
      </c>
      <c r="G228" s="9"/>
    </row>
    <row r="229" customFormat="false" ht="26.85" hidden="false" customHeight="false" outlineLevel="0" collapsed="false">
      <c r="A229" s="9" t="n">
        <v>80</v>
      </c>
      <c r="B229" s="9" t="s">
        <v>884</v>
      </c>
      <c r="C229" s="10" t="s">
        <v>885</v>
      </c>
      <c r="D229" s="9" t="s">
        <v>886</v>
      </c>
      <c r="E229" s="10" t="s">
        <v>27</v>
      </c>
      <c r="F229" s="9" t="s">
        <v>810</v>
      </c>
      <c r="G229" s="9"/>
    </row>
    <row r="230" customFormat="false" ht="26.85" hidden="false" customHeight="false" outlineLevel="0" collapsed="false">
      <c r="A230" s="9" t="n">
        <v>80</v>
      </c>
      <c r="B230" s="9" t="s">
        <v>884</v>
      </c>
      <c r="C230" s="10" t="s">
        <v>887</v>
      </c>
      <c r="D230" s="9" t="s">
        <v>888</v>
      </c>
      <c r="E230" s="10" t="s">
        <v>27</v>
      </c>
      <c r="F230" s="9" t="s">
        <v>810</v>
      </c>
      <c r="G230" s="9"/>
    </row>
    <row r="231" customFormat="false" ht="26.85" hidden="false" customHeight="false" outlineLevel="0" collapsed="false">
      <c r="A231" s="9" t="n">
        <v>81</v>
      </c>
      <c r="B231" s="9" t="s">
        <v>889</v>
      </c>
      <c r="C231" s="10" t="s">
        <v>890</v>
      </c>
      <c r="D231" s="9" t="s">
        <v>891</v>
      </c>
      <c r="E231" s="10" t="s">
        <v>27</v>
      </c>
      <c r="F231" s="9" t="s">
        <v>810</v>
      </c>
      <c r="G231" s="9"/>
    </row>
    <row r="232" customFormat="false" ht="26.85" hidden="false" customHeight="false" outlineLevel="0" collapsed="false">
      <c r="A232" s="9" t="n">
        <v>81</v>
      </c>
      <c r="B232" s="9" t="s">
        <v>889</v>
      </c>
      <c r="C232" s="10" t="s">
        <v>892</v>
      </c>
      <c r="D232" s="9" t="s">
        <v>893</v>
      </c>
      <c r="E232" s="10" t="s">
        <v>27</v>
      </c>
      <c r="F232" s="9" t="s">
        <v>810</v>
      </c>
      <c r="G232" s="9"/>
    </row>
    <row r="233" customFormat="false" ht="26.85" hidden="false" customHeight="false" outlineLevel="0" collapsed="false">
      <c r="A233" s="9" t="n">
        <v>81</v>
      </c>
      <c r="B233" s="9" t="s">
        <v>889</v>
      </c>
      <c r="C233" s="10" t="s">
        <v>894</v>
      </c>
      <c r="D233" s="9" t="s">
        <v>895</v>
      </c>
      <c r="E233" s="10" t="s">
        <v>27</v>
      </c>
      <c r="F233" s="9" t="s">
        <v>810</v>
      </c>
      <c r="G233" s="9"/>
    </row>
    <row r="234" customFormat="false" ht="26.85" hidden="false" customHeight="false" outlineLevel="0" collapsed="false">
      <c r="A234" s="9" t="n">
        <v>81</v>
      </c>
      <c r="B234" s="9" t="s">
        <v>889</v>
      </c>
      <c r="C234" s="10" t="s">
        <v>896</v>
      </c>
      <c r="D234" s="9" t="s">
        <v>897</v>
      </c>
      <c r="E234" s="10" t="s">
        <v>27</v>
      </c>
      <c r="F234" s="9" t="s">
        <v>810</v>
      </c>
      <c r="G234" s="9"/>
    </row>
    <row r="235" customFormat="false" ht="26.85" hidden="false" customHeight="false" outlineLevel="0" collapsed="false">
      <c r="A235" s="9" t="n">
        <v>82</v>
      </c>
      <c r="B235" s="9" t="s">
        <v>898</v>
      </c>
      <c r="C235" s="10" t="s">
        <v>899</v>
      </c>
      <c r="D235" s="9" t="s">
        <v>900</v>
      </c>
      <c r="E235" s="10" t="s">
        <v>27</v>
      </c>
      <c r="F235" s="9" t="s">
        <v>810</v>
      </c>
      <c r="G235" s="9"/>
    </row>
    <row r="236" customFormat="false" ht="26.85" hidden="false" customHeight="false" outlineLevel="0" collapsed="false">
      <c r="A236" s="9" t="n">
        <v>82</v>
      </c>
      <c r="B236" s="9" t="s">
        <v>898</v>
      </c>
      <c r="C236" s="10" t="s">
        <v>901</v>
      </c>
      <c r="D236" s="9" t="s">
        <v>902</v>
      </c>
      <c r="E236" s="10" t="s">
        <v>27</v>
      </c>
      <c r="F236" s="9" t="s">
        <v>810</v>
      </c>
      <c r="G236" s="9"/>
    </row>
    <row r="237" customFormat="false" ht="26.85" hidden="false" customHeight="false" outlineLevel="0" collapsed="false">
      <c r="A237" s="9" t="n">
        <v>82</v>
      </c>
      <c r="B237" s="9" t="s">
        <v>898</v>
      </c>
      <c r="C237" s="10" t="s">
        <v>903</v>
      </c>
      <c r="D237" s="9" t="s">
        <v>904</v>
      </c>
      <c r="E237" s="10" t="s">
        <v>27</v>
      </c>
      <c r="F237" s="9" t="s">
        <v>810</v>
      </c>
      <c r="G237" s="9"/>
    </row>
    <row r="238" customFormat="false" ht="26.85" hidden="false" customHeight="false" outlineLevel="0" collapsed="false">
      <c r="A238" s="9" t="n">
        <v>83</v>
      </c>
      <c r="B238" s="9" t="s">
        <v>905</v>
      </c>
      <c r="C238" s="10" t="s">
        <v>906</v>
      </c>
      <c r="D238" s="9" t="s">
        <v>907</v>
      </c>
      <c r="E238" s="10" t="s">
        <v>27</v>
      </c>
      <c r="F238" s="9" t="s">
        <v>810</v>
      </c>
      <c r="G238" s="9"/>
    </row>
    <row r="239" customFormat="false" ht="26.85" hidden="false" customHeight="false" outlineLevel="0" collapsed="false">
      <c r="A239" s="9" t="n">
        <v>83</v>
      </c>
      <c r="B239" s="9" t="s">
        <v>905</v>
      </c>
      <c r="C239" s="10" t="s">
        <v>908</v>
      </c>
      <c r="D239" s="9" t="s">
        <v>909</v>
      </c>
      <c r="E239" s="10" t="s">
        <v>27</v>
      </c>
      <c r="F239" s="9" t="s">
        <v>810</v>
      </c>
      <c r="G239" s="9"/>
    </row>
    <row r="240" customFormat="false" ht="26.85" hidden="false" customHeight="false" outlineLevel="0" collapsed="false">
      <c r="A240" s="9" t="n">
        <v>83</v>
      </c>
      <c r="B240" s="9" t="s">
        <v>905</v>
      </c>
      <c r="C240" s="10" t="s">
        <v>910</v>
      </c>
      <c r="D240" s="9" t="s">
        <v>911</v>
      </c>
      <c r="E240" s="10" t="s">
        <v>27</v>
      </c>
      <c r="F240" s="9" t="s">
        <v>810</v>
      </c>
      <c r="G240" s="9"/>
    </row>
    <row r="241" customFormat="false" ht="15" hidden="false" customHeight="false" outlineLevel="0" collapsed="false">
      <c r="A241" s="9" t="n">
        <v>84</v>
      </c>
      <c r="B241" s="9" t="s">
        <v>912</v>
      </c>
      <c r="C241" s="10" t="s">
        <v>913</v>
      </c>
      <c r="D241" s="9" t="s">
        <v>914</v>
      </c>
      <c r="E241" s="10" t="s">
        <v>27</v>
      </c>
      <c r="F241" s="9" t="s">
        <v>810</v>
      </c>
      <c r="G241" s="9"/>
    </row>
    <row r="242" customFormat="false" ht="15" hidden="false" customHeight="false" outlineLevel="0" collapsed="false">
      <c r="A242" s="9" t="n">
        <v>84</v>
      </c>
      <c r="B242" s="9" t="s">
        <v>912</v>
      </c>
      <c r="C242" s="10" t="s">
        <v>915</v>
      </c>
      <c r="D242" s="9" t="s">
        <v>916</v>
      </c>
      <c r="E242" s="10" t="s">
        <v>27</v>
      </c>
      <c r="F242" s="9" t="s">
        <v>810</v>
      </c>
      <c r="G242" s="9"/>
    </row>
    <row r="243" customFormat="false" ht="15" hidden="false" customHeight="false" outlineLevel="0" collapsed="false">
      <c r="A243" s="9" t="n">
        <v>85</v>
      </c>
      <c r="B243" s="9" t="s">
        <v>917</v>
      </c>
      <c r="C243" s="10" t="s">
        <v>918</v>
      </c>
      <c r="D243" s="9" t="s">
        <v>919</v>
      </c>
      <c r="E243" s="10" t="s">
        <v>27</v>
      </c>
      <c r="F243" s="9" t="s">
        <v>810</v>
      </c>
      <c r="G243" s="9"/>
    </row>
    <row r="244" customFormat="false" ht="15" hidden="false" customHeight="false" outlineLevel="0" collapsed="false">
      <c r="A244" s="9" t="n">
        <v>85</v>
      </c>
      <c r="B244" s="9" t="s">
        <v>917</v>
      </c>
      <c r="C244" s="10" t="s">
        <v>920</v>
      </c>
      <c r="D244" s="9" t="s">
        <v>921</v>
      </c>
      <c r="E244" s="10" t="s">
        <v>27</v>
      </c>
      <c r="F244" s="9" t="s">
        <v>810</v>
      </c>
      <c r="G244" s="9"/>
    </row>
    <row r="245" customFormat="false" ht="15" hidden="false" customHeight="false" outlineLevel="0" collapsed="false">
      <c r="A245" s="9" t="n">
        <v>86</v>
      </c>
      <c r="B245" s="9" t="s">
        <v>922</v>
      </c>
      <c r="C245" s="10" t="s">
        <v>923</v>
      </c>
      <c r="D245" s="9" t="s">
        <v>924</v>
      </c>
      <c r="E245" s="10" t="s">
        <v>27</v>
      </c>
      <c r="F245" s="9" t="s">
        <v>810</v>
      </c>
      <c r="G245" s="9"/>
    </row>
    <row r="246" customFormat="false" ht="15" hidden="false" customHeight="false" outlineLevel="0" collapsed="false">
      <c r="A246" s="9" t="n">
        <v>86</v>
      </c>
      <c r="B246" s="9" t="s">
        <v>922</v>
      </c>
      <c r="C246" s="10" t="s">
        <v>925</v>
      </c>
      <c r="D246" s="9" t="s">
        <v>926</v>
      </c>
      <c r="E246" s="10" t="s">
        <v>27</v>
      </c>
      <c r="F246" s="9" t="s">
        <v>810</v>
      </c>
      <c r="G246" s="9"/>
    </row>
    <row r="247" customFormat="false" ht="15" hidden="false" customHeight="false" outlineLevel="0" collapsed="false">
      <c r="A247" s="9" t="n">
        <v>86</v>
      </c>
      <c r="B247" s="9" t="s">
        <v>922</v>
      </c>
      <c r="C247" s="10" t="s">
        <v>927</v>
      </c>
      <c r="D247" s="9" t="s">
        <v>928</v>
      </c>
      <c r="E247" s="10" t="s">
        <v>27</v>
      </c>
      <c r="F247" s="9" t="s">
        <v>810</v>
      </c>
      <c r="G247" s="9"/>
    </row>
    <row r="248" customFormat="false" ht="15" hidden="false" customHeight="false" outlineLevel="0" collapsed="false">
      <c r="A248" s="9" t="n">
        <v>86</v>
      </c>
      <c r="B248" s="9" t="s">
        <v>922</v>
      </c>
      <c r="C248" s="10" t="s">
        <v>929</v>
      </c>
      <c r="D248" s="9" t="s">
        <v>930</v>
      </c>
      <c r="E248" s="10" t="s">
        <v>27</v>
      </c>
      <c r="F248" s="9" t="s">
        <v>810</v>
      </c>
      <c r="G248" s="9"/>
    </row>
    <row r="249" customFormat="false" ht="15" hidden="false" customHeight="false" outlineLevel="0" collapsed="false">
      <c r="A249" s="9" t="n">
        <v>87</v>
      </c>
      <c r="B249" s="9" t="s">
        <v>931</v>
      </c>
      <c r="C249" s="10" t="s">
        <v>932</v>
      </c>
      <c r="D249" s="9" t="s">
        <v>933</v>
      </c>
      <c r="E249" s="10" t="s">
        <v>27</v>
      </c>
      <c r="F249" s="9" t="s">
        <v>810</v>
      </c>
      <c r="G249" s="9" t="s">
        <v>934</v>
      </c>
    </row>
    <row r="250" customFormat="false" ht="26.85" hidden="false" customHeight="false" outlineLevel="0" collapsed="false">
      <c r="A250" s="9" t="n">
        <v>88</v>
      </c>
      <c r="B250" s="9" t="s">
        <v>935</v>
      </c>
      <c r="C250" s="10" t="s">
        <v>936</v>
      </c>
      <c r="D250" s="9" t="s">
        <v>937</v>
      </c>
      <c r="E250" s="10" t="s">
        <v>28</v>
      </c>
      <c r="F250" s="9" t="s">
        <v>810</v>
      </c>
      <c r="G250" s="9"/>
    </row>
    <row r="251" customFormat="false" ht="26.85" hidden="false" customHeight="false" outlineLevel="0" collapsed="false">
      <c r="A251" s="9" t="n">
        <v>88</v>
      </c>
      <c r="B251" s="9" t="s">
        <v>935</v>
      </c>
      <c r="C251" s="10" t="s">
        <v>938</v>
      </c>
      <c r="D251" s="9" t="s">
        <v>939</v>
      </c>
      <c r="E251" s="10" t="s">
        <v>28</v>
      </c>
      <c r="F251" s="9" t="s">
        <v>810</v>
      </c>
      <c r="G251" s="9"/>
    </row>
    <row r="252" customFormat="false" ht="26.85" hidden="false" customHeight="false" outlineLevel="0" collapsed="false">
      <c r="A252" s="9" t="n">
        <v>88</v>
      </c>
      <c r="B252" s="9" t="s">
        <v>935</v>
      </c>
      <c r="C252" s="10" t="s">
        <v>940</v>
      </c>
      <c r="D252" s="9" t="s">
        <v>941</v>
      </c>
      <c r="E252" s="10" t="s">
        <v>24</v>
      </c>
      <c r="F252" s="9" t="s">
        <v>810</v>
      </c>
      <c r="G252" s="9" t="s">
        <v>942</v>
      </c>
    </row>
    <row r="253" customFormat="false" ht="15" hidden="false" customHeight="false" outlineLevel="0" collapsed="false">
      <c r="A253" s="9" t="n">
        <v>89</v>
      </c>
      <c r="B253" s="9" t="s">
        <v>943</v>
      </c>
      <c r="C253" s="10" t="s">
        <v>944</v>
      </c>
      <c r="D253" s="9" t="s">
        <v>945</v>
      </c>
      <c r="E253" s="10" t="s">
        <v>25</v>
      </c>
      <c r="F253" s="9" t="s">
        <v>810</v>
      </c>
      <c r="G253" s="9" t="s">
        <v>945</v>
      </c>
    </row>
    <row r="254" customFormat="false" ht="15" hidden="false" customHeight="false" outlineLevel="0" collapsed="false">
      <c r="A254" s="9" t="n">
        <v>90</v>
      </c>
      <c r="B254" s="9" t="s">
        <v>946</v>
      </c>
      <c r="C254" s="10" t="s">
        <v>947</v>
      </c>
      <c r="D254" s="9" t="s">
        <v>948</v>
      </c>
      <c r="E254" s="10" t="s">
        <v>29</v>
      </c>
      <c r="F254" s="9" t="s">
        <v>810</v>
      </c>
      <c r="G254" s="9" t="s">
        <v>949</v>
      </c>
    </row>
    <row r="255" customFormat="false" ht="15" hidden="false" customHeight="false" outlineLevel="0" collapsed="false">
      <c r="A255" s="9" t="n">
        <v>91</v>
      </c>
      <c r="B255" s="9" t="s">
        <v>950</v>
      </c>
      <c r="C255" s="10" t="s">
        <v>951</v>
      </c>
      <c r="D255" s="9" t="s">
        <v>952</v>
      </c>
      <c r="E255" s="10" t="s">
        <v>26</v>
      </c>
      <c r="F255" s="9" t="s">
        <v>810</v>
      </c>
      <c r="G255" s="9" t="s">
        <v>953</v>
      </c>
    </row>
    <row r="256" customFormat="false" ht="15" hidden="false" customHeight="false" outlineLevel="0" collapsed="false">
      <c r="A256" s="9" t="n">
        <v>92</v>
      </c>
      <c r="B256" s="9" t="s">
        <v>954</v>
      </c>
      <c r="C256" s="10" t="s">
        <v>955</v>
      </c>
      <c r="D256" s="9" t="s">
        <v>956</v>
      </c>
      <c r="E256" s="10" t="s">
        <v>24</v>
      </c>
      <c r="F256" s="9" t="s">
        <v>810</v>
      </c>
      <c r="G256" s="9"/>
    </row>
    <row r="257" customFormat="false" ht="15" hidden="false" customHeight="false" outlineLevel="0" collapsed="false">
      <c r="A257" s="9" t="n">
        <v>92</v>
      </c>
      <c r="B257" s="9" t="s">
        <v>954</v>
      </c>
      <c r="C257" s="10" t="s">
        <v>957</v>
      </c>
      <c r="D257" s="9" t="s">
        <v>958</v>
      </c>
      <c r="E257" s="10" t="s">
        <v>24</v>
      </c>
      <c r="F257" s="9" t="s">
        <v>810</v>
      </c>
      <c r="G257" s="9"/>
    </row>
    <row r="258" customFormat="false" ht="15" hidden="false" customHeight="false" outlineLevel="0" collapsed="false">
      <c r="A258" s="9" t="n">
        <v>92</v>
      </c>
      <c r="B258" s="9" t="s">
        <v>954</v>
      </c>
      <c r="C258" s="10" t="s">
        <v>959</v>
      </c>
      <c r="D258" s="9" t="s">
        <v>960</v>
      </c>
      <c r="E258" s="10" t="s">
        <v>24</v>
      </c>
      <c r="F258" s="9" t="s">
        <v>810</v>
      </c>
      <c r="G258" s="9"/>
    </row>
    <row r="259" customFormat="false" ht="15" hidden="false" customHeight="false" outlineLevel="0" collapsed="false">
      <c r="A259" s="9" t="n">
        <v>93</v>
      </c>
      <c r="B259" s="9" t="s">
        <v>961</v>
      </c>
      <c r="C259" s="10" t="s">
        <v>962</v>
      </c>
      <c r="D259" s="9" t="s">
        <v>963</v>
      </c>
      <c r="E259" s="10" t="s">
        <v>24</v>
      </c>
      <c r="F259" s="9" t="s">
        <v>810</v>
      </c>
      <c r="G259" s="9" t="s">
        <v>964</v>
      </c>
    </row>
    <row r="260" customFormat="false" ht="26.85" hidden="false" customHeight="false" outlineLevel="0" collapsed="false">
      <c r="A260" s="9" t="n">
        <v>94</v>
      </c>
      <c r="B260" s="9" t="s">
        <v>965</v>
      </c>
      <c r="C260" s="10" t="s">
        <v>966</v>
      </c>
      <c r="D260" s="9" t="s">
        <v>967</v>
      </c>
      <c r="E260" s="10" t="s">
        <v>29</v>
      </c>
      <c r="F260" s="9" t="s">
        <v>968</v>
      </c>
      <c r="G260" s="9" t="s">
        <v>969</v>
      </c>
    </row>
    <row r="261" customFormat="false" ht="26.85" hidden="false" customHeight="false" outlineLevel="0" collapsed="false">
      <c r="A261" s="9" t="n">
        <v>94</v>
      </c>
      <c r="B261" s="9" t="s">
        <v>965</v>
      </c>
      <c r="C261" s="10" t="s">
        <v>970</v>
      </c>
      <c r="D261" s="9" t="s">
        <v>971</v>
      </c>
      <c r="E261" s="10" t="s">
        <v>28</v>
      </c>
      <c r="F261" s="9" t="s">
        <v>968</v>
      </c>
      <c r="G261" s="9" t="s">
        <v>971</v>
      </c>
    </row>
    <row r="262" customFormat="false" ht="26.85" hidden="false" customHeight="false" outlineLevel="0" collapsed="false">
      <c r="A262" s="9" t="n">
        <v>94</v>
      </c>
      <c r="B262" s="9" t="s">
        <v>965</v>
      </c>
      <c r="C262" s="10" t="s">
        <v>972</v>
      </c>
      <c r="D262" s="9" t="s">
        <v>973</v>
      </c>
      <c r="E262" s="10" t="s">
        <v>27</v>
      </c>
      <c r="F262" s="9" t="s">
        <v>968</v>
      </c>
      <c r="G262" s="9" t="s">
        <v>973</v>
      </c>
    </row>
    <row r="263" customFormat="false" ht="26.85" hidden="false" customHeight="false" outlineLevel="0" collapsed="false">
      <c r="A263" s="9" t="n">
        <v>95</v>
      </c>
      <c r="B263" s="9" t="s">
        <v>974</v>
      </c>
      <c r="C263" s="10" t="s">
        <v>975</v>
      </c>
      <c r="D263" s="9" t="s">
        <v>976</v>
      </c>
      <c r="E263" s="10" t="s">
        <v>29</v>
      </c>
      <c r="F263" s="9" t="s">
        <v>968</v>
      </c>
      <c r="G263" s="9"/>
    </row>
    <row r="264" customFormat="false" ht="26.85" hidden="false" customHeight="false" outlineLevel="0" collapsed="false">
      <c r="A264" s="9" t="n">
        <v>95</v>
      </c>
      <c r="B264" s="9" t="s">
        <v>974</v>
      </c>
      <c r="C264" s="10" t="s">
        <v>977</v>
      </c>
      <c r="D264" s="9" t="s">
        <v>978</v>
      </c>
      <c r="E264" s="10" t="s">
        <v>29</v>
      </c>
      <c r="F264" s="9" t="s">
        <v>968</v>
      </c>
      <c r="G264" s="9"/>
    </row>
    <row r="265" customFormat="false" ht="26.85" hidden="false" customHeight="false" outlineLevel="0" collapsed="false">
      <c r="A265" s="9" t="n">
        <v>96</v>
      </c>
      <c r="B265" s="9" t="s">
        <v>979</v>
      </c>
      <c r="C265" s="10" t="s">
        <v>980</v>
      </c>
      <c r="D265" s="9" t="s">
        <v>981</v>
      </c>
      <c r="E265" s="10" t="s">
        <v>29</v>
      </c>
      <c r="F265" s="9" t="s">
        <v>968</v>
      </c>
      <c r="G265" s="9"/>
    </row>
    <row r="266" customFormat="false" ht="26.85" hidden="false" customHeight="false" outlineLevel="0" collapsed="false">
      <c r="A266" s="9" t="n">
        <v>96</v>
      </c>
      <c r="B266" s="9" t="s">
        <v>979</v>
      </c>
      <c r="C266" s="10" t="s">
        <v>982</v>
      </c>
      <c r="D266" s="9" t="s">
        <v>983</v>
      </c>
      <c r="E266" s="10" t="s">
        <v>29</v>
      </c>
      <c r="F266" s="9" t="s">
        <v>968</v>
      </c>
      <c r="G266" s="9"/>
    </row>
    <row r="267" customFormat="false" ht="26.85" hidden="false" customHeight="false" outlineLevel="0" collapsed="false">
      <c r="A267" s="9" t="n">
        <v>97</v>
      </c>
      <c r="B267" s="9" t="s">
        <v>984</v>
      </c>
      <c r="C267" s="10" t="s">
        <v>985</v>
      </c>
      <c r="D267" s="9" t="s">
        <v>986</v>
      </c>
      <c r="E267" s="10" t="s">
        <v>29</v>
      </c>
      <c r="F267" s="9" t="s">
        <v>968</v>
      </c>
      <c r="G267" s="9"/>
    </row>
    <row r="268" customFormat="false" ht="26.85" hidden="false" customHeight="false" outlineLevel="0" collapsed="false">
      <c r="A268" s="9" t="n">
        <v>97</v>
      </c>
      <c r="B268" s="9" t="s">
        <v>984</v>
      </c>
      <c r="C268" s="10" t="s">
        <v>987</v>
      </c>
      <c r="D268" s="9" t="s">
        <v>988</v>
      </c>
      <c r="E268" s="10" t="s">
        <v>29</v>
      </c>
      <c r="F268" s="9" t="s">
        <v>968</v>
      </c>
      <c r="G268" s="9"/>
    </row>
    <row r="269" customFormat="false" ht="26.85" hidden="false" customHeight="false" outlineLevel="0" collapsed="false">
      <c r="A269" s="9" t="n">
        <v>98</v>
      </c>
      <c r="B269" s="9" t="s">
        <v>989</v>
      </c>
      <c r="C269" s="10" t="s">
        <v>990</v>
      </c>
      <c r="D269" s="9" t="s">
        <v>991</v>
      </c>
      <c r="E269" s="10" t="s">
        <v>29</v>
      </c>
      <c r="F269" s="9" t="s">
        <v>968</v>
      </c>
      <c r="G269" s="9" t="s">
        <v>992</v>
      </c>
    </row>
    <row r="270" customFormat="false" ht="26.85" hidden="false" customHeight="false" outlineLevel="0" collapsed="false">
      <c r="A270" s="9" t="n">
        <v>99</v>
      </c>
      <c r="B270" s="9" t="s">
        <v>993</v>
      </c>
      <c r="C270" s="10" t="s">
        <v>994</v>
      </c>
      <c r="D270" s="9" t="s">
        <v>995</v>
      </c>
      <c r="E270" s="10" t="s">
        <v>28</v>
      </c>
      <c r="F270" s="9" t="s">
        <v>968</v>
      </c>
      <c r="G270" s="9" t="s">
        <v>996</v>
      </c>
    </row>
    <row r="271" customFormat="false" ht="26.85" hidden="false" customHeight="false" outlineLevel="0" collapsed="false">
      <c r="A271" s="9" t="n">
        <v>100</v>
      </c>
      <c r="B271" s="9" t="s">
        <v>997</v>
      </c>
      <c r="C271" s="10" t="s">
        <v>998</v>
      </c>
      <c r="D271" s="9" t="s">
        <v>999</v>
      </c>
      <c r="E271" s="10" t="s">
        <v>29</v>
      </c>
      <c r="F271" s="9" t="s">
        <v>968</v>
      </c>
      <c r="G271" s="9"/>
    </row>
    <row r="272" customFormat="false" ht="26.85" hidden="false" customHeight="false" outlineLevel="0" collapsed="false">
      <c r="A272" s="9" t="n">
        <v>100</v>
      </c>
      <c r="B272" s="9" t="s">
        <v>997</v>
      </c>
      <c r="C272" s="10" t="s">
        <v>1000</v>
      </c>
      <c r="D272" s="9" t="s">
        <v>1001</v>
      </c>
      <c r="E272" s="10" t="s">
        <v>29</v>
      </c>
      <c r="F272" s="9" t="s">
        <v>968</v>
      </c>
      <c r="G272" s="9"/>
    </row>
    <row r="273" customFormat="false" ht="26.85" hidden="false" customHeight="false" outlineLevel="0" collapsed="false">
      <c r="A273" s="9" t="n">
        <v>101</v>
      </c>
      <c r="B273" s="9" t="s">
        <v>1002</v>
      </c>
      <c r="C273" s="10" t="s">
        <v>1003</v>
      </c>
      <c r="D273" s="9" t="s">
        <v>1004</v>
      </c>
      <c r="E273" s="10" t="s">
        <v>29</v>
      </c>
      <c r="F273" s="9" t="s">
        <v>968</v>
      </c>
      <c r="G273" s="9"/>
    </row>
    <row r="274" customFormat="false" ht="26.85" hidden="false" customHeight="false" outlineLevel="0" collapsed="false">
      <c r="A274" s="9" t="n">
        <v>101</v>
      </c>
      <c r="B274" s="9" t="s">
        <v>1002</v>
      </c>
      <c r="C274" s="10" t="s">
        <v>1005</v>
      </c>
      <c r="D274" s="9" t="s">
        <v>1006</v>
      </c>
      <c r="E274" s="10" t="s">
        <v>29</v>
      </c>
      <c r="F274" s="9" t="s">
        <v>968</v>
      </c>
      <c r="G274" s="9"/>
    </row>
    <row r="275" customFormat="false" ht="26.85" hidden="false" customHeight="false" outlineLevel="0" collapsed="false">
      <c r="A275" s="9" t="n">
        <v>102</v>
      </c>
      <c r="B275" s="9" t="s">
        <v>1007</v>
      </c>
      <c r="C275" s="10" t="s">
        <v>1008</v>
      </c>
      <c r="D275" s="9" t="s">
        <v>1009</v>
      </c>
      <c r="E275" s="10" t="s">
        <v>28</v>
      </c>
      <c r="F275" s="9" t="s">
        <v>968</v>
      </c>
      <c r="G275" s="9"/>
    </row>
    <row r="276" customFormat="false" ht="26.85" hidden="false" customHeight="false" outlineLevel="0" collapsed="false">
      <c r="A276" s="9" t="n">
        <v>102</v>
      </c>
      <c r="B276" s="9" t="s">
        <v>1007</v>
      </c>
      <c r="C276" s="10" t="s">
        <v>1010</v>
      </c>
      <c r="D276" s="9" t="s">
        <v>1011</v>
      </c>
      <c r="E276" s="10" t="s">
        <v>28</v>
      </c>
      <c r="F276" s="9" t="s">
        <v>968</v>
      </c>
      <c r="G276" s="9"/>
    </row>
    <row r="277" customFormat="false" ht="26.85" hidden="false" customHeight="false" outlineLevel="0" collapsed="false">
      <c r="A277" s="9" t="n">
        <v>102</v>
      </c>
      <c r="B277" s="9" t="s">
        <v>1007</v>
      </c>
      <c r="C277" s="10" t="s">
        <v>1012</v>
      </c>
      <c r="D277" s="9" t="s">
        <v>1013</v>
      </c>
      <c r="E277" s="10" t="s">
        <v>28</v>
      </c>
      <c r="F277" s="9" t="s">
        <v>968</v>
      </c>
      <c r="G277" s="9"/>
    </row>
    <row r="278" customFormat="false" ht="26.85" hidden="false" customHeight="false" outlineLevel="0" collapsed="false">
      <c r="A278" s="9" t="n">
        <v>102</v>
      </c>
      <c r="B278" s="9" t="s">
        <v>1007</v>
      </c>
      <c r="C278" s="10" t="s">
        <v>1014</v>
      </c>
      <c r="D278" s="9" t="s">
        <v>1015</v>
      </c>
      <c r="E278" s="10" t="s">
        <v>28</v>
      </c>
      <c r="F278" s="9" t="s">
        <v>968</v>
      </c>
      <c r="G278" s="9"/>
    </row>
    <row r="279" customFormat="false" ht="26.85" hidden="false" customHeight="false" outlineLevel="0" collapsed="false">
      <c r="A279" s="9" t="n">
        <v>103</v>
      </c>
      <c r="B279" s="9" t="s">
        <v>1016</v>
      </c>
      <c r="C279" s="10" t="s">
        <v>1017</v>
      </c>
      <c r="D279" s="9" t="s">
        <v>1018</v>
      </c>
      <c r="E279" s="10" t="s">
        <v>27</v>
      </c>
      <c r="F279" s="9" t="s">
        <v>968</v>
      </c>
      <c r="G279" s="9"/>
    </row>
    <row r="280" customFormat="false" ht="26.85" hidden="false" customHeight="false" outlineLevel="0" collapsed="false">
      <c r="A280" s="9" t="n">
        <v>103</v>
      </c>
      <c r="B280" s="9" t="s">
        <v>1016</v>
      </c>
      <c r="C280" s="10" t="s">
        <v>1019</v>
      </c>
      <c r="D280" s="9" t="s">
        <v>1020</v>
      </c>
      <c r="E280" s="10" t="s">
        <v>27</v>
      </c>
      <c r="F280" s="9" t="s">
        <v>968</v>
      </c>
      <c r="G280" s="9"/>
    </row>
    <row r="281" customFormat="false" ht="26.85" hidden="false" customHeight="false" outlineLevel="0" collapsed="false">
      <c r="A281" s="9" t="n">
        <v>104</v>
      </c>
      <c r="B281" s="9" t="s">
        <v>1021</v>
      </c>
      <c r="C281" s="10" t="s">
        <v>1022</v>
      </c>
      <c r="D281" s="9" t="s">
        <v>1023</v>
      </c>
      <c r="E281" s="10" t="s">
        <v>27</v>
      </c>
      <c r="F281" s="9" t="s">
        <v>968</v>
      </c>
      <c r="G281" s="9"/>
    </row>
    <row r="282" customFormat="false" ht="26.85" hidden="false" customHeight="false" outlineLevel="0" collapsed="false">
      <c r="A282" s="9" t="n">
        <v>104</v>
      </c>
      <c r="B282" s="9" t="s">
        <v>1021</v>
      </c>
      <c r="C282" s="10" t="s">
        <v>1024</v>
      </c>
      <c r="D282" s="9" t="s">
        <v>1025</v>
      </c>
      <c r="E282" s="10" t="s">
        <v>27</v>
      </c>
      <c r="F282" s="9" t="s">
        <v>968</v>
      </c>
      <c r="G282" s="9"/>
    </row>
    <row r="283" customFormat="false" ht="26.85" hidden="false" customHeight="false" outlineLevel="0" collapsed="false">
      <c r="A283" s="9" t="n">
        <v>105</v>
      </c>
      <c r="B283" s="9" t="s">
        <v>1026</v>
      </c>
      <c r="C283" s="10" t="s">
        <v>1027</v>
      </c>
      <c r="D283" s="9" t="s">
        <v>1028</v>
      </c>
      <c r="E283" s="10" t="s">
        <v>29</v>
      </c>
      <c r="F283" s="9" t="s">
        <v>968</v>
      </c>
      <c r="G283" s="9"/>
    </row>
    <row r="284" customFormat="false" ht="26.85" hidden="false" customHeight="false" outlineLevel="0" collapsed="false">
      <c r="A284" s="9" t="n">
        <v>105</v>
      </c>
      <c r="B284" s="9" t="s">
        <v>1026</v>
      </c>
      <c r="C284" s="10" t="s">
        <v>1029</v>
      </c>
      <c r="D284" s="9" t="s">
        <v>1030</v>
      </c>
      <c r="E284" s="10" t="s">
        <v>29</v>
      </c>
      <c r="F284" s="9" t="s">
        <v>968</v>
      </c>
      <c r="G284" s="9"/>
    </row>
    <row r="285" customFormat="false" ht="26.85" hidden="false" customHeight="false" outlineLevel="0" collapsed="false">
      <c r="A285" s="9" t="n">
        <v>106</v>
      </c>
      <c r="B285" s="9" t="s">
        <v>1031</v>
      </c>
      <c r="C285" s="10" t="s">
        <v>1032</v>
      </c>
      <c r="D285" s="9" t="s">
        <v>1033</v>
      </c>
      <c r="E285" s="10" t="s">
        <v>29</v>
      </c>
      <c r="F285" s="9" t="s">
        <v>968</v>
      </c>
      <c r="G285" s="9"/>
    </row>
    <row r="286" customFormat="false" ht="26.85" hidden="false" customHeight="false" outlineLevel="0" collapsed="false">
      <c r="A286" s="9" t="n">
        <v>106</v>
      </c>
      <c r="B286" s="9" t="s">
        <v>1031</v>
      </c>
      <c r="C286" s="10" t="s">
        <v>1034</v>
      </c>
      <c r="D286" s="9" t="s">
        <v>1035</v>
      </c>
      <c r="E286" s="10" t="s">
        <v>29</v>
      </c>
      <c r="F286" s="9" t="s">
        <v>968</v>
      </c>
      <c r="G286" s="9"/>
    </row>
    <row r="287" customFormat="false" ht="26.85" hidden="false" customHeight="false" outlineLevel="0" collapsed="false">
      <c r="A287" s="9" t="n">
        <v>107</v>
      </c>
      <c r="B287" s="9" t="s">
        <v>1036</v>
      </c>
      <c r="C287" s="10" t="s">
        <v>1037</v>
      </c>
      <c r="D287" s="9" t="s">
        <v>1038</v>
      </c>
      <c r="E287" s="10" t="s">
        <v>28</v>
      </c>
      <c r="F287" s="9" t="s">
        <v>968</v>
      </c>
      <c r="G287" s="9"/>
    </row>
    <row r="288" customFormat="false" ht="26.85" hidden="false" customHeight="false" outlineLevel="0" collapsed="false">
      <c r="A288" s="9" t="n">
        <v>107</v>
      </c>
      <c r="B288" s="9" t="s">
        <v>1036</v>
      </c>
      <c r="C288" s="10" t="s">
        <v>1039</v>
      </c>
      <c r="D288" s="9" t="s">
        <v>1040</v>
      </c>
      <c r="E288" s="10" t="s">
        <v>28</v>
      </c>
      <c r="F288" s="9" t="s">
        <v>968</v>
      </c>
      <c r="G288" s="9"/>
    </row>
    <row r="289" customFormat="false" ht="26.85" hidden="false" customHeight="false" outlineLevel="0" collapsed="false">
      <c r="A289" s="9" t="n">
        <v>108</v>
      </c>
      <c r="B289" s="9" t="s">
        <v>1041</v>
      </c>
      <c r="C289" s="10" t="s">
        <v>1042</v>
      </c>
      <c r="D289" s="9" t="s">
        <v>1043</v>
      </c>
      <c r="E289" s="10" t="s">
        <v>27</v>
      </c>
      <c r="F289" s="9" t="s">
        <v>968</v>
      </c>
      <c r="G289" s="9"/>
    </row>
    <row r="290" customFormat="false" ht="26.85" hidden="false" customHeight="false" outlineLevel="0" collapsed="false">
      <c r="A290" s="9" t="n">
        <v>108</v>
      </c>
      <c r="B290" s="9" t="s">
        <v>1041</v>
      </c>
      <c r="C290" s="10" t="s">
        <v>1044</v>
      </c>
      <c r="D290" s="9" t="s">
        <v>1045</v>
      </c>
      <c r="E290" s="10" t="s">
        <v>27</v>
      </c>
      <c r="F290" s="9" t="s">
        <v>968</v>
      </c>
      <c r="G290" s="9"/>
    </row>
    <row r="291" customFormat="false" ht="26.85" hidden="false" customHeight="false" outlineLevel="0" collapsed="false">
      <c r="A291" s="9" t="n">
        <v>109</v>
      </c>
      <c r="B291" s="9" t="s">
        <v>1046</v>
      </c>
      <c r="C291" s="10" t="s">
        <v>1047</v>
      </c>
      <c r="D291" s="9" t="s">
        <v>1048</v>
      </c>
      <c r="E291" s="10" t="s">
        <v>28</v>
      </c>
      <c r="F291" s="9" t="s">
        <v>968</v>
      </c>
      <c r="G291" s="9"/>
    </row>
    <row r="292" customFormat="false" ht="26.85" hidden="false" customHeight="false" outlineLevel="0" collapsed="false">
      <c r="A292" s="9" t="n">
        <v>109</v>
      </c>
      <c r="B292" s="9" t="s">
        <v>1046</v>
      </c>
      <c r="C292" s="10" t="s">
        <v>1049</v>
      </c>
      <c r="D292" s="9" t="s">
        <v>1050</v>
      </c>
      <c r="E292" s="10" t="s">
        <v>28</v>
      </c>
      <c r="F292" s="9" t="s">
        <v>968</v>
      </c>
      <c r="G292" s="9"/>
    </row>
    <row r="293" customFormat="false" ht="26.85" hidden="false" customHeight="false" outlineLevel="0" collapsed="false">
      <c r="A293" s="9" t="n">
        <v>109</v>
      </c>
      <c r="B293" s="9" t="s">
        <v>1046</v>
      </c>
      <c r="C293" s="10" t="s">
        <v>1051</v>
      </c>
      <c r="D293" s="9" t="s">
        <v>1052</v>
      </c>
      <c r="E293" s="10" t="s">
        <v>26</v>
      </c>
      <c r="F293" s="9" t="s">
        <v>968</v>
      </c>
      <c r="G293" s="9" t="s">
        <v>1053</v>
      </c>
    </row>
    <row r="294" customFormat="false" ht="26.85" hidden="false" customHeight="false" outlineLevel="0" collapsed="false">
      <c r="A294" s="9" t="n">
        <v>110</v>
      </c>
      <c r="B294" s="9" t="s">
        <v>1054</v>
      </c>
      <c r="C294" s="10" t="s">
        <v>1055</v>
      </c>
      <c r="D294" s="9" t="s">
        <v>1054</v>
      </c>
      <c r="E294" s="10" t="s">
        <v>26</v>
      </c>
      <c r="F294" s="9" t="s">
        <v>968</v>
      </c>
      <c r="G294" s="9" t="s">
        <v>1056</v>
      </c>
    </row>
    <row r="295" customFormat="false" ht="26.85" hidden="false" customHeight="false" outlineLevel="0" collapsed="false">
      <c r="A295" s="9" t="n">
        <v>111</v>
      </c>
      <c r="B295" s="9" t="s">
        <v>1057</v>
      </c>
      <c r="C295" s="10" t="s">
        <v>1058</v>
      </c>
      <c r="D295" s="9" t="s">
        <v>1059</v>
      </c>
      <c r="E295" s="10" t="s">
        <v>27</v>
      </c>
      <c r="F295" s="9" t="s">
        <v>968</v>
      </c>
      <c r="G295" s="9" t="s">
        <v>1060</v>
      </c>
    </row>
    <row r="296" customFormat="false" ht="26.85" hidden="false" customHeight="false" outlineLevel="0" collapsed="false">
      <c r="A296" s="9" t="n">
        <v>112</v>
      </c>
      <c r="B296" s="9" t="s">
        <v>1061</v>
      </c>
      <c r="C296" s="10" t="s">
        <v>1062</v>
      </c>
      <c r="D296" s="9" t="s">
        <v>1063</v>
      </c>
      <c r="E296" s="10" t="s">
        <v>24</v>
      </c>
      <c r="F296" s="9" t="s">
        <v>968</v>
      </c>
      <c r="G296" s="9"/>
    </row>
    <row r="297" customFormat="false" ht="26.85" hidden="false" customHeight="false" outlineLevel="0" collapsed="false">
      <c r="A297" s="9" t="n">
        <v>112</v>
      </c>
      <c r="B297" s="9" t="s">
        <v>1061</v>
      </c>
      <c r="C297" s="10" t="s">
        <v>1064</v>
      </c>
      <c r="D297" s="9" t="s">
        <v>1065</v>
      </c>
      <c r="E297" s="10" t="s">
        <v>24</v>
      </c>
      <c r="F297" s="9" t="s">
        <v>968</v>
      </c>
      <c r="G297" s="9"/>
    </row>
    <row r="298" customFormat="false" ht="26.85" hidden="false" customHeight="false" outlineLevel="0" collapsed="false">
      <c r="A298" s="9" t="n">
        <v>112</v>
      </c>
      <c r="B298" s="9" t="s">
        <v>1061</v>
      </c>
      <c r="C298" s="10" t="s">
        <v>1066</v>
      </c>
      <c r="D298" s="9" t="s">
        <v>1067</v>
      </c>
      <c r="E298" s="10" t="s">
        <v>24</v>
      </c>
      <c r="F298" s="9" t="s">
        <v>968</v>
      </c>
      <c r="G298" s="9"/>
    </row>
    <row r="299" customFormat="false" ht="26.85" hidden="false" customHeight="false" outlineLevel="0" collapsed="false">
      <c r="A299" s="9" t="n">
        <v>112</v>
      </c>
      <c r="B299" s="9" t="s">
        <v>1061</v>
      </c>
      <c r="C299" s="10" t="s">
        <v>1068</v>
      </c>
      <c r="D299" s="9" t="s">
        <v>1069</v>
      </c>
      <c r="E299" s="10" t="s">
        <v>24</v>
      </c>
      <c r="F299" s="9" t="s">
        <v>968</v>
      </c>
      <c r="G299" s="9"/>
    </row>
    <row r="300" customFormat="false" ht="26.85" hidden="false" customHeight="false" outlineLevel="0" collapsed="false">
      <c r="A300" s="9" t="n">
        <v>113</v>
      </c>
      <c r="B300" s="9" t="s">
        <v>1070</v>
      </c>
      <c r="C300" s="10" t="s">
        <v>1071</v>
      </c>
      <c r="D300" s="9" t="s">
        <v>1072</v>
      </c>
      <c r="E300" s="10" t="s">
        <v>26</v>
      </c>
      <c r="F300" s="9" t="s">
        <v>968</v>
      </c>
      <c r="G300" s="9"/>
    </row>
    <row r="301" customFormat="false" ht="26.85" hidden="false" customHeight="false" outlineLevel="0" collapsed="false">
      <c r="A301" s="9" t="n">
        <v>113</v>
      </c>
      <c r="B301" s="9" t="s">
        <v>1070</v>
      </c>
      <c r="C301" s="10" t="s">
        <v>1073</v>
      </c>
      <c r="D301" s="9" t="s">
        <v>1074</v>
      </c>
      <c r="E301" s="10" t="s">
        <v>26</v>
      </c>
      <c r="F301" s="9" t="s">
        <v>968</v>
      </c>
      <c r="G301" s="9"/>
    </row>
    <row r="302" customFormat="false" ht="26.85" hidden="false" customHeight="false" outlineLevel="0" collapsed="false">
      <c r="A302" s="9" t="n">
        <v>113</v>
      </c>
      <c r="B302" s="9" t="s">
        <v>1070</v>
      </c>
      <c r="C302" s="10" t="s">
        <v>1075</v>
      </c>
      <c r="D302" s="9" t="s">
        <v>1076</v>
      </c>
      <c r="E302" s="10" t="s">
        <v>26</v>
      </c>
      <c r="F302" s="9" t="s">
        <v>968</v>
      </c>
      <c r="G302" s="9"/>
    </row>
    <row r="303" customFormat="false" ht="26.85" hidden="false" customHeight="false" outlineLevel="0" collapsed="false">
      <c r="A303" s="9" t="n">
        <v>113</v>
      </c>
      <c r="B303" s="9" t="s">
        <v>1070</v>
      </c>
      <c r="C303" s="10" t="s">
        <v>1077</v>
      </c>
      <c r="D303" s="9" t="s">
        <v>1078</v>
      </c>
      <c r="E303" s="10" t="s">
        <v>26</v>
      </c>
      <c r="F303" s="9" t="s">
        <v>968</v>
      </c>
      <c r="G303" s="9"/>
    </row>
    <row r="304" customFormat="false" ht="26.85" hidden="false" customHeight="false" outlineLevel="0" collapsed="false">
      <c r="A304" s="9" t="n">
        <v>114</v>
      </c>
      <c r="B304" s="9" t="s">
        <v>1079</v>
      </c>
      <c r="C304" s="10" t="s">
        <v>1080</v>
      </c>
      <c r="D304" s="9" t="s">
        <v>1081</v>
      </c>
      <c r="E304" s="10" t="s">
        <v>24</v>
      </c>
      <c r="F304" s="9" t="s">
        <v>968</v>
      </c>
      <c r="G304" s="9"/>
    </row>
    <row r="305" customFormat="false" ht="26.85" hidden="false" customHeight="false" outlineLevel="0" collapsed="false">
      <c r="A305" s="9" t="n">
        <v>114</v>
      </c>
      <c r="B305" s="9" t="s">
        <v>1079</v>
      </c>
      <c r="C305" s="10" t="s">
        <v>1082</v>
      </c>
      <c r="D305" s="9" t="s">
        <v>1083</v>
      </c>
      <c r="E305" s="10" t="s">
        <v>24</v>
      </c>
      <c r="F305" s="9" t="s">
        <v>968</v>
      </c>
      <c r="G305" s="9"/>
    </row>
    <row r="306" customFormat="false" ht="26.85" hidden="false" customHeight="false" outlineLevel="0" collapsed="false">
      <c r="A306" s="9" t="n">
        <v>114</v>
      </c>
      <c r="B306" s="9" t="s">
        <v>1079</v>
      </c>
      <c r="C306" s="10" t="s">
        <v>1084</v>
      </c>
      <c r="D306" s="9" t="s">
        <v>1085</v>
      </c>
      <c r="E306" s="10" t="s">
        <v>24</v>
      </c>
      <c r="F306" s="9" t="s">
        <v>968</v>
      </c>
      <c r="G306" s="9"/>
    </row>
    <row r="307" customFormat="false" ht="26.85" hidden="false" customHeight="false" outlineLevel="0" collapsed="false">
      <c r="A307" s="9" t="n">
        <v>114</v>
      </c>
      <c r="B307" s="9" t="s">
        <v>1079</v>
      </c>
      <c r="C307" s="10" t="s">
        <v>1086</v>
      </c>
      <c r="D307" s="9" t="s">
        <v>1087</v>
      </c>
      <c r="E307" s="10" t="s">
        <v>24</v>
      </c>
      <c r="F307" s="9" t="s">
        <v>968</v>
      </c>
      <c r="G307" s="9"/>
    </row>
    <row r="308" customFormat="false" ht="26.85" hidden="false" customHeight="false" outlineLevel="0" collapsed="false">
      <c r="A308" s="9" t="n">
        <v>115</v>
      </c>
      <c r="B308" s="9" t="s">
        <v>1088</v>
      </c>
      <c r="C308" s="10" t="s">
        <v>1089</v>
      </c>
      <c r="D308" s="9" t="s">
        <v>1090</v>
      </c>
      <c r="E308" s="10" t="s">
        <v>24</v>
      </c>
      <c r="F308" s="9" t="s">
        <v>968</v>
      </c>
      <c r="G308" s="9" t="s">
        <v>1091</v>
      </c>
    </row>
    <row r="309" customFormat="false" ht="26.85" hidden="false" customHeight="false" outlineLevel="0" collapsed="false">
      <c r="A309" s="9" t="n">
        <v>116</v>
      </c>
      <c r="B309" s="9" t="s">
        <v>1092</v>
      </c>
      <c r="C309" s="10" t="s">
        <v>1093</v>
      </c>
      <c r="D309" s="9" t="s">
        <v>1094</v>
      </c>
      <c r="E309" s="10" t="s">
        <v>24</v>
      </c>
      <c r="F309" s="9" t="s">
        <v>968</v>
      </c>
      <c r="G309" s="9"/>
    </row>
    <row r="310" customFormat="false" ht="26.85" hidden="false" customHeight="false" outlineLevel="0" collapsed="false">
      <c r="A310" s="9" t="n">
        <v>116</v>
      </c>
      <c r="B310" s="9" t="s">
        <v>1092</v>
      </c>
      <c r="C310" s="10" t="s">
        <v>1095</v>
      </c>
      <c r="D310" s="9" t="s">
        <v>1096</v>
      </c>
      <c r="E310" s="10" t="s">
        <v>24</v>
      </c>
      <c r="F310" s="9" t="s">
        <v>968</v>
      </c>
      <c r="G310" s="9"/>
    </row>
    <row r="311" customFormat="false" ht="26.85" hidden="false" customHeight="false" outlineLevel="0" collapsed="false">
      <c r="A311" s="9" t="n">
        <v>117</v>
      </c>
      <c r="B311" s="9" t="s">
        <v>1097</v>
      </c>
      <c r="C311" s="10" t="s">
        <v>1098</v>
      </c>
      <c r="D311" s="9" t="s">
        <v>1099</v>
      </c>
      <c r="E311" s="10" t="s">
        <v>24</v>
      </c>
      <c r="F311" s="9" t="s">
        <v>968</v>
      </c>
      <c r="G311" s="9"/>
    </row>
    <row r="312" customFormat="false" ht="26.85" hidden="false" customHeight="false" outlineLevel="0" collapsed="false">
      <c r="A312" s="9" t="n">
        <v>117</v>
      </c>
      <c r="B312" s="9" t="s">
        <v>1097</v>
      </c>
      <c r="C312" s="10" t="s">
        <v>1100</v>
      </c>
      <c r="D312" s="9" t="s">
        <v>1101</v>
      </c>
      <c r="E312" s="10" t="s">
        <v>24</v>
      </c>
      <c r="F312" s="9" t="s">
        <v>968</v>
      </c>
      <c r="G312" s="9"/>
    </row>
    <row r="313" customFormat="false" ht="26.85" hidden="false" customHeight="false" outlineLevel="0" collapsed="false">
      <c r="A313" s="9" t="n">
        <v>117</v>
      </c>
      <c r="B313" s="9" t="s">
        <v>1097</v>
      </c>
      <c r="C313" s="10" t="s">
        <v>1102</v>
      </c>
      <c r="D313" s="9" t="s">
        <v>1103</v>
      </c>
      <c r="E313" s="10" t="s">
        <v>24</v>
      </c>
      <c r="F313" s="9" t="s">
        <v>968</v>
      </c>
      <c r="G313" s="9"/>
    </row>
    <row r="314" customFormat="false" ht="26.85" hidden="false" customHeight="false" outlineLevel="0" collapsed="false">
      <c r="A314" s="9" t="n">
        <v>118</v>
      </c>
      <c r="B314" s="9" t="s">
        <v>1104</v>
      </c>
      <c r="C314" s="10" t="s">
        <v>1105</v>
      </c>
      <c r="D314" s="9" t="s">
        <v>1106</v>
      </c>
      <c r="E314" s="10" t="s">
        <v>24</v>
      </c>
      <c r="F314" s="9" t="s">
        <v>968</v>
      </c>
      <c r="G314" s="9" t="s">
        <v>1107</v>
      </c>
    </row>
    <row r="315" customFormat="false" ht="26.85" hidden="false" customHeight="false" outlineLevel="0" collapsed="false">
      <c r="A315" s="9" t="n">
        <v>119</v>
      </c>
      <c r="B315" s="9" t="s">
        <v>1108</v>
      </c>
      <c r="C315" s="10" t="s">
        <v>1109</v>
      </c>
      <c r="D315" s="9" t="s">
        <v>1110</v>
      </c>
      <c r="E315" s="10" t="s">
        <v>24</v>
      </c>
      <c r="F315" s="9" t="s">
        <v>968</v>
      </c>
      <c r="G315" s="9"/>
    </row>
    <row r="316" customFormat="false" ht="26.85" hidden="false" customHeight="false" outlineLevel="0" collapsed="false">
      <c r="A316" s="9" t="n">
        <v>119</v>
      </c>
      <c r="B316" s="9" t="s">
        <v>1108</v>
      </c>
      <c r="C316" s="10" t="s">
        <v>1111</v>
      </c>
      <c r="D316" s="9" t="s">
        <v>1112</v>
      </c>
      <c r="E316" s="10" t="s">
        <v>24</v>
      </c>
      <c r="F316" s="9" t="s">
        <v>968</v>
      </c>
      <c r="G316" s="9"/>
    </row>
    <row r="317" customFormat="false" ht="26.85" hidden="false" customHeight="false" outlineLevel="0" collapsed="false">
      <c r="A317" s="9" t="n">
        <v>120</v>
      </c>
      <c r="B317" s="9" t="s">
        <v>1113</v>
      </c>
      <c r="C317" s="10" t="s">
        <v>1114</v>
      </c>
      <c r="D317" s="9" t="s">
        <v>1115</v>
      </c>
      <c r="E317" s="10" t="s">
        <v>24</v>
      </c>
      <c r="F317" s="9" t="s">
        <v>968</v>
      </c>
      <c r="G317" s="9"/>
    </row>
    <row r="318" customFormat="false" ht="26.85" hidden="false" customHeight="false" outlineLevel="0" collapsed="false">
      <c r="A318" s="9" t="n">
        <v>120</v>
      </c>
      <c r="B318" s="9" t="s">
        <v>1113</v>
      </c>
      <c r="C318" s="10" t="s">
        <v>1116</v>
      </c>
      <c r="D318" s="9" t="s">
        <v>1117</v>
      </c>
      <c r="E318" s="10" t="s">
        <v>24</v>
      </c>
      <c r="F318" s="9" t="s">
        <v>968</v>
      </c>
      <c r="G318" s="9"/>
    </row>
    <row r="319" customFormat="false" ht="26.85" hidden="false" customHeight="false" outlineLevel="0" collapsed="false">
      <c r="A319" s="9" t="n">
        <v>121</v>
      </c>
      <c r="B319" s="9" t="s">
        <v>1118</v>
      </c>
      <c r="C319" s="10" t="s">
        <v>1119</v>
      </c>
      <c r="D319" s="9" t="s">
        <v>1120</v>
      </c>
      <c r="E319" s="10" t="s">
        <v>24</v>
      </c>
      <c r="F319" s="9" t="s">
        <v>968</v>
      </c>
      <c r="G319" s="9"/>
    </row>
    <row r="320" customFormat="false" ht="26.85" hidden="false" customHeight="false" outlineLevel="0" collapsed="false">
      <c r="A320" s="9" t="n">
        <v>121</v>
      </c>
      <c r="B320" s="9" t="s">
        <v>1118</v>
      </c>
      <c r="C320" s="10" t="s">
        <v>1121</v>
      </c>
      <c r="D320" s="9" t="s">
        <v>1122</v>
      </c>
      <c r="E320" s="10" t="s">
        <v>24</v>
      </c>
      <c r="F320" s="9" t="s">
        <v>968</v>
      </c>
      <c r="G320" s="9"/>
    </row>
    <row r="321" customFormat="false" ht="26.85" hidden="false" customHeight="false" outlineLevel="0" collapsed="false">
      <c r="A321" s="9" t="n">
        <v>122</v>
      </c>
      <c r="B321" s="9" t="s">
        <v>1123</v>
      </c>
      <c r="C321" s="10" t="s">
        <v>1124</v>
      </c>
      <c r="D321" s="9" t="s">
        <v>1125</v>
      </c>
      <c r="E321" s="10" t="s">
        <v>24</v>
      </c>
      <c r="F321" s="9" t="s">
        <v>968</v>
      </c>
      <c r="G321" s="9" t="s">
        <v>1126</v>
      </c>
    </row>
    <row r="322" customFormat="false" ht="26.85" hidden="false" customHeight="false" outlineLevel="0" collapsed="false">
      <c r="A322" s="9" t="n">
        <v>123</v>
      </c>
      <c r="B322" s="9" t="s">
        <v>1127</v>
      </c>
      <c r="C322" s="10" t="s">
        <v>1128</v>
      </c>
      <c r="D322" s="9" t="s">
        <v>1129</v>
      </c>
      <c r="E322" s="10" t="s">
        <v>24</v>
      </c>
      <c r="F322" s="9" t="s">
        <v>968</v>
      </c>
      <c r="G322" s="9"/>
    </row>
    <row r="323" customFormat="false" ht="26.85" hidden="false" customHeight="false" outlineLevel="0" collapsed="false">
      <c r="A323" s="9" t="n">
        <v>123</v>
      </c>
      <c r="B323" s="9" t="s">
        <v>1127</v>
      </c>
      <c r="C323" s="10" t="s">
        <v>1130</v>
      </c>
      <c r="D323" s="9" t="s">
        <v>1131</v>
      </c>
      <c r="E323" s="10" t="s">
        <v>24</v>
      </c>
      <c r="F323" s="9" t="s">
        <v>968</v>
      </c>
      <c r="G323" s="9"/>
    </row>
    <row r="324" customFormat="false" ht="26.85" hidden="false" customHeight="false" outlineLevel="0" collapsed="false">
      <c r="A324" s="9" t="n">
        <v>124</v>
      </c>
      <c r="B324" s="9" t="s">
        <v>1132</v>
      </c>
      <c r="C324" s="10" t="s">
        <v>1133</v>
      </c>
      <c r="D324" s="9" t="s">
        <v>1132</v>
      </c>
      <c r="E324" s="10" t="s">
        <v>24</v>
      </c>
      <c r="F324" s="9" t="s">
        <v>968</v>
      </c>
      <c r="G324" s="9" t="s">
        <v>1134</v>
      </c>
    </row>
    <row r="325" customFormat="false" ht="26.85" hidden="false" customHeight="false" outlineLevel="0" collapsed="false">
      <c r="A325" s="9" t="n">
        <v>125</v>
      </c>
      <c r="B325" s="9" t="s">
        <v>1135</v>
      </c>
      <c r="C325" s="10" t="s">
        <v>1136</v>
      </c>
      <c r="D325" s="9" t="s">
        <v>1137</v>
      </c>
      <c r="E325" s="10" t="s">
        <v>24</v>
      </c>
      <c r="F325" s="9" t="s">
        <v>968</v>
      </c>
      <c r="G325" s="9" t="s">
        <v>1138</v>
      </c>
    </row>
    <row r="326" customFormat="false" ht="26.85" hidden="false" customHeight="false" outlineLevel="0" collapsed="false">
      <c r="A326" s="9" t="n">
        <v>126</v>
      </c>
      <c r="B326" s="9" t="s">
        <v>1139</v>
      </c>
      <c r="C326" s="10" t="s">
        <v>1140</v>
      </c>
      <c r="D326" s="9" t="s">
        <v>1141</v>
      </c>
      <c r="E326" s="10" t="s">
        <v>26</v>
      </c>
      <c r="F326" s="9" t="s">
        <v>968</v>
      </c>
      <c r="G326" s="9" t="s">
        <v>1142</v>
      </c>
    </row>
    <row r="327" customFormat="false" ht="26.85" hidden="false" customHeight="false" outlineLevel="0" collapsed="false">
      <c r="A327" s="9" t="n">
        <v>127</v>
      </c>
      <c r="B327" s="9" t="s">
        <v>1143</v>
      </c>
      <c r="C327" s="10" t="s">
        <v>1144</v>
      </c>
      <c r="D327" s="9" t="s">
        <v>1145</v>
      </c>
      <c r="E327" s="10" t="s">
        <v>24</v>
      </c>
      <c r="F327" s="9" t="s">
        <v>968</v>
      </c>
      <c r="G327" s="9"/>
    </row>
    <row r="328" customFormat="false" ht="26.85" hidden="false" customHeight="false" outlineLevel="0" collapsed="false">
      <c r="A328" s="9" t="n">
        <v>127</v>
      </c>
      <c r="B328" s="9" t="s">
        <v>1143</v>
      </c>
      <c r="C328" s="10" t="s">
        <v>1146</v>
      </c>
      <c r="D328" s="9" t="s">
        <v>1147</v>
      </c>
      <c r="E328" s="10" t="s">
        <v>24</v>
      </c>
      <c r="F328" s="9" t="s">
        <v>968</v>
      </c>
      <c r="G328" s="9"/>
    </row>
    <row r="329" customFormat="false" ht="26.85" hidden="false" customHeight="false" outlineLevel="0" collapsed="false">
      <c r="A329" s="9" t="n">
        <v>127</v>
      </c>
      <c r="B329" s="9" t="s">
        <v>1143</v>
      </c>
      <c r="C329" s="10" t="s">
        <v>1148</v>
      </c>
      <c r="D329" s="9" t="s">
        <v>1149</v>
      </c>
      <c r="E329" s="10" t="s">
        <v>24</v>
      </c>
      <c r="F329" s="9" t="s">
        <v>968</v>
      </c>
      <c r="G329" s="9"/>
    </row>
    <row r="330" customFormat="false" ht="26.85" hidden="false" customHeight="false" outlineLevel="0" collapsed="false">
      <c r="A330" s="9" t="n">
        <v>128</v>
      </c>
      <c r="B330" s="9" t="s">
        <v>1150</v>
      </c>
      <c r="C330" s="10" t="s">
        <v>1151</v>
      </c>
      <c r="D330" s="9" t="s">
        <v>1152</v>
      </c>
      <c r="E330" s="10" t="s">
        <v>24</v>
      </c>
      <c r="F330" s="9" t="s">
        <v>968</v>
      </c>
      <c r="G330" s="9"/>
    </row>
    <row r="331" customFormat="false" ht="26.85" hidden="false" customHeight="false" outlineLevel="0" collapsed="false">
      <c r="A331" s="9" t="n">
        <v>128</v>
      </c>
      <c r="B331" s="9" t="s">
        <v>1150</v>
      </c>
      <c r="C331" s="10" t="s">
        <v>1153</v>
      </c>
      <c r="D331" s="9" t="s">
        <v>1154</v>
      </c>
      <c r="E331" s="10" t="s">
        <v>24</v>
      </c>
      <c r="F331" s="9" t="s">
        <v>968</v>
      </c>
      <c r="G331" s="9"/>
    </row>
    <row r="332" customFormat="false" ht="26.85" hidden="false" customHeight="false" outlineLevel="0" collapsed="false">
      <c r="A332" s="9" t="n">
        <v>128</v>
      </c>
      <c r="B332" s="9" t="s">
        <v>1150</v>
      </c>
      <c r="C332" s="10" t="s">
        <v>1155</v>
      </c>
      <c r="D332" s="9" t="s">
        <v>1156</v>
      </c>
      <c r="E332" s="10" t="s">
        <v>24</v>
      </c>
      <c r="F332" s="9" t="s">
        <v>968</v>
      </c>
      <c r="G332" s="9"/>
    </row>
    <row r="333" customFormat="false" ht="26.85" hidden="false" customHeight="false" outlineLevel="0" collapsed="false">
      <c r="A333" s="9" t="n">
        <v>129</v>
      </c>
      <c r="B333" s="9" t="s">
        <v>1157</v>
      </c>
      <c r="C333" s="10" t="s">
        <v>1158</v>
      </c>
      <c r="D333" s="9" t="s">
        <v>1157</v>
      </c>
      <c r="E333" s="10" t="s">
        <v>24</v>
      </c>
      <c r="F333" s="9" t="s">
        <v>968</v>
      </c>
      <c r="G333" s="9"/>
    </row>
    <row r="334" customFormat="false" ht="26.85" hidden="false" customHeight="false" outlineLevel="0" collapsed="false">
      <c r="A334" s="9" t="n">
        <v>129</v>
      </c>
      <c r="B334" s="9" t="s">
        <v>1157</v>
      </c>
      <c r="C334" s="10" t="s">
        <v>1159</v>
      </c>
      <c r="D334" s="9" t="s">
        <v>1160</v>
      </c>
      <c r="E334" s="10" t="s">
        <v>24</v>
      </c>
      <c r="F334" s="9" t="s">
        <v>968</v>
      </c>
      <c r="G334" s="9"/>
    </row>
    <row r="335" customFormat="false" ht="26.85" hidden="false" customHeight="false" outlineLevel="0" collapsed="false">
      <c r="A335" s="9" t="n">
        <v>130</v>
      </c>
      <c r="B335" s="9" t="s">
        <v>1161</v>
      </c>
      <c r="C335" s="10" t="s">
        <v>1162</v>
      </c>
      <c r="D335" s="9" t="s">
        <v>1163</v>
      </c>
      <c r="E335" s="10" t="s">
        <v>24</v>
      </c>
      <c r="F335" s="9" t="s">
        <v>968</v>
      </c>
      <c r="G335" s="9" t="s">
        <v>1164</v>
      </c>
    </row>
    <row r="336" customFormat="false" ht="26.85" hidden="false" customHeight="false" outlineLevel="0" collapsed="false">
      <c r="A336" s="9" t="n">
        <v>131</v>
      </c>
      <c r="B336" s="9" t="s">
        <v>1165</v>
      </c>
      <c r="C336" s="10" t="s">
        <v>1166</v>
      </c>
      <c r="D336" s="9" t="s">
        <v>1165</v>
      </c>
      <c r="E336" s="10" t="s">
        <v>24</v>
      </c>
      <c r="F336" s="9" t="s">
        <v>968</v>
      </c>
      <c r="G336" s="9" t="s">
        <v>1167</v>
      </c>
    </row>
    <row r="337" customFormat="false" ht="26.85" hidden="false" customHeight="false" outlineLevel="0" collapsed="false">
      <c r="A337" s="9" t="n">
        <v>132</v>
      </c>
      <c r="B337" s="9" t="s">
        <v>1168</v>
      </c>
      <c r="C337" s="10" t="s">
        <v>1169</v>
      </c>
      <c r="D337" s="9" t="s">
        <v>1170</v>
      </c>
      <c r="E337" s="10" t="s">
        <v>25</v>
      </c>
      <c r="F337" s="9" t="s">
        <v>968</v>
      </c>
      <c r="G337" s="9" t="s">
        <v>1171</v>
      </c>
    </row>
    <row r="338" customFormat="false" ht="26.85" hidden="false" customHeight="false" outlineLevel="0" collapsed="false">
      <c r="A338" s="9" t="n">
        <v>133</v>
      </c>
      <c r="B338" s="9" t="s">
        <v>1172</v>
      </c>
      <c r="C338" s="10" t="s">
        <v>1173</v>
      </c>
      <c r="D338" s="9" t="s">
        <v>1174</v>
      </c>
      <c r="E338" s="10" t="s">
        <v>25</v>
      </c>
      <c r="F338" s="9" t="s">
        <v>968</v>
      </c>
      <c r="G338" s="9" t="s">
        <v>1175</v>
      </c>
    </row>
    <row r="339" customFormat="false" ht="15" hidden="false" customHeight="false" outlineLevel="0" collapsed="false">
      <c r="A339" s="9" t="n">
        <v>134</v>
      </c>
      <c r="B339" s="9" t="s">
        <v>1176</v>
      </c>
      <c r="C339" s="10" t="s">
        <v>1177</v>
      </c>
      <c r="D339" s="9" t="s">
        <v>1176</v>
      </c>
      <c r="E339" s="10" t="s">
        <v>29</v>
      </c>
      <c r="F339" s="9" t="s">
        <v>1178</v>
      </c>
      <c r="G339" s="9" t="s">
        <v>1179</v>
      </c>
    </row>
    <row r="340" customFormat="false" ht="15" hidden="false" customHeight="false" outlineLevel="0" collapsed="false">
      <c r="A340" s="9" t="n">
        <v>135</v>
      </c>
      <c r="B340" s="9" t="s">
        <v>1180</v>
      </c>
      <c r="C340" s="10" t="s">
        <v>1181</v>
      </c>
      <c r="D340" s="9" t="s">
        <v>1182</v>
      </c>
      <c r="E340" s="10" t="s">
        <v>29</v>
      </c>
      <c r="F340" s="9" t="s">
        <v>1178</v>
      </c>
      <c r="G340" s="9" t="s">
        <v>1183</v>
      </c>
    </row>
    <row r="341" customFormat="false" ht="15" hidden="false" customHeight="false" outlineLevel="0" collapsed="false">
      <c r="A341" s="9" t="n">
        <v>135</v>
      </c>
      <c r="B341" s="9" t="s">
        <v>1180</v>
      </c>
      <c r="C341" s="10" t="s">
        <v>1184</v>
      </c>
      <c r="D341" s="9" t="s">
        <v>1185</v>
      </c>
      <c r="E341" s="10" t="s">
        <v>28</v>
      </c>
      <c r="F341" s="9" t="s">
        <v>1178</v>
      </c>
      <c r="G341" s="9" t="s">
        <v>1185</v>
      </c>
    </row>
    <row r="342" customFormat="false" ht="15" hidden="false" customHeight="false" outlineLevel="0" collapsed="false">
      <c r="A342" s="9" t="n">
        <v>136</v>
      </c>
      <c r="B342" s="9" t="s">
        <v>1186</v>
      </c>
      <c r="C342" s="10" t="s">
        <v>1187</v>
      </c>
      <c r="D342" s="9" t="s">
        <v>1188</v>
      </c>
      <c r="E342" s="10" t="s">
        <v>29</v>
      </c>
      <c r="F342" s="9" t="s">
        <v>1178</v>
      </c>
      <c r="G342" s="9" t="s">
        <v>1189</v>
      </c>
    </row>
    <row r="343" customFormat="false" ht="15" hidden="false" customHeight="false" outlineLevel="0" collapsed="false">
      <c r="A343" s="9" t="n">
        <v>137</v>
      </c>
      <c r="B343" s="9" t="s">
        <v>1190</v>
      </c>
      <c r="C343" s="10" t="s">
        <v>1191</v>
      </c>
      <c r="D343" s="9" t="s">
        <v>1192</v>
      </c>
      <c r="E343" s="10" t="s">
        <v>29</v>
      </c>
      <c r="F343" s="9" t="s">
        <v>1178</v>
      </c>
      <c r="G343" s="9"/>
    </row>
    <row r="344" customFormat="false" ht="15" hidden="false" customHeight="false" outlineLevel="0" collapsed="false">
      <c r="A344" s="9" t="n">
        <v>137</v>
      </c>
      <c r="B344" s="9" t="s">
        <v>1190</v>
      </c>
      <c r="C344" s="10" t="s">
        <v>1193</v>
      </c>
      <c r="D344" s="9" t="s">
        <v>1194</v>
      </c>
      <c r="E344" s="10" t="s">
        <v>29</v>
      </c>
      <c r="F344" s="9" t="s">
        <v>1178</v>
      </c>
      <c r="G344" s="9"/>
    </row>
    <row r="345" customFormat="false" ht="15" hidden="false" customHeight="false" outlineLevel="0" collapsed="false">
      <c r="A345" s="9" t="n">
        <v>137</v>
      </c>
      <c r="B345" s="9" t="s">
        <v>1190</v>
      </c>
      <c r="C345" s="10" t="s">
        <v>1195</v>
      </c>
      <c r="D345" s="9" t="s">
        <v>1196</v>
      </c>
      <c r="E345" s="10" t="s">
        <v>28</v>
      </c>
      <c r="F345" s="9" t="s">
        <v>1178</v>
      </c>
      <c r="G345" s="9"/>
    </row>
    <row r="346" customFormat="false" ht="15" hidden="false" customHeight="false" outlineLevel="0" collapsed="false">
      <c r="A346" s="9" t="n">
        <v>137</v>
      </c>
      <c r="B346" s="9" t="s">
        <v>1190</v>
      </c>
      <c r="C346" s="10" t="s">
        <v>1197</v>
      </c>
      <c r="D346" s="9" t="s">
        <v>1198</v>
      </c>
      <c r="E346" s="10" t="s">
        <v>28</v>
      </c>
      <c r="F346" s="9" t="s">
        <v>1178</v>
      </c>
      <c r="G346" s="9"/>
    </row>
    <row r="347" customFormat="false" ht="15" hidden="false" customHeight="false" outlineLevel="0" collapsed="false">
      <c r="A347" s="9" t="n">
        <v>138</v>
      </c>
      <c r="B347" s="9" t="s">
        <v>1199</v>
      </c>
      <c r="C347" s="10" t="s">
        <v>1200</v>
      </c>
      <c r="D347" s="9" t="s">
        <v>1201</v>
      </c>
      <c r="E347" s="10" t="s">
        <v>27</v>
      </c>
      <c r="F347" s="9" t="s">
        <v>1178</v>
      </c>
      <c r="G347" s="9"/>
    </row>
    <row r="348" customFormat="false" ht="15" hidden="false" customHeight="false" outlineLevel="0" collapsed="false">
      <c r="A348" s="9" t="n">
        <v>138</v>
      </c>
      <c r="B348" s="9" t="s">
        <v>1199</v>
      </c>
      <c r="C348" s="10" t="s">
        <v>1202</v>
      </c>
      <c r="D348" s="9" t="s">
        <v>1203</v>
      </c>
      <c r="E348" s="10" t="s">
        <v>27</v>
      </c>
      <c r="F348" s="9" t="s">
        <v>1178</v>
      </c>
      <c r="G348" s="9"/>
    </row>
    <row r="349" customFormat="false" ht="15" hidden="false" customHeight="false" outlineLevel="0" collapsed="false">
      <c r="A349" s="9" t="n">
        <v>139</v>
      </c>
      <c r="B349" s="9" t="s">
        <v>1204</v>
      </c>
      <c r="C349" s="10" t="s">
        <v>1205</v>
      </c>
      <c r="D349" s="9" t="s">
        <v>1206</v>
      </c>
      <c r="E349" s="10" t="s">
        <v>27</v>
      </c>
      <c r="F349" s="9" t="s">
        <v>1178</v>
      </c>
      <c r="G349" s="9" t="s">
        <v>1207</v>
      </c>
    </row>
    <row r="350" customFormat="false" ht="15" hidden="false" customHeight="false" outlineLevel="0" collapsed="false">
      <c r="A350" s="9" t="n">
        <v>140</v>
      </c>
      <c r="B350" s="9" t="s">
        <v>1208</v>
      </c>
      <c r="C350" s="10" t="s">
        <v>1209</v>
      </c>
      <c r="D350" s="9" t="s">
        <v>1210</v>
      </c>
      <c r="E350" s="10" t="s">
        <v>29</v>
      </c>
      <c r="F350" s="9" t="s">
        <v>1178</v>
      </c>
      <c r="G350" s="9"/>
    </row>
    <row r="351" customFormat="false" ht="15" hidden="false" customHeight="false" outlineLevel="0" collapsed="false">
      <c r="A351" s="9" t="n">
        <v>140</v>
      </c>
      <c r="B351" s="9" t="s">
        <v>1208</v>
      </c>
      <c r="C351" s="10" t="s">
        <v>1211</v>
      </c>
      <c r="D351" s="9" t="s">
        <v>1212</v>
      </c>
      <c r="E351" s="10" t="s">
        <v>29</v>
      </c>
      <c r="F351" s="9" t="s">
        <v>1178</v>
      </c>
      <c r="G351" s="9"/>
    </row>
    <row r="352" customFormat="false" ht="15" hidden="false" customHeight="false" outlineLevel="0" collapsed="false">
      <c r="A352" s="9" t="n">
        <v>141</v>
      </c>
      <c r="B352" s="9" t="s">
        <v>1213</v>
      </c>
      <c r="C352" s="10" t="s">
        <v>1214</v>
      </c>
      <c r="D352" s="9" t="s">
        <v>1215</v>
      </c>
      <c r="E352" s="10" t="s">
        <v>28</v>
      </c>
      <c r="F352" s="9" t="s">
        <v>1178</v>
      </c>
      <c r="G352" s="9"/>
    </row>
    <row r="353" customFormat="false" ht="15" hidden="false" customHeight="false" outlineLevel="0" collapsed="false">
      <c r="A353" s="9" t="n">
        <v>141</v>
      </c>
      <c r="B353" s="9" t="s">
        <v>1213</v>
      </c>
      <c r="C353" s="10" t="s">
        <v>1216</v>
      </c>
      <c r="D353" s="9" t="s">
        <v>1217</v>
      </c>
      <c r="E353" s="10" t="s">
        <v>28</v>
      </c>
      <c r="F353" s="9" t="s">
        <v>1178</v>
      </c>
      <c r="G353" s="9"/>
    </row>
    <row r="354" customFormat="false" ht="15" hidden="false" customHeight="false" outlineLevel="0" collapsed="false">
      <c r="A354" s="9" t="n">
        <v>142</v>
      </c>
      <c r="B354" s="9" t="s">
        <v>1218</v>
      </c>
      <c r="C354" s="10" t="s">
        <v>1219</v>
      </c>
      <c r="D354" s="9" t="s">
        <v>1220</v>
      </c>
      <c r="E354" s="10" t="s">
        <v>28</v>
      </c>
      <c r="F354" s="9" t="s">
        <v>1178</v>
      </c>
      <c r="G354" s="9"/>
    </row>
    <row r="355" customFormat="false" ht="15" hidden="false" customHeight="false" outlineLevel="0" collapsed="false">
      <c r="A355" s="9" t="n">
        <v>142</v>
      </c>
      <c r="B355" s="9" t="s">
        <v>1218</v>
      </c>
      <c r="C355" s="10" t="s">
        <v>1221</v>
      </c>
      <c r="D355" s="9" t="s">
        <v>1222</v>
      </c>
      <c r="E355" s="10" t="s">
        <v>28</v>
      </c>
      <c r="F355" s="9" t="s">
        <v>1178</v>
      </c>
      <c r="G355" s="9"/>
    </row>
    <row r="356" customFormat="false" ht="26.85" hidden="false" customHeight="false" outlineLevel="0" collapsed="false">
      <c r="A356" s="9" t="n">
        <v>143</v>
      </c>
      <c r="B356" s="9" t="s">
        <v>1223</v>
      </c>
      <c r="C356" s="10" t="s">
        <v>1224</v>
      </c>
      <c r="D356" s="9" t="s">
        <v>1225</v>
      </c>
      <c r="E356" s="10" t="s">
        <v>27</v>
      </c>
      <c r="F356" s="9" t="s">
        <v>1178</v>
      </c>
      <c r="G356" s="9"/>
    </row>
    <row r="357" customFormat="false" ht="26.85" hidden="false" customHeight="false" outlineLevel="0" collapsed="false">
      <c r="A357" s="9" t="n">
        <v>143</v>
      </c>
      <c r="B357" s="9" t="s">
        <v>1223</v>
      </c>
      <c r="C357" s="10" t="s">
        <v>1226</v>
      </c>
      <c r="D357" s="9" t="s">
        <v>1227</v>
      </c>
      <c r="E357" s="10" t="s">
        <v>27</v>
      </c>
      <c r="F357" s="9" t="s">
        <v>1178</v>
      </c>
      <c r="G357" s="9"/>
    </row>
    <row r="358" customFormat="false" ht="15" hidden="false" customHeight="false" outlineLevel="0" collapsed="false">
      <c r="A358" s="9" t="n">
        <v>143</v>
      </c>
      <c r="B358" s="9" t="s">
        <v>1223</v>
      </c>
      <c r="C358" s="10" t="s">
        <v>1228</v>
      </c>
      <c r="D358" s="9" t="s">
        <v>1229</v>
      </c>
      <c r="E358" s="10" t="s">
        <v>27</v>
      </c>
      <c r="F358" s="9" t="s">
        <v>1178</v>
      </c>
      <c r="G358" s="9"/>
    </row>
    <row r="359" customFormat="false" ht="15" hidden="false" customHeight="false" outlineLevel="0" collapsed="false">
      <c r="A359" s="9" t="n">
        <v>143</v>
      </c>
      <c r="B359" s="9" t="s">
        <v>1223</v>
      </c>
      <c r="C359" s="10" t="s">
        <v>1230</v>
      </c>
      <c r="D359" s="9" t="s">
        <v>1231</v>
      </c>
      <c r="E359" s="10" t="s">
        <v>27</v>
      </c>
      <c r="F359" s="9" t="s">
        <v>1178</v>
      </c>
      <c r="G359" s="9"/>
    </row>
    <row r="360" customFormat="false" ht="15" hidden="false" customHeight="false" outlineLevel="0" collapsed="false">
      <c r="A360" s="9" t="n">
        <v>143</v>
      </c>
      <c r="B360" s="9" t="s">
        <v>1223</v>
      </c>
      <c r="C360" s="10" t="s">
        <v>1232</v>
      </c>
      <c r="D360" s="9" t="s">
        <v>1233</v>
      </c>
      <c r="E360" s="10" t="s">
        <v>27</v>
      </c>
      <c r="F360" s="9" t="s">
        <v>1178</v>
      </c>
      <c r="G360" s="9"/>
    </row>
    <row r="361" customFormat="false" ht="15" hidden="false" customHeight="false" outlineLevel="0" collapsed="false">
      <c r="A361" s="9" t="n">
        <v>143</v>
      </c>
      <c r="B361" s="9" t="s">
        <v>1223</v>
      </c>
      <c r="C361" s="10" t="s">
        <v>1234</v>
      </c>
      <c r="D361" s="9" t="s">
        <v>1235</v>
      </c>
      <c r="E361" s="10" t="s">
        <v>27</v>
      </c>
      <c r="F361" s="9" t="s">
        <v>1178</v>
      </c>
      <c r="G361" s="9"/>
    </row>
    <row r="362" customFormat="false" ht="26.85" hidden="false" customHeight="false" outlineLevel="0" collapsed="false">
      <c r="A362" s="9" t="n">
        <v>143</v>
      </c>
      <c r="B362" s="9" t="s">
        <v>1223</v>
      </c>
      <c r="C362" s="10" t="s">
        <v>1236</v>
      </c>
      <c r="D362" s="9" t="s">
        <v>1237</v>
      </c>
      <c r="E362" s="10" t="s">
        <v>27</v>
      </c>
      <c r="F362" s="9" t="s">
        <v>1178</v>
      </c>
      <c r="G362" s="9"/>
    </row>
    <row r="363" customFormat="false" ht="26.85" hidden="false" customHeight="false" outlineLevel="0" collapsed="false">
      <c r="A363" s="9" t="n">
        <v>143</v>
      </c>
      <c r="B363" s="9" t="s">
        <v>1223</v>
      </c>
      <c r="C363" s="10" t="s">
        <v>1238</v>
      </c>
      <c r="D363" s="9" t="s">
        <v>1239</v>
      </c>
      <c r="E363" s="10" t="s">
        <v>27</v>
      </c>
      <c r="F363" s="9" t="s">
        <v>1178</v>
      </c>
      <c r="G363" s="9"/>
    </row>
    <row r="364" customFormat="false" ht="15" hidden="false" customHeight="false" outlineLevel="0" collapsed="false">
      <c r="A364" s="9" t="n">
        <v>144</v>
      </c>
      <c r="B364" s="9" t="s">
        <v>1240</v>
      </c>
      <c r="C364" s="10" t="s">
        <v>1241</v>
      </c>
      <c r="D364" s="9" t="s">
        <v>1242</v>
      </c>
      <c r="E364" s="10" t="s">
        <v>29</v>
      </c>
      <c r="F364" s="9" t="s">
        <v>1178</v>
      </c>
      <c r="G364" s="9"/>
    </row>
    <row r="365" customFormat="false" ht="15" hidden="false" customHeight="false" outlineLevel="0" collapsed="false">
      <c r="A365" s="9" t="n">
        <v>144</v>
      </c>
      <c r="B365" s="9" t="s">
        <v>1240</v>
      </c>
      <c r="C365" s="10" t="s">
        <v>1243</v>
      </c>
      <c r="D365" s="9" t="s">
        <v>1244</v>
      </c>
      <c r="E365" s="10" t="s">
        <v>29</v>
      </c>
      <c r="F365" s="9" t="s">
        <v>1178</v>
      </c>
      <c r="G365" s="9"/>
    </row>
    <row r="366" customFormat="false" ht="15" hidden="false" customHeight="false" outlineLevel="0" collapsed="false">
      <c r="A366" s="9" t="n">
        <v>145</v>
      </c>
      <c r="B366" s="9" t="s">
        <v>1245</v>
      </c>
      <c r="C366" s="10" t="s">
        <v>1246</v>
      </c>
      <c r="D366" s="9" t="s">
        <v>1247</v>
      </c>
      <c r="E366" s="10" t="s">
        <v>27</v>
      </c>
      <c r="F366" s="9" t="s">
        <v>1178</v>
      </c>
      <c r="G366" s="9"/>
    </row>
    <row r="367" customFormat="false" ht="15" hidden="false" customHeight="false" outlineLevel="0" collapsed="false">
      <c r="A367" s="9" t="n">
        <v>145</v>
      </c>
      <c r="B367" s="9" t="s">
        <v>1245</v>
      </c>
      <c r="C367" s="10" t="s">
        <v>1248</v>
      </c>
      <c r="D367" s="9" t="s">
        <v>1249</v>
      </c>
      <c r="E367" s="10" t="s">
        <v>27</v>
      </c>
      <c r="F367" s="9" t="s">
        <v>1178</v>
      </c>
      <c r="G367" s="9"/>
    </row>
    <row r="368" customFormat="false" ht="15" hidden="false" customHeight="false" outlineLevel="0" collapsed="false">
      <c r="A368" s="9" t="n">
        <v>146</v>
      </c>
      <c r="B368" s="9" t="s">
        <v>1250</v>
      </c>
      <c r="C368" s="10" t="s">
        <v>1251</v>
      </c>
      <c r="D368" s="9" t="s">
        <v>1252</v>
      </c>
      <c r="E368" s="10" t="s">
        <v>26</v>
      </c>
      <c r="F368" s="9" t="s">
        <v>1178</v>
      </c>
      <c r="G368" s="9"/>
    </row>
    <row r="369" customFormat="false" ht="15" hidden="false" customHeight="false" outlineLevel="0" collapsed="false">
      <c r="A369" s="9" t="n">
        <v>146</v>
      </c>
      <c r="B369" s="9" t="s">
        <v>1250</v>
      </c>
      <c r="C369" s="10" t="s">
        <v>1253</v>
      </c>
      <c r="D369" s="9" t="s">
        <v>1254</v>
      </c>
      <c r="E369" s="10" t="s">
        <v>24</v>
      </c>
      <c r="F369" s="9" t="s">
        <v>1178</v>
      </c>
      <c r="G369" s="9" t="s">
        <v>1255</v>
      </c>
    </row>
    <row r="370" customFormat="false" ht="15" hidden="false" customHeight="false" outlineLevel="0" collapsed="false">
      <c r="A370" s="9" t="n">
        <v>146</v>
      </c>
      <c r="B370" s="9" t="s">
        <v>1250</v>
      </c>
      <c r="C370" s="10" t="s">
        <v>1256</v>
      </c>
      <c r="D370" s="9" t="s">
        <v>1257</v>
      </c>
      <c r="E370" s="10" t="s">
        <v>26</v>
      </c>
      <c r="F370" s="9" t="s">
        <v>1178</v>
      </c>
      <c r="G370" s="9"/>
    </row>
    <row r="371" customFormat="false" ht="15" hidden="false" customHeight="false" outlineLevel="0" collapsed="false">
      <c r="A371" s="9" t="n">
        <v>146</v>
      </c>
      <c r="B371" s="9" t="s">
        <v>1250</v>
      </c>
      <c r="C371" s="10" t="s">
        <v>1258</v>
      </c>
      <c r="D371" s="9" t="s">
        <v>1259</v>
      </c>
      <c r="E371" s="10" t="s">
        <v>26</v>
      </c>
      <c r="F371" s="9" t="s">
        <v>1178</v>
      </c>
      <c r="G371" s="9"/>
    </row>
    <row r="372" customFormat="false" ht="15" hidden="false" customHeight="false" outlineLevel="0" collapsed="false">
      <c r="A372" s="9" t="n">
        <v>146</v>
      </c>
      <c r="B372" s="9" t="s">
        <v>1250</v>
      </c>
      <c r="C372" s="10" t="s">
        <v>1260</v>
      </c>
      <c r="D372" s="9" t="s">
        <v>1261</v>
      </c>
      <c r="E372" s="10" t="s">
        <v>26</v>
      </c>
      <c r="F372" s="9" t="s">
        <v>1178</v>
      </c>
      <c r="G372" s="9"/>
    </row>
    <row r="373" customFormat="false" ht="15" hidden="false" customHeight="false" outlineLevel="0" collapsed="false">
      <c r="A373" s="9" t="n">
        <v>147</v>
      </c>
      <c r="B373" s="9" t="s">
        <v>1262</v>
      </c>
      <c r="C373" s="10" t="s">
        <v>1263</v>
      </c>
      <c r="D373" s="9" t="s">
        <v>1264</v>
      </c>
      <c r="E373" s="10" t="s">
        <v>26</v>
      </c>
      <c r="F373" s="9" t="s">
        <v>1178</v>
      </c>
      <c r="G373" s="9"/>
    </row>
    <row r="374" customFormat="false" ht="15" hidden="false" customHeight="false" outlineLevel="0" collapsed="false">
      <c r="A374" s="9" t="n">
        <v>147</v>
      </c>
      <c r="B374" s="9" t="s">
        <v>1262</v>
      </c>
      <c r="C374" s="10" t="s">
        <v>1265</v>
      </c>
      <c r="D374" s="9" t="s">
        <v>1266</v>
      </c>
      <c r="E374" s="10" t="s">
        <v>26</v>
      </c>
      <c r="F374" s="9" t="s">
        <v>1178</v>
      </c>
      <c r="G374" s="9"/>
    </row>
    <row r="375" customFormat="false" ht="15" hidden="false" customHeight="false" outlineLevel="0" collapsed="false">
      <c r="A375" s="9" t="n">
        <v>147</v>
      </c>
      <c r="B375" s="9" t="s">
        <v>1262</v>
      </c>
      <c r="C375" s="10" t="s">
        <v>1267</v>
      </c>
      <c r="D375" s="9" t="s">
        <v>1268</v>
      </c>
      <c r="E375" s="10" t="s">
        <v>26</v>
      </c>
      <c r="F375" s="9" t="s">
        <v>1178</v>
      </c>
      <c r="G375" s="9"/>
    </row>
    <row r="376" customFormat="false" ht="15" hidden="false" customHeight="false" outlineLevel="0" collapsed="false">
      <c r="A376" s="9" t="n">
        <v>147</v>
      </c>
      <c r="B376" s="9" t="s">
        <v>1262</v>
      </c>
      <c r="C376" s="10" t="s">
        <v>1269</v>
      </c>
      <c r="D376" s="9" t="s">
        <v>1270</v>
      </c>
      <c r="E376" s="10" t="s">
        <v>28</v>
      </c>
      <c r="F376" s="9" t="s">
        <v>1178</v>
      </c>
      <c r="G376" s="9"/>
    </row>
    <row r="377" customFormat="false" ht="15" hidden="false" customHeight="false" outlineLevel="0" collapsed="false">
      <c r="A377" s="9" t="n">
        <v>147</v>
      </c>
      <c r="B377" s="9" t="s">
        <v>1262</v>
      </c>
      <c r="C377" s="10" t="s">
        <v>1271</v>
      </c>
      <c r="D377" s="9" t="s">
        <v>1272</v>
      </c>
      <c r="E377" s="10" t="s">
        <v>28</v>
      </c>
      <c r="F377" s="9" t="s">
        <v>1178</v>
      </c>
      <c r="G377" s="9"/>
    </row>
    <row r="378" customFormat="false" ht="15" hidden="false" customHeight="false" outlineLevel="0" collapsed="false">
      <c r="A378" s="9" t="n">
        <v>148</v>
      </c>
      <c r="B378" s="9" t="s">
        <v>1273</v>
      </c>
      <c r="C378" s="10" t="s">
        <v>1274</v>
      </c>
      <c r="D378" s="9" t="s">
        <v>1275</v>
      </c>
      <c r="E378" s="10" t="s">
        <v>24</v>
      </c>
      <c r="F378" s="9" t="s">
        <v>1178</v>
      </c>
      <c r="G378" s="9" t="s">
        <v>1276</v>
      </c>
    </row>
    <row r="379" customFormat="false" ht="15" hidden="false" customHeight="false" outlineLevel="0" collapsed="false">
      <c r="A379" s="9" t="n">
        <v>149</v>
      </c>
      <c r="B379" s="9" t="s">
        <v>1277</v>
      </c>
      <c r="C379" s="10" t="s">
        <v>1278</v>
      </c>
      <c r="D379" s="9" t="s">
        <v>1279</v>
      </c>
      <c r="E379" s="10" t="s">
        <v>28</v>
      </c>
      <c r="F379" s="9" t="s">
        <v>1178</v>
      </c>
      <c r="G379" s="9" t="s">
        <v>1280</v>
      </c>
    </row>
    <row r="380" customFormat="false" ht="15" hidden="false" customHeight="false" outlineLevel="0" collapsed="false">
      <c r="A380" s="9" t="n">
        <v>150</v>
      </c>
      <c r="B380" s="9" t="s">
        <v>1281</v>
      </c>
      <c r="C380" s="10" t="s">
        <v>1282</v>
      </c>
      <c r="D380" s="9" t="s">
        <v>1283</v>
      </c>
      <c r="E380" s="10" t="s">
        <v>26</v>
      </c>
      <c r="F380" s="9" t="s">
        <v>1178</v>
      </c>
      <c r="G380" s="9" t="s">
        <v>1284</v>
      </c>
    </row>
    <row r="381" customFormat="false" ht="15" hidden="false" customHeight="false" outlineLevel="0" collapsed="false">
      <c r="A381" s="9" t="n">
        <v>151</v>
      </c>
      <c r="B381" s="9" t="s">
        <v>1285</v>
      </c>
      <c r="C381" s="10" t="s">
        <v>1286</v>
      </c>
      <c r="D381" s="9" t="s">
        <v>1287</v>
      </c>
      <c r="E381" s="10" t="s">
        <v>27</v>
      </c>
      <c r="F381" s="9" t="s">
        <v>1288</v>
      </c>
      <c r="G381" s="9" t="s">
        <v>1289</v>
      </c>
    </row>
    <row r="382" customFormat="false" ht="15" hidden="false" customHeight="false" outlineLevel="0" collapsed="false">
      <c r="A382" s="9" t="n">
        <v>151</v>
      </c>
      <c r="B382" s="9" t="s">
        <v>1285</v>
      </c>
      <c r="C382" s="10" t="s">
        <v>1290</v>
      </c>
      <c r="D382" s="9" t="s">
        <v>1291</v>
      </c>
      <c r="E382" s="10" t="s">
        <v>26</v>
      </c>
      <c r="F382" s="9" t="s">
        <v>1288</v>
      </c>
      <c r="G382" s="9" t="s">
        <v>1292</v>
      </c>
    </row>
    <row r="383" customFormat="false" ht="15" hidden="false" customHeight="false" outlineLevel="0" collapsed="false">
      <c r="A383" s="9" t="n">
        <v>152</v>
      </c>
      <c r="B383" s="9" t="s">
        <v>1293</v>
      </c>
      <c r="C383" s="10" t="s">
        <v>1294</v>
      </c>
      <c r="D383" s="9" t="s">
        <v>1295</v>
      </c>
      <c r="E383" s="10" t="s">
        <v>27</v>
      </c>
      <c r="F383" s="9" t="s">
        <v>1288</v>
      </c>
      <c r="G383" s="9"/>
    </row>
    <row r="384" customFormat="false" ht="15" hidden="false" customHeight="false" outlineLevel="0" collapsed="false">
      <c r="A384" s="9" t="n">
        <v>152</v>
      </c>
      <c r="B384" s="9" t="s">
        <v>1293</v>
      </c>
      <c r="C384" s="10" t="s">
        <v>1296</v>
      </c>
      <c r="D384" s="9" t="s">
        <v>1297</v>
      </c>
      <c r="E384" s="10" t="s">
        <v>27</v>
      </c>
      <c r="F384" s="9" t="s">
        <v>1288</v>
      </c>
      <c r="G384" s="9"/>
    </row>
    <row r="385" customFormat="false" ht="15" hidden="false" customHeight="false" outlineLevel="0" collapsed="false">
      <c r="A385" s="9" t="n">
        <v>152</v>
      </c>
      <c r="B385" s="9" t="s">
        <v>1293</v>
      </c>
      <c r="C385" s="10" t="s">
        <v>1298</v>
      </c>
      <c r="D385" s="9" t="s">
        <v>1299</v>
      </c>
      <c r="E385" s="10" t="s">
        <v>27</v>
      </c>
      <c r="F385" s="9" t="s">
        <v>1288</v>
      </c>
      <c r="G385" s="9"/>
    </row>
    <row r="386" customFormat="false" ht="15" hidden="false" customHeight="false" outlineLevel="0" collapsed="false">
      <c r="A386" s="9" t="n">
        <v>153</v>
      </c>
      <c r="B386" s="9" t="s">
        <v>1300</v>
      </c>
      <c r="C386" s="10" t="s">
        <v>1301</v>
      </c>
      <c r="D386" s="9" t="s">
        <v>1302</v>
      </c>
      <c r="E386" s="10" t="s">
        <v>26</v>
      </c>
      <c r="F386" s="9" t="s">
        <v>1288</v>
      </c>
      <c r="G386" s="9"/>
    </row>
    <row r="387" customFormat="false" ht="15" hidden="false" customHeight="false" outlineLevel="0" collapsed="false">
      <c r="A387" s="9" t="n">
        <v>153</v>
      </c>
      <c r="B387" s="9" t="s">
        <v>1300</v>
      </c>
      <c r="C387" s="10" t="s">
        <v>1303</v>
      </c>
      <c r="D387" s="9" t="s">
        <v>1304</v>
      </c>
      <c r="E387" s="10" t="s">
        <v>26</v>
      </c>
      <c r="F387" s="9" t="s">
        <v>1288</v>
      </c>
      <c r="G387" s="9"/>
    </row>
    <row r="388" customFormat="false" ht="15" hidden="false" customHeight="false" outlineLevel="0" collapsed="false">
      <c r="A388" s="9" t="n">
        <v>153</v>
      </c>
      <c r="B388" s="9" t="s">
        <v>1300</v>
      </c>
      <c r="C388" s="10" t="s">
        <v>1305</v>
      </c>
      <c r="D388" s="9" t="s">
        <v>1306</v>
      </c>
      <c r="E388" s="10" t="s">
        <v>26</v>
      </c>
      <c r="F388" s="9" t="s">
        <v>1288</v>
      </c>
      <c r="G388" s="9"/>
    </row>
    <row r="389" customFormat="false" ht="15" hidden="false" customHeight="false" outlineLevel="0" collapsed="false">
      <c r="A389" s="9" t="n">
        <v>154</v>
      </c>
      <c r="B389" s="9" t="s">
        <v>1307</v>
      </c>
      <c r="C389" s="10" t="s">
        <v>1308</v>
      </c>
      <c r="D389" s="9" t="s">
        <v>1309</v>
      </c>
      <c r="E389" s="10" t="s">
        <v>25</v>
      </c>
      <c r="F389" s="9" t="s">
        <v>1288</v>
      </c>
      <c r="G389" s="9"/>
    </row>
    <row r="390" customFormat="false" ht="15" hidden="false" customHeight="false" outlineLevel="0" collapsed="false">
      <c r="A390" s="9" t="n">
        <v>154</v>
      </c>
      <c r="B390" s="9" t="s">
        <v>1307</v>
      </c>
      <c r="C390" s="10" t="s">
        <v>1310</v>
      </c>
      <c r="D390" s="9" t="s">
        <v>1311</v>
      </c>
      <c r="E390" s="10" t="s">
        <v>25</v>
      </c>
      <c r="F390" s="9" t="s">
        <v>1288</v>
      </c>
      <c r="G390" s="9"/>
    </row>
    <row r="391" customFormat="false" ht="15" hidden="false" customHeight="false" outlineLevel="0" collapsed="false">
      <c r="A391" s="9" t="n">
        <v>154</v>
      </c>
      <c r="B391" s="9" t="s">
        <v>1307</v>
      </c>
      <c r="C391" s="10" t="s">
        <v>1312</v>
      </c>
      <c r="D391" s="9" t="s">
        <v>1313</v>
      </c>
      <c r="E391" s="10" t="s">
        <v>25</v>
      </c>
      <c r="F391" s="9" t="s">
        <v>1288</v>
      </c>
      <c r="G391" s="9"/>
    </row>
    <row r="392" customFormat="false" ht="15" hidden="false" customHeight="false" outlineLevel="0" collapsed="false">
      <c r="A392" s="9" t="n">
        <v>154</v>
      </c>
      <c r="B392" s="9" t="s">
        <v>1307</v>
      </c>
      <c r="C392" s="10" t="s">
        <v>1314</v>
      </c>
      <c r="D392" s="9" t="s">
        <v>1315</v>
      </c>
      <c r="E392" s="10" t="s">
        <v>25</v>
      </c>
      <c r="F392" s="9" t="s">
        <v>1288</v>
      </c>
      <c r="G392" s="9"/>
    </row>
    <row r="393" customFormat="false" ht="15" hidden="false" customHeight="false" outlineLevel="0" collapsed="false">
      <c r="A393" s="9" t="n">
        <v>155</v>
      </c>
      <c r="B393" s="9" t="s">
        <v>1316</v>
      </c>
      <c r="C393" s="10" t="s">
        <v>1317</v>
      </c>
      <c r="D393" s="9" t="s">
        <v>1318</v>
      </c>
      <c r="E393" s="10" t="s">
        <v>27</v>
      </c>
      <c r="F393" s="9" t="s">
        <v>1288</v>
      </c>
      <c r="G393" s="9" t="s">
        <v>1319</v>
      </c>
    </row>
    <row r="394" customFormat="false" ht="15" hidden="false" customHeight="false" outlineLevel="0" collapsed="false">
      <c r="A394" s="9" t="n">
        <v>156</v>
      </c>
      <c r="B394" s="9" t="s">
        <v>486</v>
      </c>
      <c r="C394" s="10" t="s">
        <v>1320</v>
      </c>
      <c r="D394" s="9" t="s">
        <v>488</v>
      </c>
      <c r="E394" s="10" t="s">
        <v>28</v>
      </c>
      <c r="F394" s="9" t="s">
        <v>1288</v>
      </c>
      <c r="G394" s="9"/>
    </row>
    <row r="395" customFormat="false" ht="15" hidden="false" customHeight="false" outlineLevel="0" collapsed="false">
      <c r="A395" s="9" t="n">
        <v>156</v>
      </c>
      <c r="B395" s="9" t="s">
        <v>486</v>
      </c>
      <c r="C395" s="10" t="s">
        <v>1321</v>
      </c>
      <c r="D395" s="9" t="s">
        <v>490</v>
      </c>
      <c r="E395" s="10" t="s">
        <v>28</v>
      </c>
      <c r="F395" s="9" t="s">
        <v>1288</v>
      </c>
      <c r="G395" s="9"/>
    </row>
    <row r="396" customFormat="false" ht="15" hidden="false" customHeight="false" outlineLevel="0" collapsed="false">
      <c r="A396" s="9" t="n">
        <v>156</v>
      </c>
      <c r="B396" s="9" t="s">
        <v>486</v>
      </c>
      <c r="C396" s="10" t="s">
        <v>1322</v>
      </c>
      <c r="D396" s="9" t="s">
        <v>492</v>
      </c>
      <c r="E396" s="10" t="s">
        <v>28</v>
      </c>
      <c r="F396" s="9" t="s">
        <v>1288</v>
      </c>
      <c r="G396" s="9"/>
    </row>
    <row r="397" customFormat="false" ht="15" hidden="false" customHeight="false" outlineLevel="0" collapsed="false">
      <c r="A397" s="9" t="n">
        <v>156</v>
      </c>
      <c r="B397" s="9" t="s">
        <v>486</v>
      </c>
      <c r="C397" s="10" t="s">
        <v>1323</v>
      </c>
      <c r="D397" s="9" t="s">
        <v>494</v>
      </c>
      <c r="E397" s="10" t="s">
        <v>28</v>
      </c>
      <c r="F397" s="9" t="s">
        <v>1288</v>
      </c>
      <c r="G397" s="9"/>
    </row>
    <row r="398" customFormat="false" ht="15" hidden="false" customHeight="false" outlineLevel="0" collapsed="false">
      <c r="A398" s="9" t="n">
        <v>157</v>
      </c>
      <c r="B398" s="9" t="s">
        <v>495</v>
      </c>
      <c r="C398" s="10" t="s">
        <v>1324</v>
      </c>
      <c r="D398" s="9" t="s">
        <v>497</v>
      </c>
      <c r="E398" s="10" t="s">
        <v>28</v>
      </c>
      <c r="F398" s="9" t="s">
        <v>1288</v>
      </c>
      <c r="G398" s="9"/>
    </row>
    <row r="399" customFormat="false" ht="15" hidden="false" customHeight="false" outlineLevel="0" collapsed="false">
      <c r="A399" s="9" t="n">
        <v>157</v>
      </c>
      <c r="B399" s="9" t="s">
        <v>495</v>
      </c>
      <c r="C399" s="10" t="s">
        <v>1325</v>
      </c>
      <c r="D399" s="9" t="s">
        <v>499</v>
      </c>
      <c r="E399" s="10" t="s">
        <v>28</v>
      </c>
      <c r="F399" s="9" t="s">
        <v>1288</v>
      </c>
      <c r="G399" s="9"/>
    </row>
    <row r="400" customFormat="false" ht="15" hidden="false" customHeight="false" outlineLevel="0" collapsed="false">
      <c r="A400" s="9" t="n">
        <v>157</v>
      </c>
      <c r="B400" s="9" t="s">
        <v>495</v>
      </c>
      <c r="C400" s="10" t="s">
        <v>1326</v>
      </c>
      <c r="D400" s="9" t="s">
        <v>1327</v>
      </c>
      <c r="E400" s="10" t="s">
        <v>28</v>
      </c>
      <c r="F400" s="9" t="s">
        <v>1288</v>
      </c>
      <c r="G400" s="9"/>
    </row>
    <row r="401" customFormat="false" ht="15" hidden="false" customHeight="false" outlineLevel="0" collapsed="false">
      <c r="A401" s="9" t="n">
        <v>158</v>
      </c>
      <c r="B401" s="9" t="s">
        <v>502</v>
      </c>
      <c r="C401" s="10" t="s">
        <v>1328</v>
      </c>
      <c r="D401" s="9" t="s">
        <v>504</v>
      </c>
      <c r="E401" s="10" t="s">
        <v>27</v>
      </c>
      <c r="F401" s="9" t="s">
        <v>1288</v>
      </c>
      <c r="G401" s="9"/>
    </row>
    <row r="402" customFormat="false" ht="15" hidden="false" customHeight="false" outlineLevel="0" collapsed="false">
      <c r="A402" s="9" t="n">
        <v>158</v>
      </c>
      <c r="B402" s="9" t="s">
        <v>502</v>
      </c>
      <c r="C402" s="10" t="s">
        <v>1329</v>
      </c>
      <c r="D402" s="9" t="s">
        <v>506</v>
      </c>
      <c r="E402" s="10" t="s">
        <v>27</v>
      </c>
      <c r="F402" s="9" t="s">
        <v>1288</v>
      </c>
      <c r="G402" s="9"/>
    </row>
    <row r="403" customFormat="false" ht="15" hidden="false" customHeight="false" outlineLevel="0" collapsed="false">
      <c r="A403" s="9" t="n">
        <v>158</v>
      </c>
      <c r="B403" s="9" t="s">
        <v>502</v>
      </c>
      <c r="C403" s="10" t="s">
        <v>1330</v>
      </c>
      <c r="D403" s="9" t="s">
        <v>508</v>
      </c>
      <c r="E403" s="10" t="s">
        <v>25</v>
      </c>
      <c r="F403" s="9" t="s">
        <v>1288</v>
      </c>
      <c r="G403" s="9"/>
    </row>
    <row r="404" customFormat="false" ht="15" hidden="false" customHeight="false" outlineLevel="0" collapsed="false">
      <c r="A404" s="9" t="n">
        <v>158</v>
      </c>
      <c r="B404" s="9" t="s">
        <v>502</v>
      </c>
      <c r="C404" s="10" t="s">
        <v>1331</v>
      </c>
      <c r="D404" s="9" t="s">
        <v>510</v>
      </c>
      <c r="E404" s="10" t="s">
        <v>25</v>
      </c>
      <c r="F404" s="9" t="s">
        <v>1288</v>
      </c>
      <c r="G404" s="9"/>
    </row>
    <row r="405" customFormat="false" ht="15" hidden="false" customHeight="false" outlineLevel="0" collapsed="false">
      <c r="A405" s="9" t="n">
        <v>158</v>
      </c>
      <c r="B405" s="9" t="s">
        <v>502</v>
      </c>
      <c r="C405" s="10" t="s">
        <v>1332</v>
      </c>
      <c r="D405" s="9" t="s">
        <v>512</v>
      </c>
      <c r="E405" s="10" t="s">
        <v>24</v>
      </c>
      <c r="F405" s="9" t="s">
        <v>1288</v>
      </c>
      <c r="G405" s="9"/>
    </row>
    <row r="406" customFormat="false" ht="15" hidden="false" customHeight="false" outlineLevel="0" collapsed="false">
      <c r="A406" s="9" t="n">
        <v>158</v>
      </c>
      <c r="B406" s="9" t="s">
        <v>502</v>
      </c>
      <c r="C406" s="10" t="s">
        <v>1333</v>
      </c>
      <c r="D406" s="9" t="s">
        <v>514</v>
      </c>
      <c r="E406" s="10" t="s">
        <v>24</v>
      </c>
      <c r="F406" s="9" t="s">
        <v>1288</v>
      </c>
      <c r="G406" s="9"/>
    </row>
    <row r="407" customFormat="false" ht="15" hidden="false" customHeight="false" outlineLevel="0" collapsed="false">
      <c r="A407" s="9" t="n">
        <v>159</v>
      </c>
      <c r="B407" s="9" t="s">
        <v>1334</v>
      </c>
      <c r="C407" s="10" t="s">
        <v>1335</v>
      </c>
      <c r="D407" s="9" t="s">
        <v>517</v>
      </c>
      <c r="E407" s="10" t="s">
        <v>24</v>
      </c>
      <c r="F407" s="9" t="s">
        <v>1288</v>
      </c>
      <c r="G407" s="9"/>
    </row>
    <row r="408" customFormat="false" ht="15" hidden="false" customHeight="false" outlineLevel="0" collapsed="false">
      <c r="A408" s="9" t="n">
        <v>159</v>
      </c>
      <c r="B408" s="9" t="s">
        <v>1334</v>
      </c>
      <c r="C408" s="10" t="s">
        <v>1336</v>
      </c>
      <c r="D408" s="9" t="s">
        <v>519</v>
      </c>
      <c r="E408" s="10" t="s">
        <v>24</v>
      </c>
      <c r="F408" s="9" t="s">
        <v>1288</v>
      </c>
      <c r="G408" s="9"/>
    </row>
    <row r="409" customFormat="false" ht="26.85" hidden="false" customHeight="false" outlineLevel="0" collapsed="false">
      <c r="A409" s="9" t="n">
        <v>160</v>
      </c>
      <c r="B409" s="9" t="s">
        <v>1337</v>
      </c>
      <c r="C409" s="10" t="s">
        <v>1338</v>
      </c>
      <c r="D409" s="9" t="s">
        <v>522</v>
      </c>
      <c r="E409" s="10" t="s">
        <v>26</v>
      </c>
      <c r="F409" s="9" t="s">
        <v>1288</v>
      </c>
      <c r="G409" s="9" t="s">
        <v>1339</v>
      </c>
    </row>
    <row r="410" customFormat="false" ht="26.85" hidden="false" customHeight="false" outlineLevel="0" collapsed="false">
      <c r="A410" s="9" t="n">
        <v>160</v>
      </c>
      <c r="B410" s="9" t="s">
        <v>1337</v>
      </c>
      <c r="C410" s="10" t="s">
        <v>1340</v>
      </c>
      <c r="D410" s="9" t="s">
        <v>525</v>
      </c>
      <c r="E410" s="10" t="s">
        <v>24</v>
      </c>
      <c r="F410" s="9" t="s">
        <v>1288</v>
      </c>
      <c r="G410" s="9" t="s">
        <v>1341</v>
      </c>
    </row>
    <row r="411" customFormat="false" ht="15" hidden="false" customHeight="false" outlineLevel="0" collapsed="false">
      <c r="A411" s="9" t="n">
        <v>161</v>
      </c>
      <c r="B411" s="9" t="s">
        <v>1342</v>
      </c>
      <c r="C411" s="10" t="s">
        <v>1343</v>
      </c>
      <c r="D411" s="9" t="s">
        <v>1344</v>
      </c>
      <c r="E411" s="10" t="s">
        <v>29</v>
      </c>
      <c r="F411" s="9" t="s">
        <v>1288</v>
      </c>
      <c r="G411" s="9" t="s">
        <v>1345</v>
      </c>
    </row>
    <row r="412" customFormat="false" ht="15" hidden="false" customHeight="false" outlineLevel="0" collapsed="false">
      <c r="A412" s="9" t="n">
        <v>161</v>
      </c>
      <c r="B412" s="9" t="s">
        <v>1342</v>
      </c>
      <c r="C412" s="10" t="s">
        <v>1346</v>
      </c>
      <c r="D412" s="9" t="s">
        <v>1347</v>
      </c>
      <c r="E412" s="10" t="s">
        <v>26</v>
      </c>
      <c r="F412" s="9" t="s">
        <v>1288</v>
      </c>
      <c r="G412" s="9" t="s">
        <v>1347</v>
      </c>
    </row>
    <row r="413" customFormat="false" ht="15" hidden="false" customHeight="false" outlineLevel="0" collapsed="false">
      <c r="A413" s="9" t="n">
        <v>162</v>
      </c>
      <c r="B413" s="9" t="s">
        <v>1348</v>
      </c>
      <c r="C413" s="10" t="s">
        <v>1349</v>
      </c>
      <c r="D413" s="9" t="s">
        <v>1350</v>
      </c>
      <c r="E413" s="10" t="s">
        <v>29</v>
      </c>
      <c r="F413" s="9" t="s">
        <v>1288</v>
      </c>
      <c r="G413" s="9"/>
    </row>
    <row r="414" customFormat="false" ht="15" hidden="false" customHeight="false" outlineLevel="0" collapsed="false">
      <c r="A414" s="9" t="n">
        <v>162</v>
      </c>
      <c r="B414" s="9" t="s">
        <v>1348</v>
      </c>
      <c r="C414" s="10" t="s">
        <v>1351</v>
      </c>
      <c r="D414" s="9" t="s">
        <v>1352</v>
      </c>
      <c r="E414" s="10" t="s">
        <v>29</v>
      </c>
      <c r="F414" s="9" t="s">
        <v>1288</v>
      </c>
      <c r="G414" s="9"/>
    </row>
    <row r="415" customFormat="false" ht="15" hidden="false" customHeight="false" outlineLevel="0" collapsed="false">
      <c r="A415" s="9" t="n">
        <v>162</v>
      </c>
      <c r="B415" s="9" t="s">
        <v>1348</v>
      </c>
      <c r="C415" s="10" t="s">
        <v>1353</v>
      </c>
      <c r="D415" s="9" t="s">
        <v>1354</v>
      </c>
      <c r="E415" s="10" t="s">
        <v>29</v>
      </c>
      <c r="F415" s="9" t="s">
        <v>1288</v>
      </c>
      <c r="G415" s="9"/>
    </row>
    <row r="416" customFormat="false" ht="15" hidden="false" customHeight="false" outlineLevel="0" collapsed="false">
      <c r="A416" s="9" t="n">
        <v>162</v>
      </c>
      <c r="B416" s="9" t="s">
        <v>1348</v>
      </c>
      <c r="C416" s="10" t="s">
        <v>1355</v>
      </c>
      <c r="D416" s="9" t="s">
        <v>1356</v>
      </c>
      <c r="E416" s="10" t="s">
        <v>25</v>
      </c>
      <c r="F416" s="9" t="s">
        <v>1288</v>
      </c>
      <c r="G416" s="9" t="s">
        <v>1357</v>
      </c>
    </row>
    <row r="417" customFormat="false" ht="26.85" hidden="false" customHeight="false" outlineLevel="0" collapsed="false">
      <c r="A417" s="9" t="n">
        <v>163</v>
      </c>
      <c r="B417" s="9" t="s">
        <v>1358</v>
      </c>
      <c r="C417" s="10" t="s">
        <v>1359</v>
      </c>
      <c r="D417" s="9" t="s">
        <v>1360</v>
      </c>
      <c r="E417" s="10" t="s">
        <v>25</v>
      </c>
      <c r="F417" s="9" t="s">
        <v>1288</v>
      </c>
      <c r="G417" s="9" t="s">
        <v>1361</v>
      </c>
    </row>
    <row r="418" customFormat="false" ht="15" hidden="false" customHeight="false" outlineLevel="0" collapsed="false">
      <c r="A418" s="9" t="n">
        <v>163</v>
      </c>
      <c r="B418" s="9" t="s">
        <v>1358</v>
      </c>
      <c r="C418" s="10" t="s">
        <v>1362</v>
      </c>
      <c r="D418" s="9" t="s">
        <v>1363</v>
      </c>
      <c r="E418" s="10" t="s">
        <v>24</v>
      </c>
      <c r="F418" s="9" t="s">
        <v>1288</v>
      </c>
      <c r="G418" s="9"/>
    </row>
    <row r="419" customFormat="false" ht="15" hidden="false" customHeight="false" outlineLevel="0" collapsed="false">
      <c r="A419" s="9" t="n">
        <v>163</v>
      </c>
      <c r="B419" s="9" t="s">
        <v>1358</v>
      </c>
      <c r="C419" s="10" t="s">
        <v>1364</v>
      </c>
      <c r="D419" s="9" t="s">
        <v>1365</v>
      </c>
      <c r="E419" s="10" t="s">
        <v>24</v>
      </c>
      <c r="F419" s="9" t="s">
        <v>1288</v>
      </c>
      <c r="G419" s="9"/>
    </row>
    <row r="420" customFormat="false" ht="15" hidden="false" customHeight="false" outlineLevel="0" collapsed="false">
      <c r="A420" s="9" t="n">
        <v>164</v>
      </c>
      <c r="B420" s="9" t="s">
        <v>1366</v>
      </c>
      <c r="C420" s="10" t="s">
        <v>1367</v>
      </c>
      <c r="D420" s="9" t="s">
        <v>1368</v>
      </c>
      <c r="E420" s="10" t="s">
        <v>26</v>
      </c>
      <c r="F420" s="9" t="s">
        <v>1288</v>
      </c>
      <c r="G420" s="9" t="s">
        <v>1369</v>
      </c>
    </row>
    <row r="421" customFormat="false" ht="15" hidden="false" customHeight="false" outlineLevel="0" collapsed="false">
      <c r="A421" s="9" t="n">
        <v>164</v>
      </c>
      <c r="B421" s="9" t="s">
        <v>1366</v>
      </c>
      <c r="C421" s="10" t="s">
        <v>1370</v>
      </c>
      <c r="D421" s="9" t="s">
        <v>1371</v>
      </c>
      <c r="E421" s="10" t="s">
        <v>25</v>
      </c>
      <c r="F421" s="9" t="s">
        <v>1288</v>
      </c>
      <c r="G421" s="9" t="s">
        <v>1372</v>
      </c>
    </row>
    <row r="422" customFormat="false" ht="15" hidden="false" customHeight="false" outlineLevel="0" collapsed="false">
      <c r="A422" s="9" t="n">
        <v>165</v>
      </c>
      <c r="B422" s="9" t="s">
        <v>1373</v>
      </c>
      <c r="C422" s="10" t="s">
        <v>1374</v>
      </c>
      <c r="D422" s="9" t="s">
        <v>1375</v>
      </c>
      <c r="E422" s="10" t="s">
        <v>25</v>
      </c>
      <c r="F422" s="9" t="s">
        <v>1288</v>
      </c>
      <c r="G422" s="9" t="s">
        <v>1376</v>
      </c>
    </row>
    <row r="423" customFormat="false" ht="15" hidden="false" customHeight="false" outlineLevel="0" collapsed="false">
      <c r="A423" s="9" t="n">
        <v>166</v>
      </c>
      <c r="B423" s="9" t="s">
        <v>1377</v>
      </c>
      <c r="C423" s="10" t="s">
        <v>1378</v>
      </c>
      <c r="D423" s="9" t="s">
        <v>1379</v>
      </c>
      <c r="E423" s="10" t="s">
        <v>25</v>
      </c>
      <c r="F423" s="9" t="s">
        <v>1288</v>
      </c>
      <c r="G423" s="9"/>
    </row>
    <row r="424" customFormat="false" ht="15" hidden="false" customHeight="false" outlineLevel="0" collapsed="false">
      <c r="A424" s="9" t="n">
        <v>166</v>
      </c>
      <c r="B424" s="9" t="s">
        <v>1377</v>
      </c>
      <c r="C424" s="10" t="s">
        <v>1380</v>
      </c>
      <c r="D424" s="9" t="s">
        <v>1381</v>
      </c>
      <c r="E424" s="10" t="s">
        <v>25</v>
      </c>
      <c r="F424" s="9" t="s">
        <v>1288</v>
      </c>
      <c r="G424" s="9"/>
    </row>
    <row r="425" customFormat="false" ht="15" hidden="false" customHeight="false" outlineLevel="0" collapsed="false">
      <c r="A425" s="9" t="n">
        <v>167</v>
      </c>
      <c r="B425" s="9" t="s">
        <v>1382</v>
      </c>
      <c r="C425" s="10" t="s">
        <v>1383</v>
      </c>
      <c r="D425" s="9" t="s">
        <v>1384</v>
      </c>
      <c r="E425" s="10" t="s">
        <v>24</v>
      </c>
      <c r="F425" s="9" t="s">
        <v>1288</v>
      </c>
      <c r="G425" s="9"/>
    </row>
    <row r="426" customFormat="false" ht="15" hidden="false" customHeight="false" outlineLevel="0" collapsed="false">
      <c r="A426" s="9" t="n">
        <v>167</v>
      </c>
      <c r="B426" s="9" t="s">
        <v>1382</v>
      </c>
      <c r="C426" s="10" t="s">
        <v>1385</v>
      </c>
      <c r="D426" s="9" t="s">
        <v>1386</v>
      </c>
      <c r="E426" s="10" t="s">
        <v>24</v>
      </c>
      <c r="F426" s="9" t="s">
        <v>1288</v>
      </c>
      <c r="G426" s="9"/>
    </row>
    <row r="427" customFormat="false" ht="15" hidden="false" customHeight="false" outlineLevel="0" collapsed="false">
      <c r="A427" s="9" t="n">
        <v>167</v>
      </c>
      <c r="B427" s="9" t="s">
        <v>1382</v>
      </c>
      <c r="C427" s="10" t="s">
        <v>1387</v>
      </c>
      <c r="D427" s="9" t="s">
        <v>1388</v>
      </c>
      <c r="E427" s="10" t="s">
        <v>24</v>
      </c>
      <c r="F427" s="9" t="s">
        <v>1288</v>
      </c>
      <c r="G427" s="9"/>
    </row>
    <row r="428" customFormat="false" ht="15" hidden="false" customHeight="false" outlineLevel="0" collapsed="false">
      <c r="A428" s="9" t="n">
        <v>167</v>
      </c>
      <c r="B428" s="9" t="s">
        <v>1382</v>
      </c>
      <c r="C428" s="10" t="s">
        <v>1389</v>
      </c>
      <c r="D428" s="9" t="s">
        <v>1390</v>
      </c>
      <c r="E428" s="10" t="s">
        <v>24</v>
      </c>
      <c r="F428" s="9" t="s">
        <v>1288</v>
      </c>
      <c r="G428" s="9"/>
    </row>
    <row r="429" customFormat="false" ht="15" hidden="false" customHeight="false" outlineLevel="0" collapsed="false">
      <c r="A429" s="9" t="n">
        <v>168</v>
      </c>
      <c r="B429" s="9" t="s">
        <v>1391</v>
      </c>
      <c r="C429" s="10" t="s">
        <v>1392</v>
      </c>
      <c r="D429" s="9" t="s">
        <v>1393</v>
      </c>
      <c r="E429" s="10" t="s">
        <v>24</v>
      </c>
      <c r="F429" s="9" t="s">
        <v>1288</v>
      </c>
      <c r="G429" s="9"/>
    </row>
    <row r="430" customFormat="false" ht="15" hidden="false" customHeight="false" outlineLevel="0" collapsed="false">
      <c r="A430" s="9" t="n">
        <v>168</v>
      </c>
      <c r="B430" s="9" t="s">
        <v>1391</v>
      </c>
      <c r="C430" s="10" t="s">
        <v>1394</v>
      </c>
      <c r="D430" s="9" t="s">
        <v>1395</v>
      </c>
      <c r="E430" s="10" t="s">
        <v>24</v>
      </c>
      <c r="F430" s="9" t="s">
        <v>1288</v>
      </c>
      <c r="G430" s="9"/>
    </row>
    <row r="431" customFormat="false" ht="15" hidden="false" customHeight="false" outlineLevel="0" collapsed="false">
      <c r="A431" s="9" t="n">
        <v>168</v>
      </c>
      <c r="B431" s="9" t="s">
        <v>1391</v>
      </c>
      <c r="C431" s="10" t="s">
        <v>1396</v>
      </c>
      <c r="D431" s="9" t="s">
        <v>1397</v>
      </c>
      <c r="E431" s="10" t="s">
        <v>24</v>
      </c>
      <c r="F431" s="9" t="s">
        <v>1288</v>
      </c>
      <c r="G431" s="9"/>
    </row>
    <row r="432" customFormat="false" ht="15" hidden="false" customHeight="false" outlineLevel="0" collapsed="false">
      <c r="A432" s="9" t="n">
        <v>168</v>
      </c>
      <c r="B432" s="9" t="s">
        <v>1391</v>
      </c>
      <c r="C432" s="10" t="s">
        <v>1398</v>
      </c>
      <c r="D432" s="9" t="s">
        <v>1399</v>
      </c>
      <c r="E432" s="10" t="s">
        <v>24</v>
      </c>
      <c r="F432" s="9" t="s">
        <v>1288</v>
      </c>
      <c r="G432" s="9"/>
    </row>
    <row r="433" customFormat="false" ht="15" hidden="false" customHeight="false" outlineLevel="0" collapsed="false">
      <c r="A433" s="9" t="n">
        <v>169</v>
      </c>
      <c r="B433" s="9" t="s">
        <v>1400</v>
      </c>
      <c r="C433" s="10" t="s">
        <v>1401</v>
      </c>
      <c r="D433" s="9" t="s">
        <v>1402</v>
      </c>
      <c r="E433" s="10" t="s">
        <v>24</v>
      </c>
      <c r="F433" s="9" t="s">
        <v>1288</v>
      </c>
      <c r="G433" s="9" t="s">
        <v>1403</v>
      </c>
    </row>
    <row r="434" customFormat="false" ht="15" hidden="false" customHeight="false" outlineLevel="0" collapsed="false">
      <c r="A434" s="9" t="n">
        <v>170</v>
      </c>
      <c r="B434" s="9" t="s">
        <v>1404</v>
      </c>
      <c r="C434" s="10" t="s">
        <v>1405</v>
      </c>
      <c r="D434" s="9" t="s">
        <v>1406</v>
      </c>
      <c r="E434" s="10" t="s">
        <v>24</v>
      </c>
      <c r="F434" s="9" t="s">
        <v>1288</v>
      </c>
      <c r="G434" s="9"/>
    </row>
    <row r="435" customFormat="false" ht="15" hidden="false" customHeight="false" outlineLevel="0" collapsed="false">
      <c r="A435" s="9" t="n">
        <v>170</v>
      </c>
      <c r="B435" s="9" t="s">
        <v>1404</v>
      </c>
      <c r="C435" s="10" t="s">
        <v>1407</v>
      </c>
      <c r="D435" s="9" t="s">
        <v>1408</v>
      </c>
      <c r="E435" s="10" t="s">
        <v>24</v>
      </c>
      <c r="F435" s="9" t="s">
        <v>1288</v>
      </c>
      <c r="G435" s="9"/>
    </row>
    <row r="436" customFormat="false" ht="15" hidden="false" customHeight="false" outlineLevel="0" collapsed="false">
      <c r="A436" s="9" t="n">
        <v>170</v>
      </c>
      <c r="B436" s="9" t="s">
        <v>1404</v>
      </c>
      <c r="C436" s="10" t="s">
        <v>1409</v>
      </c>
      <c r="D436" s="9" t="s">
        <v>1410</v>
      </c>
      <c r="E436" s="10" t="s">
        <v>24</v>
      </c>
      <c r="F436" s="9" t="s">
        <v>1288</v>
      </c>
      <c r="G436" s="9"/>
    </row>
    <row r="437" customFormat="false" ht="15" hidden="false" customHeight="false" outlineLevel="0" collapsed="false">
      <c r="A437" s="9" t="n">
        <v>171</v>
      </c>
      <c r="B437" s="9" t="s">
        <v>1411</v>
      </c>
      <c r="C437" s="10" t="s">
        <v>1412</v>
      </c>
      <c r="D437" s="9" t="s">
        <v>1411</v>
      </c>
      <c r="E437" s="10" t="s">
        <v>24</v>
      </c>
      <c r="F437" s="9" t="s">
        <v>1288</v>
      </c>
      <c r="G437" s="9" t="s">
        <v>1413</v>
      </c>
    </row>
    <row r="438" customFormat="false" ht="15" hidden="false" customHeight="false" outlineLevel="0" collapsed="false">
      <c r="A438" s="9" t="n">
        <v>172</v>
      </c>
      <c r="B438" s="9" t="s">
        <v>1414</v>
      </c>
      <c r="C438" s="10" t="s">
        <v>1415</v>
      </c>
      <c r="D438" s="9" t="s">
        <v>1416</v>
      </c>
      <c r="E438" s="10" t="s">
        <v>24</v>
      </c>
      <c r="F438" s="9" t="s">
        <v>1288</v>
      </c>
      <c r="G438" s="9"/>
    </row>
    <row r="439" customFormat="false" ht="15" hidden="false" customHeight="false" outlineLevel="0" collapsed="false">
      <c r="A439" s="9" t="n">
        <v>172</v>
      </c>
      <c r="B439" s="9" t="s">
        <v>1414</v>
      </c>
      <c r="C439" s="10" t="s">
        <v>1417</v>
      </c>
      <c r="D439" s="9" t="s">
        <v>1418</v>
      </c>
      <c r="E439" s="10" t="s">
        <v>24</v>
      </c>
      <c r="F439" s="9" t="s">
        <v>1288</v>
      </c>
      <c r="G439" s="9"/>
    </row>
    <row r="440" customFormat="false" ht="15" hidden="false" customHeight="false" outlineLevel="0" collapsed="false">
      <c r="A440" s="9" t="n">
        <v>173</v>
      </c>
      <c r="B440" s="9" t="s">
        <v>1419</v>
      </c>
      <c r="C440" s="10" t="s">
        <v>1420</v>
      </c>
      <c r="D440" s="9" t="s">
        <v>1421</v>
      </c>
      <c r="E440" s="10" t="s">
        <v>26</v>
      </c>
      <c r="F440" s="9" t="s">
        <v>1288</v>
      </c>
      <c r="G440" s="9" t="s">
        <v>1422</v>
      </c>
    </row>
    <row r="441" customFormat="false" ht="15" hidden="false" customHeight="false" outlineLevel="0" collapsed="false">
      <c r="A441" s="9" t="n">
        <v>173</v>
      </c>
      <c r="B441" s="9" t="s">
        <v>1419</v>
      </c>
      <c r="C441" s="10" t="s">
        <v>1423</v>
      </c>
      <c r="D441" s="9" t="s">
        <v>1424</v>
      </c>
      <c r="E441" s="10" t="s">
        <v>25</v>
      </c>
      <c r="F441" s="9" t="s">
        <v>1288</v>
      </c>
      <c r="G441" s="9"/>
    </row>
    <row r="442" customFormat="false" ht="15" hidden="false" customHeight="false" outlineLevel="0" collapsed="false">
      <c r="A442" s="9" t="n">
        <v>173</v>
      </c>
      <c r="B442" s="9" t="s">
        <v>1419</v>
      </c>
      <c r="C442" s="10" t="s">
        <v>1425</v>
      </c>
      <c r="D442" s="9" t="s">
        <v>1426</v>
      </c>
      <c r="E442" s="10" t="s">
        <v>25</v>
      </c>
      <c r="F442" s="9" t="s">
        <v>1288</v>
      </c>
      <c r="G442" s="9"/>
    </row>
    <row r="443" customFormat="false" ht="15" hidden="false" customHeight="false" outlineLevel="0" collapsed="false">
      <c r="A443" s="9" t="n">
        <v>174</v>
      </c>
      <c r="B443" s="9" t="s">
        <v>1427</v>
      </c>
      <c r="C443" s="10" t="s">
        <v>1428</v>
      </c>
      <c r="D443" s="9" t="s">
        <v>1429</v>
      </c>
      <c r="E443" s="10" t="s">
        <v>24</v>
      </c>
      <c r="F443" s="9" t="s">
        <v>1288</v>
      </c>
      <c r="G443" s="9"/>
    </row>
    <row r="444" customFormat="false" ht="15" hidden="false" customHeight="false" outlineLevel="0" collapsed="false">
      <c r="A444" s="9" t="n">
        <v>174</v>
      </c>
      <c r="B444" s="9" t="s">
        <v>1427</v>
      </c>
      <c r="C444" s="10" t="s">
        <v>1430</v>
      </c>
      <c r="D444" s="9" t="s">
        <v>1431</v>
      </c>
      <c r="E444" s="10" t="s">
        <v>24</v>
      </c>
      <c r="F444" s="9" t="s">
        <v>1288</v>
      </c>
      <c r="G444" s="9"/>
    </row>
    <row r="445" customFormat="false" ht="15" hidden="false" customHeight="false" outlineLevel="0" collapsed="false">
      <c r="A445" s="9" t="n">
        <v>174</v>
      </c>
      <c r="B445" s="9" t="s">
        <v>1427</v>
      </c>
      <c r="C445" s="10" t="s">
        <v>1432</v>
      </c>
      <c r="D445" s="9" t="s">
        <v>1433</v>
      </c>
      <c r="E445" s="10" t="s">
        <v>24</v>
      </c>
      <c r="F445" s="9" t="s">
        <v>1288</v>
      </c>
      <c r="G445" s="9"/>
    </row>
    <row r="446" customFormat="false" ht="15" hidden="false" customHeight="false" outlineLevel="0" collapsed="false">
      <c r="A446" s="9" t="n">
        <v>175</v>
      </c>
      <c r="B446" s="9" t="s">
        <v>1434</v>
      </c>
      <c r="C446" s="10" t="s">
        <v>1435</v>
      </c>
      <c r="D446" s="9" t="s">
        <v>1436</v>
      </c>
      <c r="E446" s="10" t="s">
        <v>26</v>
      </c>
      <c r="F446" s="9" t="s">
        <v>1288</v>
      </c>
      <c r="G446" s="9"/>
    </row>
    <row r="447" customFormat="false" ht="15" hidden="false" customHeight="false" outlineLevel="0" collapsed="false">
      <c r="A447" s="9" t="n">
        <v>175</v>
      </c>
      <c r="B447" s="9" t="s">
        <v>1434</v>
      </c>
      <c r="C447" s="10" t="s">
        <v>1437</v>
      </c>
      <c r="D447" s="9" t="s">
        <v>1438</v>
      </c>
      <c r="E447" s="10" t="s">
        <v>26</v>
      </c>
      <c r="F447" s="9" t="s">
        <v>1288</v>
      </c>
      <c r="G447" s="9"/>
    </row>
    <row r="448" customFormat="false" ht="15" hidden="false" customHeight="false" outlineLevel="0" collapsed="false">
      <c r="A448" s="9" t="n">
        <v>175</v>
      </c>
      <c r="B448" s="9" t="s">
        <v>1434</v>
      </c>
      <c r="C448" s="10" t="s">
        <v>1439</v>
      </c>
      <c r="D448" s="9" t="s">
        <v>1440</v>
      </c>
      <c r="E448" s="10" t="s">
        <v>26</v>
      </c>
      <c r="F448" s="9" t="s">
        <v>1288</v>
      </c>
      <c r="G448" s="9"/>
    </row>
    <row r="449" customFormat="false" ht="15" hidden="false" customHeight="false" outlineLevel="0" collapsed="false">
      <c r="A449" s="9" t="n">
        <v>175</v>
      </c>
      <c r="B449" s="9" t="s">
        <v>1434</v>
      </c>
      <c r="C449" s="10" t="s">
        <v>1441</v>
      </c>
      <c r="D449" s="9" t="s">
        <v>1442</v>
      </c>
      <c r="E449" s="10" t="s">
        <v>25</v>
      </c>
      <c r="F449" s="9" t="s">
        <v>1288</v>
      </c>
      <c r="G449" s="9"/>
    </row>
    <row r="450" customFormat="false" ht="15" hidden="false" customHeight="false" outlineLevel="0" collapsed="false">
      <c r="A450" s="9" t="n">
        <v>175</v>
      </c>
      <c r="B450" s="9" t="s">
        <v>1434</v>
      </c>
      <c r="C450" s="10" t="s">
        <v>1443</v>
      </c>
      <c r="D450" s="9" t="s">
        <v>1444</v>
      </c>
      <c r="E450" s="10" t="s">
        <v>26</v>
      </c>
      <c r="F450" s="9" t="s">
        <v>1288</v>
      </c>
      <c r="G450" s="9"/>
    </row>
    <row r="451" customFormat="false" ht="15" hidden="false" customHeight="false" outlineLevel="0" collapsed="false">
      <c r="A451" s="9" t="n">
        <v>175</v>
      </c>
      <c r="B451" s="9" t="s">
        <v>1434</v>
      </c>
      <c r="C451" s="10" t="s">
        <v>1445</v>
      </c>
      <c r="D451" s="9" t="s">
        <v>1446</v>
      </c>
      <c r="E451" s="10" t="s">
        <v>25</v>
      </c>
      <c r="F451" s="9" t="s">
        <v>1288</v>
      </c>
      <c r="G451" s="9"/>
    </row>
    <row r="452" customFormat="false" ht="15" hidden="false" customHeight="false" outlineLevel="0" collapsed="false">
      <c r="A452" s="9" t="n">
        <v>175</v>
      </c>
      <c r="B452" s="9" t="s">
        <v>1434</v>
      </c>
      <c r="C452" s="10" t="s">
        <v>1447</v>
      </c>
      <c r="D452" s="9" t="s">
        <v>1448</v>
      </c>
      <c r="E452" s="10" t="s">
        <v>24</v>
      </c>
      <c r="F452" s="9" t="s">
        <v>1288</v>
      </c>
      <c r="G452" s="9" t="s">
        <v>1449</v>
      </c>
    </row>
    <row r="453" customFormat="false" ht="15" hidden="false" customHeight="false" outlineLevel="0" collapsed="false">
      <c r="A453" s="9" t="n">
        <v>176</v>
      </c>
      <c r="B453" s="9" t="s">
        <v>1450</v>
      </c>
      <c r="C453" s="10" t="s">
        <v>1451</v>
      </c>
      <c r="D453" s="9" t="s">
        <v>1452</v>
      </c>
      <c r="E453" s="10" t="s">
        <v>24</v>
      </c>
      <c r="F453" s="9" t="s">
        <v>1288</v>
      </c>
      <c r="G453" s="9" t="s">
        <v>1452</v>
      </c>
    </row>
    <row r="454" customFormat="false" ht="15" hidden="false" customHeight="false" outlineLevel="0" collapsed="false">
      <c r="A454" s="9" t="n">
        <v>177</v>
      </c>
      <c r="B454" s="9" t="s">
        <v>1453</v>
      </c>
      <c r="C454" s="10" t="s">
        <v>1454</v>
      </c>
      <c r="D454" s="9" t="s">
        <v>1455</v>
      </c>
      <c r="E454" s="10" t="s">
        <v>27</v>
      </c>
      <c r="F454" s="9" t="s">
        <v>1288</v>
      </c>
      <c r="G454" s="9"/>
    </row>
    <row r="455" customFormat="false" ht="15" hidden="false" customHeight="false" outlineLevel="0" collapsed="false">
      <c r="A455" s="9" t="n">
        <v>177</v>
      </c>
      <c r="B455" s="9" t="s">
        <v>1453</v>
      </c>
      <c r="C455" s="10" t="s">
        <v>1456</v>
      </c>
      <c r="D455" s="9" t="s">
        <v>1457</v>
      </c>
      <c r="E455" s="10" t="s">
        <v>27</v>
      </c>
      <c r="F455" s="9" t="s">
        <v>1288</v>
      </c>
      <c r="G455" s="9"/>
    </row>
    <row r="456" customFormat="false" ht="26.85" hidden="false" customHeight="false" outlineLevel="0" collapsed="false">
      <c r="A456" s="9" t="n">
        <v>177</v>
      </c>
      <c r="B456" s="9" t="s">
        <v>1453</v>
      </c>
      <c r="C456" s="10" t="s">
        <v>1458</v>
      </c>
      <c r="D456" s="9" t="s">
        <v>1459</v>
      </c>
      <c r="E456" s="10" t="s">
        <v>25</v>
      </c>
      <c r="F456" s="9" t="s">
        <v>1288</v>
      </c>
      <c r="G456" s="9"/>
    </row>
    <row r="457" customFormat="false" ht="15" hidden="false" customHeight="false" outlineLevel="0" collapsed="false">
      <c r="A457" s="9" t="n">
        <v>177</v>
      </c>
      <c r="B457" s="9" t="s">
        <v>1453</v>
      </c>
      <c r="C457" s="10" t="s">
        <v>1460</v>
      </c>
      <c r="D457" s="9" t="s">
        <v>1461</v>
      </c>
      <c r="E457" s="10" t="s">
        <v>27</v>
      </c>
      <c r="F457" s="9" t="s">
        <v>1288</v>
      </c>
      <c r="G457" s="9"/>
    </row>
    <row r="458" customFormat="false" ht="26.85" hidden="false" customHeight="false" outlineLevel="0" collapsed="false">
      <c r="A458" s="9" t="n">
        <v>177</v>
      </c>
      <c r="B458" s="9" t="s">
        <v>1453</v>
      </c>
      <c r="C458" s="10" t="s">
        <v>1462</v>
      </c>
      <c r="D458" s="9" t="s">
        <v>1463</v>
      </c>
      <c r="E458" s="10" t="s">
        <v>25</v>
      </c>
      <c r="F458" s="9" t="s">
        <v>1288</v>
      </c>
      <c r="G458" s="9"/>
    </row>
    <row r="459" customFormat="false" ht="15" hidden="false" customHeight="false" outlineLevel="0" collapsed="false">
      <c r="A459" s="9" t="n">
        <v>177</v>
      </c>
      <c r="B459" s="9" t="s">
        <v>1453</v>
      </c>
      <c r="C459" s="10" t="s">
        <v>1464</v>
      </c>
      <c r="D459" s="9" t="s">
        <v>1465</v>
      </c>
      <c r="E459" s="10" t="s">
        <v>26</v>
      </c>
      <c r="F459" s="9" t="s">
        <v>1288</v>
      </c>
      <c r="G459" s="9" t="s">
        <v>1466</v>
      </c>
    </row>
    <row r="460" customFormat="false" ht="15" hidden="false" customHeight="false" outlineLevel="0" collapsed="false">
      <c r="A460" s="9" t="n">
        <v>178</v>
      </c>
      <c r="B460" s="9" t="s">
        <v>538</v>
      </c>
      <c r="C460" s="10" t="s">
        <v>1467</v>
      </c>
      <c r="D460" s="9" t="s">
        <v>540</v>
      </c>
      <c r="E460" s="10" t="s">
        <v>27</v>
      </c>
      <c r="F460" s="9" t="s">
        <v>1288</v>
      </c>
      <c r="G460" s="9" t="s">
        <v>540</v>
      </c>
    </row>
    <row r="461" customFormat="false" ht="15" hidden="false" customHeight="false" outlineLevel="0" collapsed="false">
      <c r="A461" s="9" t="n">
        <v>178</v>
      </c>
      <c r="B461" s="9" t="s">
        <v>538</v>
      </c>
      <c r="C461" s="10" t="s">
        <v>1468</v>
      </c>
      <c r="D461" s="9" t="s">
        <v>542</v>
      </c>
      <c r="E461" s="10" t="s">
        <v>25</v>
      </c>
      <c r="F461" s="9" t="s">
        <v>1288</v>
      </c>
      <c r="G461" s="9" t="s">
        <v>542</v>
      </c>
    </row>
    <row r="462" customFormat="false" ht="15" hidden="false" customHeight="false" outlineLevel="0" collapsed="false">
      <c r="A462" s="9" t="n">
        <v>179</v>
      </c>
      <c r="B462" s="9" t="s">
        <v>1469</v>
      </c>
      <c r="C462" s="10" t="s">
        <v>1470</v>
      </c>
      <c r="D462" s="9" t="s">
        <v>1471</v>
      </c>
      <c r="E462" s="10" t="s">
        <v>25</v>
      </c>
      <c r="F462" s="9" t="s">
        <v>1288</v>
      </c>
      <c r="G462" s="9"/>
    </row>
    <row r="463" customFormat="false" ht="15" hidden="false" customHeight="false" outlineLevel="0" collapsed="false">
      <c r="A463" s="9" t="n">
        <v>179</v>
      </c>
      <c r="B463" s="9" t="s">
        <v>1469</v>
      </c>
      <c r="C463" s="10" t="s">
        <v>1472</v>
      </c>
      <c r="D463" s="9" t="s">
        <v>1473</v>
      </c>
      <c r="E463" s="10" t="s">
        <v>25</v>
      </c>
      <c r="F463" s="9" t="s">
        <v>1288</v>
      </c>
      <c r="G463" s="9"/>
    </row>
    <row r="464" customFormat="false" ht="15" hidden="false" customHeight="false" outlineLevel="0" collapsed="false">
      <c r="A464" s="9" t="n">
        <v>179</v>
      </c>
      <c r="B464" s="9" t="s">
        <v>1469</v>
      </c>
      <c r="C464" s="10" t="s">
        <v>1474</v>
      </c>
      <c r="D464" s="9" t="s">
        <v>1475</v>
      </c>
      <c r="E464" s="10" t="s">
        <v>24</v>
      </c>
      <c r="F464" s="9" t="s">
        <v>1288</v>
      </c>
      <c r="G464" s="9"/>
    </row>
    <row r="465" customFormat="false" ht="15" hidden="false" customHeight="false" outlineLevel="0" collapsed="false">
      <c r="A465" s="9" t="n">
        <v>179</v>
      </c>
      <c r="B465" s="9" t="s">
        <v>1469</v>
      </c>
      <c r="C465" s="10" t="s">
        <v>1476</v>
      </c>
      <c r="D465" s="9" t="s">
        <v>1477</v>
      </c>
      <c r="E465" s="10" t="s">
        <v>25</v>
      </c>
      <c r="F465" s="9" t="s">
        <v>1288</v>
      </c>
      <c r="G465" s="9"/>
    </row>
    <row r="466" customFormat="false" ht="15" hidden="false" customHeight="false" outlineLevel="0" collapsed="false">
      <c r="A466" s="9" t="n">
        <v>179</v>
      </c>
      <c r="B466" s="9" t="s">
        <v>1469</v>
      </c>
      <c r="C466" s="10" t="s">
        <v>1478</v>
      </c>
      <c r="D466" s="9" t="s">
        <v>1479</v>
      </c>
      <c r="E466" s="10" t="s">
        <v>24</v>
      </c>
      <c r="F466" s="9" t="s">
        <v>1288</v>
      </c>
      <c r="G466" s="9"/>
    </row>
    <row r="467" customFormat="false" ht="15" hidden="false" customHeight="false" outlineLevel="0" collapsed="false">
      <c r="A467" s="9" t="n">
        <v>180</v>
      </c>
      <c r="B467" s="9" t="s">
        <v>1480</v>
      </c>
      <c r="C467" s="10" t="s">
        <v>1481</v>
      </c>
      <c r="D467" s="9" t="s">
        <v>1482</v>
      </c>
      <c r="E467" s="10" t="s">
        <v>24</v>
      </c>
      <c r="F467" s="9" t="s">
        <v>1288</v>
      </c>
      <c r="G467" s="9"/>
    </row>
    <row r="468" customFormat="false" ht="15" hidden="false" customHeight="false" outlineLevel="0" collapsed="false">
      <c r="A468" s="9" t="n">
        <v>180</v>
      </c>
      <c r="B468" s="9" t="s">
        <v>1480</v>
      </c>
      <c r="C468" s="10" t="s">
        <v>1483</v>
      </c>
      <c r="D468" s="9" t="s">
        <v>1484</v>
      </c>
      <c r="E468" s="10" t="s">
        <v>24</v>
      </c>
      <c r="F468" s="9" t="s">
        <v>1288</v>
      </c>
      <c r="G468" s="9"/>
    </row>
    <row r="469" customFormat="false" ht="15" hidden="false" customHeight="false" outlineLevel="0" collapsed="false">
      <c r="A469" s="9" t="n">
        <v>181</v>
      </c>
      <c r="B469" s="9" t="s">
        <v>1485</v>
      </c>
      <c r="C469" s="10" t="s">
        <v>1486</v>
      </c>
      <c r="D469" s="9" t="s">
        <v>1487</v>
      </c>
      <c r="E469" s="10" t="s">
        <v>24</v>
      </c>
      <c r="F469" s="9" t="s">
        <v>1288</v>
      </c>
      <c r="G469" s="9" t="s">
        <v>1488</v>
      </c>
    </row>
    <row r="470" customFormat="false" ht="26.85" hidden="false" customHeight="false" outlineLevel="0" collapsed="false">
      <c r="A470" s="9" t="n">
        <v>182</v>
      </c>
      <c r="B470" s="9" t="s">
        <v>1489</v>
      </c>
      <c r="C470" s="10" t="s">
        <v>1490</v>
      </c>
      <c r="D470" s="9" t="s">
        <v>1491</v>
      </c>
      <c r="E470" s="10" t="s">
        <v>26</v>
      </c>
      <c r="F470" s="9" t="s">
        <v>53</v>
      </c>
      <c r="G470" s="9" t="s">
        <v>1492</v>
      </c>
    </row>
    <row r="471" customFormat="false" ht="26.85" hidden="false" customHeight="false" outlineLevel="0" collapsed="false">
      <c r="A471" s="9" t="n">
        <v>183</v>
      </c>
      <c r="B471" s="9" t="s">
        <v>1493</v>
      </c>
      <c r="C471" s="10" t="s">
        <v>1494</v>
      </c>
      <c r="D471" s="9" t="s">
        <v>1495</v>
      </c>
      <c r="E471" s="10" t="s">
        <v>25</v>
      </c>
      <c r="F471" s="9" t="s">
        <v>53</v>
      </c>
      <c r="G471" s="9"/>
    </row>
    <row r="472" customFormat="false" ht="26.85" hidden="false" customHeight="false" outlineLevel="0" collapsed="false">
      <c r="A472" s="9" t="n">
        <v>183</v>
      </c>
      <c r="B472" s="9" t="s">
        <v>1493</v>
      </c>
      <c r="C472" s="10" t="s">
        <v>1496</v>
      </c>
      <c r="D472" s="9" t="s">
        <v>1497</v>
      </c>
      <c r="E472" s="10" t="s">
        <v>25</v>
      </c>
      <c r="F472" s="9" t="s">
        <v>53</v>
      </c>
      <c r="G472" s="9"/>
    </row>
    <row r="473" customFormat="false" ht="26.85" hidden="false" customHeight="false" outlineLevel="0" collapsed="false">
      <c r="A473" s="9" t="n">
        <v>184</v>
      </c>
      <c r="B473" s="9" t="s">
        <v>1498</v>
      </c>
      <c r="C473" s="10" t="s">
        <v>1499</v>
      </c>
      <c r="D473" s="9" t="s">
        <v>1500</v>
      </c>
      <c r="E473" s="10" t="s">
        <v>25</v>
      </c>
      <c r="F473" s="9" t="s">
        <v>53</v>
      </c>
      <c r="G473" s="9"/>
    </row>
    <row r="474" customFormat="false" ht="26.85" hidden="false" customHeight="false" outlineLevel="0" collapsed="false">
      <c r="A474" s="9" t="n">
        <v>184</v>
      </c>
      <c r="B474" s="9" t="s">
        <v>1498</v>
      </c>
      <c r="C474" s="10" t="s">
        <v>1501</v>
      </c>
      <c r="D474" s="9" t="s">
        <v>1502</v>
      </c>
      <c r="E474" s="10" t="s">
        <v>25</v>
      </c>
      <c r="F474" s="9" t="s">
        <v>53</v>
      </c>
      <c r="G474" s="9"/>
    </row>
    <row r="475" customFormat="false" ht="15" hidden="false" customHeight="false" outlineLevel="0" collapsed="false">
      <c r="A475" s="9" t="n">
        <v>185</v>
      </c>
      <c r="B475" s="9" t="s">
        <v>1503</v>
      </c>
      <c r="C475" s="10" t="s">
        <v>1504</v>
      </c>
      <c r="D475" s="9" t="s">
        <v>1505</v>
      </c>
      <c r="E475" s="10" t="s">
        <v>27</v>
      </c>
      <c r="F475" s="9" t="s">
        <v>53</v>
      </c>
      <c r="G475" s="9" t="s">
        <v>1506</v>
      </c>
    </row>
    <row r="476" customFormat="false" ht="15" hidden="false" customHeight="false" outlineLevel="0" collapsed="false">
      <c r="A476" s="9" t="n">
        <v>185</v>
      </c>
      <c r="B476" s="9" t="s">
        <v>1503</v>
      </c>
      <c r="C476" s="10" t="s">
        <v>1507</v>
      </c>
      <c r="D476" s="9" t="s">
        <v>1508</v>
      </c>
      <c r="E476" s="10" t="s">
        <v>24</v>
      </c>
      <c r="F476" s="9" t="s">
        <v>53</v>
      </c>
      <c r="G476" s="9"/>
    </row>
    <row r="477" customFormat="false" ht="15" hidden="false" customHeight="false" outlineLevel="0" collapsed="false">
      <c r="A477" s="9" t="n">
        <v>185</v>
      </c>
      <c r="B477" s="9" t="s">
        <v>1503</v>
      </c>
      <c r="C477" s="10" t="s">
        <v>1509</v>
      </c>
      <c r="D477" s="9" t="s">
        <v>1510</v>
      </c>
      <c r="E477" s="10" t="s">
        <v>24</v>
      </c>
      <c r="F477" s="9" t="s">
        <v>53</v>
      </c>
      <c r="G477" s="9"/>
    </row>
    <row r="478" customFormat="false" ht="15" hidden="false" customHeight="false" outlineLevel="0" collapsed="false">
      <c r="A478" s="9" t="n">
        <v>186</v>
      </c>
      <c r="B478" s="9" t="s">
        <v>1511</v>
      </c>
      <c r="C478" s="10" t="s">
        <v>1512</v>
      </c>
      <c r="D478" s="9" t="s">
        <v>1513</v>
      </c>
      <c r="E478" s="10" t="s">
        <v>26</v>
      </c>
      <c r="F478" s="9" t="s">
        <v>53</v>
      </c>
      <c r="G478" s="9"/>
    </row>
    <row r="479" customFormat="false" ht="15" hidden="false" customHeight="false" outlineLevel="0" collapsed="false">
      <c r="A479" s="9" t="n">
        <v>186</v>
      </c>
      <c r="B479" s="9" t="s">
        <v>1511</v>
      </c>
      <c r="C479" s="10" t="s">
        <v>1514</v>
      </c>
      <c r="D479" s="9" t="s">
        <v>1515</v>
      </c>
      <c r="E479" s="10" t="s">
        <v>26</v>
      </c>
      <c r="F479" s="9" t="s">
        <v>53</v>
      </c>
      <c r="G479" s="9"/>
    </row>
    <row r="480" customFormat="false" ht="15" hidden="false" customHeight="false" outlineLevel="0" collapsed="false">
      <c r="A480" s="9" t="n">
        <v>187</v>
      </c>
      <c r="B480" s="9" t="s">
        <v>1516</v>
      </c>
      <c r="C480" s="10" t="s">
        <v>1517</v>
      </c>
      <c r="D480" s="9" t="s">
        <v>1518</v>
      </c>
      <c r="E480" s="10" t="s">
        <v>29</v>
      </c>
      <c r="F480" s="9" t="s">
        <v>53</v>
      </c>
      <c r="G480" s="9"/>
    </row>
    <row r="481" customFormat="false" ht="15" hidden="false" customHeight="false" outlineLevel="0" collapsed="false">
      <c r="A481" s="9" t="n">
        <v>187</v>
      </c>
      <c r="B481" s="9" t="s">
        <v>1516</v>
      </c>
      <c r="C481" s="10" t="s">
        <v>1519</v>
      </c>
      <c r="D481" s="9" t="s">
        <v>1520</v>
      </c>
      <c r="E481" s="10" t="s">
        <v>29</v>
      </c>
      <c r="F481" s="9" t="s">
        <v>53</v>
      </c>
      <c r="G481" s="9"/>
    </row>
    <row r="482" customFormat="false" ht="15" hidden="false" customHeight="false" outlineLevel="0" collapsed="false">
      <c r="A482" s="9" t="n">
        <v>187</v>
      </c>
      <c r="B482" s="9" t="s">
        <v>1516</v>
      </c>
      <c r="C482" s="10" t="s">
        <v>1521</v>
      </c>
      <c r="D482" s="9" t="s">
        <v>1522</v>
      </c>
      <c r="E482" s="10" t="s">
        <v>25</v>
      </c>
      <c r="F482" s="9" t="s">
        <v>53</v>
      </c>
      <c r="G482" s="9" t="s">
        <v>1523</v>
      </c>
    </row>
    <row r="483" customFormat="false" ht="15" hidden="false" customHeight="false" outlineLevel="0" collapsed="false">
      <c r="A483" s="9" t="n">
        <v>188</v>
      </c>
      <c r="B483" s="9" t="s">
        <v>1524</v>
      </c>
      <c r="C483" s="10" t="s">
        <v>1525</v>
      </c>
      <c r="D483" s="9" t="s">
        <v>1526</v>
      </c>
      <c r="E483" s="10" t="s">
        <v>24</v>
      </c>
      <c r="F483" s="9" t="s">
        <v>53</v>
      </c>
      <c r="G483" s="9"/>
    </row>
    <row r="484" customFormat="false" ht="15" hidden="false" customHeight="false" outlineLevel="0" collapsed="false">
      <c r="A484" s="9" t="n">
        <v>188</v>
      </c>
      <c r="B484" s="9" t="s">
        <v>1524</v>
      </c>
      <c r="C484" s="10" t="s">
        <v>1527</v>
      </c>
      <c r="D484" s="9" t="s">
        <v>1528</v>
      </c>
      <c r="E484" s="10" t="s">
        <v>24</v>
      </c>
      <c r="F484" s="9" t="s">
        <v>53</v>
      </c>
      <c r="G484" s="9"/>
    </row>
    <row r="485" customFormat="false" ht="15" hidden="false" customHeight="false" outlineLevel="0" collapsed="false">
      <c r="A485" s="9" t="n">
        <v>189</v>
      </c>
      <c r="B485" s="9" t="s">
        <v>1529</v>
      </c>
      <c r="C485" s="10" t="s">
        <v>1530</v>
      </c>
      <c r="D485" s="9" t="s">
        <v>1531</v>
      </c>
      <c r="E485" s="10" t="s">
        <v>27</v>
      </c>
      <c r="F485" s="9" t="s">
        <v>53</v>
      </c>
      <c r="G485" s="9" t="s">
        <v>1532</v>
      </c>
    </row>
    <row r="486" customFormat="false" ht="15" hidden="false" customHeight="false" outlineLevel="0" collapsed="false">
      <c r="A486" s="9" t="n">
        <v>189</v>
      </c>
      <c r="B486" s="9" t="s">
        <v>1529</v>
      </c>
      <c r="C486" s="10" t="s">
        <v>1533</v>
      </c>
      <c r="D486" s="9" t="s">
        <v>1534</v>
      </c>
      <c r="E486" s="10" t="s">
        <v>24</v>
      </c>
      <c r="F486" s="9" t="s">
        <v>53</v>
      </c>
      <c r="G486" s="9" t="s">
        <v>1535</v>
      </c>
    </row>
    <row r="487" customFormat="false" ht="15" hidden="false" customHeight="false" outlineLevel="0" collapsed="false">
      <c r="A487" s="9" t="n">
        <v>190</v>
      </c>
      <c r="B487" s="9" t="s">
        <v>1536</v>
      </c>
      <c r="C487" s="10" t="s">
        <v>1537</v>
      </c>
      <c r="D487" s="9" t="s">
        <v>1538</v>
      </c>
      <c r="E487" s="10" t="s">
        <v>24</v>
      </c>
      <c r="F487" s="9" t="s">
        <v>53</v>
      </c>
      <c r="G487" s="9" t="s">
        <v>1539</v>
      </c>
    </row>
    <row r="488" customFormat="false" ht="15" hidden="false" customHeight="false" outlineLevel="0" collapsed="false">
      <c r="A488" s="9" t="n">
        <v>191</v>
      </c>
      <c r="B488" s="9" t="s">
        <v>1540</v>
      </c>
      <c r="C488" s="10" t="s">
        <v>1541</v>
      </c>
      <c r="D488" s="9" t="s">
        <v>1542</v>
      </c>
      <c r="E488" s="10" t="s">
        <v>24</v>
      </c>
      <c r="F488" s="9" t="s">
        <v>53</v>
      </c>
      <c r="G488" s="9" t="s">
        <v>1543</v>
      </c>
    </row>
    <row r="489" customFormat="false" ht="15" hidden="false" customHeight="false" outlineLevel="0" collapsed="false">
      <c r="A489" s="9" t="n">
        <v>191</v>
      </c>
      <c r="B489" s="9" t="s">
        <v>1540</v>
      </c>
      <c r="C489" s="10" t="s">
        <v>1544</v>
      </c>
      <c r="D489" s="9" t="s">
        <v>1545</v>
      </c>
      <c r="E489" s="10" t="s">
        <v>25</v>
      </c>
      <c r="F489" s="9" t="s">
        <v>53</v>
      </c>
      <c r="G489" s="9" t="s">
        <v>1546</v>
      </c>
    </row>
    <row r="490" customFormat="false" ht="15" hidden="false" customHeight="false" outlineLevel="0" collapsed="false">
      <c r="A490" s="9" t="n">
        <v>192</v>
      </c>
      <c r="B490" s="9" t="s">
        <v>1547</v>
      </c>
      <c r="C490" s="10" t="s">
        <v>1548</v>
      </c>
      <c r="D490" s="9" t="s">
        <v>1549</v>
      </c>
      <c r="E490" s="10" t="s">
        <v>29</v>
      </c>
      <c r="F490" s="9" t="s">
        <v>198</v>
      </c>
      <c r="G490" s="9" t="s">
        <v>1550</v>
      </c>
    </row>
    <row r="491" customFormat="false" ht="15" hidden="false" customHeight="false" outlineLevel="0" collapsed="false">
      <c r="A491" s="9" t="n">
        <v>192</v>
      </c>
      <c r="B491" s="9" t="s">
        <v>1547</v>
      </c>
      <c r="C491" s="10" t="s">
        <v>1551</v>
      </c>
      <c r="D491" s="9" t="s">
        <v>1552</v>
      </c>
      <c r="E491" s="10" t="s">
        <v>26</v>
      </c>
      <c r="F491" s="9" t="s">
        <v>198</v>
      </c>
      <c r="G491" s="9" t="s">
        <v>1553</v>
      </c>
    </row>
    <row r="492" customFormat="false" ht="15" hidden="false" customHeight="false" outlineLevel="0" collapsed="false">
      <c r="A492" s="9" t="n">
        <v>193</v>
      </c>
      <c r="B492" s="9" t="s">
        <v>1554</v>
      </c>
      <c r="C492" s="10" t="s">
        <v>1555</v>
      </c>
      <c r="D492" s="9" t="s">
        <v>1556</v>
      </c>
      <c r="E492" s="10" t="s">
        <v>30</v>
      </c>
      <c r="F492" s="9" t="s">
        <v>198</v>
      </c>
      <c r="G492" s="9"/>
    </row>
    <row r="493" customFormat="false" ht="15" hidden="false" customHeight="false" outlineLevel="0" collapsed="false">
      <c r="A493" s="9" t="n">
        <v>193</v>
      </c>
      <c r="B493" s="9" t="s">
        <v>1554</v>
      </c>
      <c r="C493" s="10" t="s">
        <v>1557</v>
      </c>
      <c r="D493" s="9" t="s">
        <v>1558</v>
      </c>
      <c r="E493" s="10" t="s">
        <v>30</v>
      </c>
      <c r="F493" s="9" t="s">
        <v>198</v>
      </c>
      <c r="G493" s="9"/>
    </row>
    <row r="494" customFormat="false" ht="15" hidden="false" customHeight="false" outlineLevel="0" collapsed="false">
      <c r="A494" s="9" t="n">
        <v>193</v>
      </c>
      <c r="B494" s="9" t="s">
        <v>1554</v>
      </c>
      <c r="C494" s="10" t="s">
        <v>1559</v>
      </c>
      <c r="D494" s="9" t="s">
        <v>1560</v>
      </c>
      <c r="E494" s="10" t="s">
        <v>30</v>
      </c>
      <c r="F494" s="9" t="s">
        <v>198</v>
      </c>
      <c r="G494" s="9"/>
    </row>
    <row r="495" customFormat="false" ht="15" hidden="false" customHeight="false" outlineLevel="0" collapsed="false">
      <c r="A495" s="9" t="n">
        <v>194</v>
      </c>
      <c r="B495" s="9" t="s">
        <v>1561</v>
      </c>
      <c r="C495" s="10" t="s">
        <v>1562</v>
      </c>
      <c r="D495" s="9" t="s">
        <v>1563</v>
      </c>
      <c r="E495" s="10" t="s">
        <v>27</v>
      </c>
      <c r="F495" s="9" t="s">
        <v>198</v>
      </c>
      <c r="G495" s="9"/>
    </row>
    <row r="496" customFormat="false" ht="15" hidden="false" customHeight="false" outlineLevel="0" collapsed="false">
      <c r="A496" s="9" t="n">
        <v>194</v>
      </c>
      <c r="B496" s="9" t="s">
        <v>1561</v>
      </c>
      <c r="C496" s="10" t="s">
        <v>1564</v>
      </c>
      <c r="D496" s="9" t="s">
        <v>1565</v>
      </c>
      <c r="E496" s="10" t="s">
        <v>27</v>
      </c>
      <c r="F496" s="9" t="s">
        <v>198</v>
      </c>
      <c r="G496" s="9"/>
    </row>
    <row r="497" customFormat="false" ht="26.85" hidden="false" customHeight="false" outlineLevel="0" collapsed="false">
      <c r="A497" s="9" t="n">
        <v>195</v>
      </c>
      <c r="B497" s="9" t="s">
        <v>1566</v>
      </c>
      <c r="C497" s="10" t="s">
        <v>1567</v>
      </c>
      <c r="D497" s="9" t="s">
        <v>1568</v>
      </c>
      <c r="E497" s="10" t="s">
        <v>25</v>
      </c>
      <c r="F497" s="9" t="s">
        <v>198</v>
      </c>
      <c r="G497" s="9"/>
    </row>
    <row r="498" customFormat="false" ht="26.85" hidden="false" customHeight="false" outlineLevel="0" collapsed="false">
      <c r="A498" s="9" t="n">
        <v>195</v>
      </c>
      <c r="B498" s="9" t="s">
        <v>1566</v>
      </c>
      <c r="C498" s="10" t="s">
        <v>1569</v>
      </c>
      <c r="D498" s="9" t="s">
        <v>1570</v>
      </c>
      <c r="E498" s="10" t="s">
        <v>25</v>
      </c>
      <c r="F498" s="9" t="s">
        <v>198</v>
      </c>
      <c r="G498" s="9"/>
    </row>
    <row r="499" customFormat="false" ht="26.85" hidden="false" customHeight="false" outlineLevel="0" collapsed="false">
      <c r="A499" s="9" t="n">
        <v>195</v>
      </c>
      <c r="B499" s="9" t="s">
        <v>1566</v>
      </c>
      <c r="C499" s="10" t="s">
        <v>1571</v>
      </c>
      <c r="D499" s="9" t="s">
        <v>1572</v>
      </c>
      <c r="E499" s="10" t="s">
        <v>25</v>
      </c>
      <c r="F499" s="9" t="s">
        <v>198</v>
      </c>
      <c r="G499" s="9"/>
    </row>
    <row r="500" customFormat="false" ht="15" hidden="false" customHeight="false" outlineLevel="0" collapsed="false">
      <c r="A500" s="9" t="n">
        <v>196</v>
      </c>
      <c r="B500" s="9" t="s">
        <v>1573</v>
      </c>
      <c r="C500" s="10" t="s">
        <v>1574</v>
      </c>
      <c r="D500" s="9" t="s">
        <v>1575</v>
      </c>
      <c r="E500" s="10" t="s">
        <v>25</v>
      </c>
      <c r="F500" s="9" t="s">
        <v>198</v>
      </c>
      <c r="G500" s="9"/>
    </row>
    <row r="501" customFormat="false" ht="15" hidden="false" customHeight="false" outlineLevel="0" collapsed="false">
      <c r="A501" s="9" t="n">
        <v>196</v>
      </c>
      <c r="B501" s="9" t="s">
        <v>1573</v>
      </c>
      <c r="C501" s="10" t="s">
        <v>1576</v>
      </c>
      <c r="D501" s="9" t="s">
        <v>1577</v>
      </c>
      <c r="E501" s="10" t="s">
        <v>25</v>
      </c>
      <c r="F501" s="9" t="s">
        <v>198</v>
      </c>
      <c r="G501" s="9"/>
    </row>
    <row r="502" customFormat="false" ht="15" hidden="false" customHeight="false" outlineLevel="0" collapsed="false">
      <c r="A502" s="9" t="n">
        <v>197</v>
      </c>
      <c r="B502" s="9" t="s">
        <v>1578</v>
      </c>
      <c r="C502" s="10" t="s">
        <v>1579</v>
      </c>
      <c r="D502" s="9" t="s">
        <v>1580</v>
      </c>
      <c r="E502" s="10" t="s">
        <v>27</v>
      </c>
      <c r="F502" s="9" t="s">
        <v>198</v>
      </c>
      <c r="G502" s="9"/>
    </row>
    <row r="503" customFormat="false" ht="15" hidden="false" customHeight="false" outlineLevel="0" collapsed="false">
      <c r="A503" s="9" t="n">
        <v>197</v>
      </c>
      <c r="B503" s="9" t="s">
        <v>1578</v>
      </c>
      <c r="C503" s="10" t="s">
        <v>1581</v>
      </c>
      <c r="D503" s="9" t="s">
        <v>1582</v>
      </c>
      <c r="E503" s="10" t="s">
        <v>27</v>
      </c>
      <c r="F503" s="9" t="s">
        <v>198</v>
      </c>
      <c r="G503" s="9"/>
    </row>
    <row r="504" customFormat="false" ht="15" hidden="false" customHeight="false" outlineLevel="0" collapsed="false">
      <c r="A504" s="9" t="n">
        <v>198</v>
      </c>
      <c r="B504" s="9" t="s">
        <v>1583</v>
      </c>
      <c r="C504" s="10" t="s">
        <v>1584</v>
      </c>
      <c r="D504" s="9" t="s">
        <v>1585</v>
      </c>
      <c r="E504" s="10" t="s">
        <v>25</v>
      </c>
      <c r="F504" s="9" t="s">
        <v>198</v>
      </c>
      <c r="G504" s="9"/>
    </row>
    <row r="505" customFormat="false" ht="15" hidden="false" customHeight="false" outlineLevel="0" collapsed="false">
      <c r="A505" s="9" t="n">
        <v>198</v>
      </c>
      <c r="B505" s="9" t="s">
        <v>1583</v>
      </c>
      <c r="C505" s="10" t="s">
        <v>1586</v>
      </c>
      <c r="D505" s="9" t="s">
        <v>1587</v>
      </c>
      <c r="E505" s="10" t="s">
        <v>25</v>
      </c>
      <c r="F505" s="9" t="s">
        <v>198</v>
      </c>
      <c r="G505" s="9"/>
    </row>
    <row r="506" customFormat="false" ht="15" hidden="false" customHeight="false" outlineLevel="0" collapsed="false">
      <c r="A506" s="9" t="n">
        <v>199</v>
      </c>
      <c r="B506" s="9" t="s">
        <v>1588</v>
      </c>
      <c r="C506" s="10" t="s">
        <v>1589</v>
      </c>
      <c r="D506" s="9" t="s">
        <v>1590</v>
      </c>
      <c r="E506" s="10" t="s">
        <v>24</v>
      </c>
      <c r="F506" s="9" t="s">
        <v>198</v>
      </c>
      <c r="G506" s="9" t="s">
        <v>1590</v>
      </c>
    </row>
    <row r="507" customFormat="false" ht="15" hidden="false" customHeight="false" outlineLevel="0" collapsed="false">
      <c r="A507" s="9" t="n">
        <v>200</v>
      </c>
      <c r="B507" s="9" t="s">
        <v>1591</v>
      </c>
      <c r="C507" s="10" t="s">
        <v>1592</v>
      </c>
      <c r="D507" s="9" t="s">
        <v>1593</v>
      </c>
      <c r="E507" s="10" t="s">
        <v>24</v>
      </c>
      <c r="F507" s="9" t="s">
        <v>198</v>
      </c>
      <c r="G507" s="9"/>
    </row>
    <row r="508" customFormat="false" ht="15" hidden="false" customHeight="false" outlineLevel="0" collapsed="false">
      <c r="A508" s="9" t="n">
        <v>200</v>
      </c>
      <c r="B508" s="9" t="s">
        <v>1591</v>
      </c>
      <c r="C508" s="10" t="s">
        <v>1594</v>
      </c>
      <c r="D508" s="9" t="s">
        <v>1595</v>
      </c>
      <c r="E508" s="10" t="s">
        <v>24</v>
      </c>
      <c r="F508" s="9" t="s">
        <v>198</v>
      </c>
      <c r="G508" s="9"/>
    </row>
    <row r="509" customFormat="false" ht="15" hidden="false" customHeight="false" outlineLevel="0" collapsed="false">
      <c r="A509" s="9" t="n">
        <v>200</v>
      </c>
      <c r="B509" s="9" t="s">
        <v>1591</v>
      </c>
      <c r="C509" s="10" t="s">
        <v>1596</v>
      </c>
      <c r="D509" s="9" t="s">
        <v>1597</v>
      </c>
      <c r="E509" s="10" t="s">
        <v>24</v>
      </c>
      <c r="F509" s="9" t="s">
        <v>198</v>
      </c>
      <c r="G509" s="9"/>
    </row>
    <row r="510" customFormat="false" ht="15" hidden="false" customHeight="false" outlineLevel="0" collapsed="false">
      <c r="A510" s="9" t="n">
        <v>201</v>
      </c>
      <c r="B510" s="9" t="s">
        <v>1598</v>
      </c>
      <c r="C510" s="10" t="s">
        <v>1599</v>
      </c>
      <c r="D510" s="9" t="s">
        <v>1600</v>
      </c>
      <c r="E510" s="10" t="s">
        <v>25</v>
      </c>
      <c r="F510" s="9" t="s">
        <v>1601</v>
      </c>
      <c r="G510" s="9" t="s">
        <v>1602</v>
      </c>
    </row>
    <row r="511" customFormat="false" ht="15" hidden="false" customHeight="false" outlineLevel="0" collapsed="false">
      <c r="A511" s="9" t="n">
        <v>202</v>
      </c>
      <c r="B511" s="9" t="s">
        <v>1603</v>
      </c>
      <c r="C511" s="10" t="s">
        <v>1604</v>
      </c>
      <c r="D511" s="9" t="s">
        <v>1605</v>
      </c>
      <c r="E511" s="10" t="s">
        <v>29</v>
      </c>
      <c r="F511" s="9" t="s">
        <v>1601</v>
      </c>
      <c r="G511" s="9"/>
    </row>
    <row r="512" customFormat="false" ht="15" hidden="false" customHeight="false" outlineLevel="0" collapsed="false">
      <c r="A512" s="9" t="n">
        <v>202</v>
      </c>
      <c r="B512" s="9" t="s">
        <v>1603</v>
      </c>
      <c r="C512" s="10" t="s">
        <v>1606</v>
      </c>
      <c r="D512" s="9" t="s">
        <v>1607</v>
      </c>
      <c r="E512" s="10" t="s">
        <v>29</v>
      </c>
      <c r="F512" s="9" t="s">
        <v>1601</v>
      </c>
      <c r="G512" s="9"/>
    </row>
    <row r="513" customFormat="false" ht="15" hidden="false" customHeight="false" outlineLevel="0" collapsed="false">
      <c r="A513" s="9" t="n">
        <v>202</v>
      </c>
      <c r="B513" s="9" t="s">
        <v>1603</v>
      </c>
      <c r="C513" s="10" t="s">
        <v>1608</v>
      </c>
      <c r="D513" s="9" t="s">
        <v>1609</v>
      </c>
      <c r="E513" s="10" t="s">
        <v>29</v>
      </c>
      <c r="F513" s="9" t="s">
        <v>1601</v>
      </c>
      <c r="G513" s="9"/>
    </row>
    <row r="514" customFormat="false" ht="15" hidden="false" customHeight="false" outlineLevel="0" collapsed="false">
      <c r="A514" s="9" t="n">
        <v>202</v>
      </c>
      <c r="B514" s="9" t="s">
        <v>1603</v>
      </c>
      <c r="C514" s="10" t="s">
        <v>1610</v>
      </c>
      <c r="D514" s="9" t="s">
        <v>1611</v>
      </c>
      <c r="E514" s="10" t="s">
        <v>28</v>
      </c>
      <c r="F514" s="9" t="s">
        <v>1601</v>
      </c>
      <c r="G514" s="9" t="s">
        <v>1612</v>
      </c>
    </row>
    <row r="515" customFormat="false" ht="15" hidden="false" customHeight="false" outlineLevel="0" collapsed="false">
      <c r="A515" s="9" t="n">
        <v>202</v>
      </c>
      <c r="B515" s="9" t="s">
        <v>1603</v>
      </c>
      <c r="C515" s="10" t="s">
        <v>1613</v>
      </c>
      <c r="D515" s="9" t="s">
        <v>1614</v>
      </c>
      <c r="E515" s="10" t="s">
        <v>27</v>
      </c>
      <c r="F515" s="9" t="s">
        <v>1601</v>
      </c>
      <c r="G515" s="9"/>
    </row>
    <row r="516" customFormat="false" ht="15" hidden="false" customHeight="false" outlineLevel="0" collapsed="false">
      <c r="A516" s="9" t="n">
        <v>202</v>
      </c>
      <c r="B516" s="9" t="s">
        <v>1603</v>
      </c>
      <c r="C516" s="10" t="s">
        <v>1615</v>
      </c>
      <c r="D516" s="9" t="s">
        <v>1616</v>
      </c>
      <c r="E516" s="10" t="s">
        <v>27</v>
      </c>
      <c r="F516" s="9" t="s">
        <v>1601</v>
      </c>
      <c r="G516" s="9"/>
    </row>
    <row r="517" customFormat="false" ht="15" hidden="false" customHeight="false" outlineLevel="0" collapsed="false">
      <c r="A517" s="9" t="n">
        <v>202</v>
      </c>
      <c r="B517" s="9" t="s">
        <v>1603</v>
      </c>
      <c r="C517" s="10" t="s">
        <v>1617</v>
      </c>
      <c r="D517" s="9" t="s">
        <v>1618</v>
      </c>
      <c r="E517" s="10" t="s">
        <v>29</v>
      </c>
      <c r="F517" s="9" t="s">
        <v>1601</v>
      </c>
      <c r="G517" s="9"/>
    </row>
    <row r="518" customFormat="false" ht="15" hidden="false" customHeight="false" outlineLevel="0" collapsed="false">
      <c r="A518" s="9" t="n">
        <v>203</v>
      </c>
      <c r="B518" s="9" t="s">
        <v>1619</v>
      </c>
      <c r="C518" s="10" t="s">
        <v>1620</v>
      </c>
      <c r="D518" s="9" t="s">
        <v>1621</v>
      </c>
      <c r="E518" s="10" t="s">
        <v>27</v>
      </c>
      <c r="F518" s="9" t="s">
        <v>1601</v>
      </c>
      <c r="G518" s="9"/>
    </row>
    <row r="519" customFormat="false" ht="15" hidden="false" customHeight="false" outlineLevel="0" collapsed="false">
      <c r="A519" s="9" t="n">
        <v>203</v>
      </c>
      <c r="B519" s="9" t="s">
        <v>1619</v>
      </c>
      <c r="C519" s="10" t="s">
        <v>1622</v>
      </c>
      <c r="D519" s="9" t="s">
        <v>1623</v>
      </c>
      <c r="E519" s="10" t="s">
        <v>27</v>
      </c>
      <c r="F519" s="9" t="s">
        <v>1601</v>
      </c>
      <c r="G519" s="9"/>
    </row>
    <row r="520" customFormat="false" ht="15" hidden="false" customHeight="false" outlineLevel="0" collapsed="false">
      <c r="A520" s="9" t="n">
        <v>203</v>
      </c>
      <c r="B520" s="9" t="s">
        <v>1619</v>
      </c>
      <c r="C520" s="10" t="s">
        <v>1624</v>
      </c>
      <c r="D520" s="9" t="s">
        <v>1625</v>
      </c>
      <c r="E520" s="10" t="s">
        <v>26</v>
      </c>
      <c r="F520" s="9" t="s">
        <v>1601</v>
      </c>
      <c r="G520" s="9"/>
    </row>
    <row r="521" customFormat="false" ht="15" hidden="false" customHeight="false" outlineLevel="0" collapsed="false">
      <c r="A521" s="9" t="n">
        <v>203</v>
      </c>
      <c r="B521" s="9" t="s">
        <v>1619</v>
      </c>
      <c r="C521" s="10" t="s">
        <v>1626</v>
      </c>
      <c r="D521" s="9" t="s">
        <v>1627</v>
      </c>
      <c r="E521" s="10" t="s">
        <v>26</v>
      </c>
      <c r="F521" s="9" t="s">
        <v>1601</v>
      </c>
      <c r="G521" s="9"/>
    </row>
    <row r="522" customFormat="false" ht="15" hidden="false" customHeight="false" outlineLevel="0" collapsed="false">
      <c r="A522" s="9" t="n">
        <v>204</v>
      </c>
      <c r="B522" s="9" t="s">
        <v>1628</v>
      </c>
      <c r="C522" s="10" t="s">
        <v>1629</v>
      </c>
      <c r="D522" s="9" t="s">
        <v>1628</v>
      </c>
      <c r="E522" s="10" t="s">
        <v>25</v>
      </c>
      <c r="F522" s="9" t="s">
        <v>1601</v>
      </c>
      <c r="G522" s="9" t="s">
        <v>1630</v>
      </c>
    </row>
    <row r="523" customFormat="false" ht="15" hidden="false" customHeight="false" outlineLevel="0" collapsed="false">
      <c r="A523" s="9" t="n">
        <v>205</v>
      </c>
      <c r="B523" s="9" t="s">
        <v>1631</v>
      </c>
      <c r="C523" s="10" t="s">
        <v>1632</v>
      </c>
      <c r="D523" s="9" t="s">
        <v>1633</v>
      </c>
      <c r="E523" s="10" t="s">
        <v>27</v>
      </c>
      <c r="F523" s="9" t="s">
        <v>1601</v>
      </c>
      <c r="G523" s="9" t="s">
        <v>1633</v>
      </c>
    </row>
    <row r="524" customFormat="false" ht="15" hidden="false" customHeight="false" outlineLevel="0" collapsed="false">
      <c r="A524" s="9" t="n">
        <v>205</v>
      </c>
      <c r="B524" s="9" t="s">
        <v>1631</v>
      </c>
      <c r="C524" s="10" t="s">
        <v>1634</v>
      </c>
      <c r="D524" s="9" t="s">
        <v>1635</v>
      </c>
      <c r="E524" s="10" t="s">
        <v>25</v>
      </c>
      <c r="F524" s="9" t="s">
        <v>1601</v>
      </c>
      <c r="G524" s="9" t="s">
        <v>1635</v>
      </c>
    </row>
    <row r="525" customFormat="false" ht="15" hidden="false" customHeight="false" outlineLevel="0" collapsed="false">
      <c r="A525" s="9" t="n">
        <v>205</v>
      </c>
      <c r="B525" s="9" t="s">
        <v>1631</v>
      </c>
      <c r="C525" s="10" t="s">
        <v>1636</v>
      </c>
      <c r="D525" s="9" t="s">
        <v>1637</v>
      </c>
      <c r="E525" s="10" t="s">
        <v>24</v>
      </c>
      <c r="F525" s="9" t="s">
        <v>1601</v>
      </c>
      <c r="G525" s="9" t="s">
        <v>1637</v>
      </c>
    </row>
    <row r="526" customFormat="false" ht="15" hidden="false" customHeight="false" outlineLevel="0" collapsed="false">
      <c r="A526" s="9" t="n">
        <v>206</v>
      </c>
      <c r="B526" s="9" t="s">
        <v>1638</v>
      </c>
      <c r="C526" s="10" t="s">
        <v>1639</v>
      </c>
      <c r="D526" s="9" t="s">
        <v>1640</v>
      </c>
      <c r="E526" s="10" t="s">
        <v>25</v>
      </c>
      <c r="F526" s="9" t="s">
        <v>1601</v>
      </c>
      <c r="G526" s="9" t="s">
        <v>1641</v>
      </c>
    </row>
    <row r="527" customFormat="false" ht="15" hidden="false" customHeight="false" outlineLevel="0" collapsed="false">
      <c r="A527" s="9" t="n">
        <v>207</v>
      </c>
      <c r="B527" s="9" t="s">
        <v>1642</v>
      </c>
      <c r="C527" s="10" t="s">
        <v>1643</v>
      </c>
      <c r="D527" s="9" t="s">
        <v>1644</v>
      </c>
      <c r="E527" s="10" t="s">
        <v>24</v>
      </c>
      <c r="F527" s="9" t="s">
        <v>1601</v>
      </c>
      <c r="G527" s="9"/>
    </row>
    <row r="528" customFormat="false" ht="15" hidden="false" customHeight="false" outlineLevel="0" collapsed="false">
      <c r="A528" s="9" t="n">
        <v>207</v>
      </c>
      <c r="B528" s="9" t="s">
        <v>1642</v>
      </c>
      <c r="C528" s="10" t="s">
        <v>1645</v>
      </c>
      <c r="D528" s="9" t="s">
        <v>1646</v>
      </c>
      <c r="E528" s="10" t="s">
        <v>24</v>
      </c>
      <c r="F528" s="9" t="s">
        <v>1601</v>
      </c>
      <c r="G528" s="9"/>
    </row>
    <row r="529" customFormat="false" ht="15" hidden="false" customHeight="false" outlineLevel="0" collapsed="false">
      <c r="A529" s="9" t="n">
        <v>207</v>
      </c>
      <c r="B529" s="9" t="s">
        <v>1642</v>
      </c>
      <c r="C529" s="10" t="s">
        <v>1647</v>
      </c>
      <c r="D529" s="9" t="s">
        <v>1648</v>
      </c>
      <c r="E529" s="10" t="s">
        <v>24</v>
      </c>
      <c r="F529" s="9" t="s">
        <v>1601</v>
      </c>
      <c r="G529" s="9"/>
    </row>
    <row r="530" customFormat="false" ht="15" hidden="false" customHeight="false" outlineLevel="0" collapsed="false">
      <c r="A530" s="9" t="n">
        <v>207</v>
      </c>
      <c r="B530" s="9" t="s">
        <v>1642</v>
      </c>
      <c r="C530" s="10" t="s">
        <v>1649</v>
      </c>
      <c r="D530" s="9" t="s">
        <v>1650</v>
      </c>
      <c r="E530" s="10" t="s">
        <v>24</v>
      </c>
      <c r="F530" s="9" t="s">
        <v>1601</v>
      </c>
      <c r="G530" s="9"/>
    </row>
    <row r="531" customFormat="false" ht="15" hidden="false" customHeight="false" outlineLevel="0" collapsed="false">
      <c r="A531" s="9" t="n">
        <v>207</v>
      </c>
      <c r="B531" s="9" t="s">
        <v>1642</v>
      </c>
      <c r="C531" s="10" t="s">
        <v>1651</v>
      </c>
      <c r="D531" s="9" t="s">
        <v>1652</v>
      </c>
      <c r="E531" s="10" t="s">
        <v>24</v>
      </c>
      <c r="F531" s="9" t="s">
        <v>1601</v>
      </c>
      <c r="G531" s="9"/>
    </row>
    <row r="532" customFormat="false" ht="15" hidden="false" customHeight="false" outlineLevel="0" collapsed="false">
      <c r="A532" s="9" t="n">
        <v>208</v>
      </c>
      <c r="B532" s="9" t="s">
        <v>1653</v>
      </c>
      <c r="C532" s="10" t="s">
        <v>1654</v>
      </c>
      <c r="D532" s="9" t="s">
        <v>1655</v>
      </c>
      <c r="E532" s="10" t="s">
        <v>27</v>
      </c>
      <c r="F532" s="9" t="s">
        <v>1601</v>
      </c>
      <c r="G532" s="9"/>
    </row>
    <row r="533" customFormat="false" ht="15" hidden="false" customHeight="false" outlineLevel="0" collapsed="false">
      <c r="A533" s="9" t="n">
        <v>208</v>
      </c>
      <c r="B533" s="9" t="s">
        <v>1653</v>
      </c>
      <c r="C533" s="10" t="s">
        <v>1656</v>
      </c>
      <c r="D533" s="9" t="s">
        <v>1657</v>
      </c>
      <c r="E533" s="10" t="s">
        <v>27</v>
      </c>
      <c r="F533" s="9" t="s">
        <v>1601</v>
      </c>
      <c r="G533" s="9"/>
    </row>
    <row r="534" customFormat="false" ht="15" hidden="false" customHeight="false" outlineLevel="0" collapsed="false">
      <c r="A534" s="9" t="n">
        <v>208</v>
      </c>
      <c r="B534" s="9" t="s">
        <v>1653</v>
      </c>
      <c r="C534" s="10" t="s">
        <v>1658</v>
      </c>
      <c r="D534" s="9" t="s">
        <v>1659</v>
      </c>
      <c r="E534" s="10" t="s">
        <v>25</v>
      </c>
      <c r="F534" s="9" t="s">
        <v>1601</v>
      </c>
      <c r="G534" s="9"/>
    </row>
    <row r="535" customFormat="false" ht="15" hidden="false" customHeight="false" outlineLevel="0" collapsed="false">
      <c r="A535" s="9" t="n">
        <v>208</v>
      </c>
      <c r="B535" s="9" t="s">
        <v>1653</v>
      </c>
      <c r="C535" s="10" t="s">
        <v>1660</v>
      </c>
      <c r="D535" s="9" t="s">
        <v>1661</v>
      </c>
      <c r="E535" s="10" t="s">
        <v>27</v>
      </c>
      <c r="F535" s="9" t="s">
        <v>1601</v>
      </c>
      <c r="G535" s="9"/>
    </row>
    <row r="536" customFormat="false" ht="15" hidden="false" customHeight="false" outlineLevel="0" collapsed="false">
      <c r="A536" s="9" t="n">
        <v>208</v>
      </c>
      <c r="B536" s="9" t="s">
        <v>1653</v>
      </c>
      <c r="C536" s="10" t="s">
        <v>1662</v>
      </c>
      <c r="D536" s="9" t="s">
        <v>1663</v>
      </c>
      <c r="E536" s="10" t="s">
        <v>25</v>
      </c>
      <c r="F536" s="9" t="s">
        <v>1601</v>
      </c>
      <c r="G536" s="9"/>
    </row>
    <row r="537" customFormat="false" ht="15" hidden="false" customHeight="false" outlineLevel="0" collapsed="false">
      <c r="A537" s="9" t="n">
        <v>209</v>
      </c>
      <c r="B537" s="9" t="s">
        <v>1664</v>
      </c>
      <c r="C537" s="10" t="s">
        <v>1665</v>
      </c>
      <c r="D537" s="9" t="s">
        <v>1666</v>
      </c>
      <c r="E537" s="10" t="s">
        <v>24</v>
      </c>
      <c r="F537" s="9" t="s">
        <v>1601</v>
      </c>
      <c r="G537" s="9"/>
    </row>
    <row r="538" customFormat="false" ht="15" hidden="false" customHeight="false" outlineLevel="0" collapsed="false">
      <c r="A538" s="9" t="n">
        <v>209</v>
      </c>
      <c r="B538" s="9" t="s">
        <v>1664</v>
      </c>
      <c r="C538" s="10" t="s">
        <v>1667</v>
      </c>
      <c r="D538" s="9" t="s">
        <v>1668</v>
      </c>
      <c r="E538" s="10" t="s">
        <v>24</v>
      </c>
      <c r="F538" s="9" t="s">
        <v>1601</v>
      </c>
      <c r="G538" s="9"/>
    </row>
    <row r="539" customFormat="false" ht="15" hidden="false" customHeight="false" outlineLevel="0" collapsed="false">
      <c r="A539" s="9" t="n">
        <v>210</v>
      </c>
      <c r="B539" s="9" t="s">
        <v>1669</v>
      </c>
      <c r="C539" s="10" t="s">
        <v>1670</v>
      </c>
      <c r="D539" s="9" t="s">
        <v>1671</v>
      </c>
      <c r="E539" s="10" t="s">
        <v>26</v>
      </c>
      <c r="F539" s="9" t="s">
        <v>1601</v>
      </c>
      <c r="G539" s="9" t="s">
        <v>1672</v>
      </c>
    </row>
    <row r="540" customFormat="false" ht="15" hidden="false" customHeight="false" outlineLevel="0" collapsed="false">
      <c r="A540" s="9" t="n">
        <v>210</v>
      </c>
      <c r="B540" s="9" t="s">
        <v>1669</v>
      </c>
      <c r="C540" s="10" t="s">
        <v>1673</v>
      </c>
      <c r="D540" s="9" t="s">
        <v>1674</v>
      </c>
      <c r="E540" s="10" t="s">
        <v>24</v>
      </c>
      <c r="F540" s="9" t="s">
        <v>1601</v>
      </c>
      <c r="G540" s="9" t="s">
        <v>1675</v>
      </c>
    </row>
    <row r="541" customFormat="false" ht="15" hidden="false" customHeight="false" outlineLevel="0" collapsed="false">
      <c r="A541" s="9" t="n">
        <v>211</v>
      </c>
      <c r="B541" s="9" t="s">
        <v>1676</v>
      </c>
      <c r="C541" s="10" t="s">
        <v>1677</v>
      </c>
      <c r="D541" s="9" t="s">
        <v>1678</v>
      </c>
      <c r="E541" s="10" t="s">
        <v>24</v>
      </c>
      <c r="F541" s="9" t="s">
        <v>1601</v>
      </c>
      <c r="G541" s="9"/>
    </row>
    <row r="542" customFormat="false" ht="15" hidden="false" customHeight="false" outlineLevel="0" collapsed="false">
      <c r="A542" s="9" t="n">
        <v>211</v>
      </c>
      <c r="B542" s="9" t="s">
        <v>1676</v>
      </c>
      <c r="C542" s="10" t="s">
        <v>1679</v>
      </c>
      <c r="D542" s="9" t="s">
        <v>1680</v>
      </c>
      <c r="E542" s="10" t="s">
        <v>24</v>
      </c>
      <c r="F542" s="9" t="s">
        <v>1601</v>
      </c>
      <c r="G542" s="9"/>
    </row>
    <row r="543" customFormat="false" ht="15" hidden="false" customHeight="false" outlineLevel="0" collapsed="false">
      <c r="A543" s="9" t="n">
        <v>212</v>
      </c>
      <c r="B543" s="9" t="s">
        <v>1681</v>
      </c>
      <c r="C543" s="10" t="s">
        <v>1682</v>
      </c>
      <c r="D543" s="9" t="s">
        <v>1683</v>
      </c>
      <c r="E543" s="10" t="s">
        <v>25</v>
      </c>
      <c r="F543" s="9" t="s">
        <v>1601</v>
      </c>
      <c r="G543" s="9" t="s">
        <v>1684</v>
      </c>
    </row>
    <row r="544" customFormat="false" ht="15" hidden="false" customHeight="false" outlineLevel="0" collapsed="false">
      <c r="A544" s="9" t="n">
        <v>213</v>
      </c>
      <c r="B544" s="9" t="s">
        <v>1685</v>
      </c>
      <c r="C544" s="10" t="s">
        <v>1686</v>
      </c>
      <c r="D544" s="9" t="s">
        <v>1687</v>
      </c>
      <c r="E544" s="10" t="s">
        <v>25</v>
      </c>
      <c r="F544" s="9" t="s">
        <v>1601</v>
      </c>
      <c r="G544" s="9"/>
    </row>
    <row r="545" customFormat="false" ht="15" hidden="false" customHeight="false" outlineLevel="0" collapsed="false">
      <c r="A545" s="9" t="n">
        <v>213</v>
      </c>
      <c r="B545" s="9" t="s">
        <v>1685</v>
      </c>
      <c r="C545" s="10" t="s">
        <v>1688</v>
      </c>
      <c r="D545" s="9" t="s">
        <v>1689</v>
      </c>
      <c r="E545" s="10" t="s">
        <v>25</v>
      </c>
      <c r="F545" s="9" t="s">
        <v>1601</v>
      </c>
      <c r="G545" s="9"/>
    </row>
    <row r="546" customFormat="false" ht="15" hidden="false" customHeight="false" outlineLevel="0" collapsed="false">
      <c r="A546" s="9" t="n">
        <v>213</v>
      </c>
      <c r="B546" s="9" t="s">
        <v>1685</v>
      </c>
      <c r="C546" s="10" t="s">
        <v>1690</v>
      </c>
      <c r="D546" s="9" t="s">
        <v>1691</v>
      </c>
      <c r="E546" s="10" t="s">
        <v>25</v>
      </c>
      <c r="F546" s="9" t="s">
        <v>1601</v>
      </c>
      <c r="G546" s="9"/>
    </row>
    <row r="547" customFormat="false" ht="15" hidden="false" customHeight="false" outlineLevel="0" collapsed="false">
      <c r="A547" s="9" t="n">
        <v>213</v>
      </c>
      <c r="B547" s="9" t="s">
        <v>1685</v>
      </c>
      <c r="C547" s="10" t="s">
        <v>1692</v>
      </c>
      <c r="D547" s="9" t="s">
        <v>1693</v>
      </c>
      <c r="E547" s="10" t="s">
        <v>24</v>
      </c>
      <c r="F547" s="9" t="s">
        <v>1601</v>
      </c>
      <c r="G547" s="9" t="s">
        <v>1694</v>
      </c>
    </row>
    <row r="548" customFormat="false" ht="15" hidden="false" customHeight="false" outlineLevel="0" collapsed="false">
      <c r="A548" s="9" t="n">
        <v>214</v>
      </c>
      <c r="B548" s="9" t="s">
        <v>1695</v>
      </c>
      <c r="C548" s="10" t="s">
        <v>1696</v>
      </c>
      <c r="D548" s="9" t="s">
        <v>1695</v>
      </c>
      <c r="E548" s="10" t="s">
        <v>24</v>
      </c>
      <c r="F548" s="9" t="s">
        <v>1601</v>
      </c>
      <c r="G548" s="9" t="s">
        <v>1697</v>
      </c>
    </row>
    <row r="549" customFormat="false" ht="15" hidden="false" customHeight="false" outlineLevel="0" collapsed="false">
      <c r="A549" s="9" t="n">
        <v>215</v>
      </c>
      <c r="B549" s="9" t="s">
        <v>1698</v>
      </c>
      <c r="C549" s="10" t="s">
        <v>1699</v>
      </c>
      <c r="D549" s="9" t="s">
        <v>1700</v>
      </c>
      <c r="E549" s="10" t="s">
        <v>24</v>
      </c>
      <c r="F549" s="9" t="s">
        <v>1601</v>
      </c>
      <c r="G549" s="9" t="s">
        <v>1701</v>
      </c>
    </row>
    <row r="550" customFormat="false" ht="15" hidden="false" customHeight="false" outlineLevel="0" collapsed="false">
      <c r="A550" s="9" t="n">
        <v>216</v>
      </c>
      <c r="B550" s="9" t="s">
        <v>1702</v>
      </c>
      <c r="C550" s="10" t="s">
        <v>1703</v>
      </c>
      <c r="D550" s="9" t="s">
        <v>1704</v>
      </c>
      <c r="E550" s="10" t="s">
        <v>24</v>
      </c>
      <c r="F550" s="9" t="s">
        <v>1601</v>
      </c>
      <c r="G550" s="9" t="s">
        <v>1705</v>
      </c>
    </row>
    <row r="551" customFormat="false" ht="15" hidden="false" customHeight="false" outlineLevel="0" collapsed="false">
      <c r="A551" s="9" t="n">
        <v>217</v>
      </c>
      <c r="B551" s="9" t="s">
        <v>1706</v>
      </c>
      <c r="C551" s="10" t="s">
        <v>1707</v>
      </c>
      <c r="D551" s="9" t="s">
        <v>1708</v>
      </c>
      <c r="E551" s="10" t="s">
        <v>24</v>
      </c>
      <c r="F551" s="9" t="s">
        <v>1709</v>
      </c>
      <c r="G551" s="9" t="s">
        <v>1708</v>
      </c>
    </row>
    <row r="552" customFormat="false" ht="15" hidden="false" customHeight="false" outlineLevel="0" collapsed="false">
      <c r="A552" s="9" t="n">
        <v>218</v>
      </c>
      <c r="B552" s="9" t="s">
        <v>1710</v>
      </c>
      <c r="C552" s="10" t="s">
        <v>1711</v>
      </c>
      <c r="D552" s="9" t="s">
        <v>1712</v>
      </c>
      <c r="E552" s="10" t="s">
        <v>27</v>
      </c>
      <c r="F552" s="9" t="s">
        <v>1709</v>
      </c>
      <c r="G552" s="9" t="s">
        <v>1713</v>
      </c>
    </row>
    <row r="553" customFormat="false" ht="15" hidden="false" customHeight="false" outlineLevel="0" collapsed="false">
      <c r="A553" s="9" t="n">
        <v>218</v>
      </c>
      <c r="B553" s="9" t="s">
        <v>1710</v>
      </c>
      <c r="C553" s="10" t="s">
        <v>1714</v>
      </c>
      <c r="D553" s="9" t="s">
        <v>1715</v>
      </c>
      <c r="E553" s="10" t="s">
        <v>26</v>
      </c>
      <c r="F553" s="9" t="s">
        <v>1709</v>
      </c>
      <c r="G553" s="9" t="s">
        <v>1715</v>
      </c>
    </row>
    <row r="554" customFormat="false" ht="15" hidden="false" customHeight="false" outlineLevel="0" collapsed="false">
      <c r="A554" s="9" t="n">
        <v>219</v>
      </c>
      <c r="B554" s="9" t="s">
        <v>1716</v>
      </c>
      <c r="C554" s="10" t="s">
        <v>1717</v>
      </c>
      <c r="D554" s="9" t="s">
        <v>1718</v>
      </c>
      <c r="E554" s="10" t="s">
        <v>24</v>
      </c>
      <c r="F554" s="9" t="s">
        <v>1709</v>
      </c>
      <c r="G554" s="9" t="s">
        <v>1718</v>
      </c>
    </row>
    <row r="555" customFormat="false" ht="15" hidden="false" customHeight="false" outlineLevel="0" collapsed="false">
      <c r="A555" s="9" t="n">
        <v>220</v>
      </c>
      <c r="B555" s="9" t="s">
        <v>1719</v>
      </c>
      <c r="C555" s="10" t="s">
        <v>1720</v>
      </c>
      <c r="D555" s="9" t="s">
        <v>1721</v>
      </c>
      <c r="E555" s="10" t="s">
        <v>24</v>
      </c>
      <c r="F555" s="9" t="s">
        <v>1709</v>
      </c>
      <c r="G555" s="9"/>
    </row>
    <row r="556" customFormat="false" ht="15" hidden="false" customHeight="false" outlineLevel="0" collapsed="false">
      <c r="A556" s="9" t="n">
        <v>220</v>
      </c>
      <c r="B556" s="9" t="s">
        <v>1719</v>
      </c>
      <c r="C556" s="10" t="s">
        <v>1722</v>
      </c>
      <c r="D556" s="9" t="s">
        <v>1723</v>
      </c>
      <c r="E556" s="10" t="s">
        <v>24</v>
      </c>
      <c r="F556" s="9" t="s">
        <v>1709</v>
      </c>
      <c r="G556" s="9"/>
    </row>
    <row r="557" customFormat="false" ht="15" hidden="false" customHeight="false" outlineLevel="0" collapsed="false">
      <c r="A557" s="9" t="n">
        <v>220</v>
      </c>
      <c r="B557" s="9" t="s">
        <v>1719</v>
      </c>
      <c r="C557" s="10" t="s">
        <v>1724</v>
      </c>
      <c r="D557" s="9" t="s">
        <v>1725</v>
      </c>
      <c r="E557" s="10" t="s">
        <v>24</v>
      </c>
      <c r="F557" s="9" t="s">
        <v>1709</v>
      </c>
      <c r="G557" s="9"/>
    </row>
    <row r="558" customFormat="false" ht="15" hidden="false" customHeight="false" outlineLevel="0" collapsed="false">
      <c r="A558" s="9" t="n">
        <v>221</v>
      </c>
      <c r="B558" s="9" t="s">
        <v>1726</v>
      </c>
      <c r="C558" s="10" t="s">
        <v>1727</v>
      </c>
      <c r="D558" s="9" t="s">
        <v>1726</v>
      </c>
      <c r="E558" s="10" t="s">
        <v>24</v>
      </c>
      <c r="F558" s="9" t="s">
        <v>1709</v>
      </c>
      <c r="G558" s="9" t="s">
        <v>1726</v>
      </c>
    </row>
    <row r="559" customFormat="false" ht="15" hidden="false" customHeight="false" outlineLevel="0" collapsed="false">
      <c r="A559" s="9" t="n">
        <v>222</v>
      </c>
      <c r="B559" s="9" t="s">
        <v>1642</v>
      </c>
      <c r="C559" s="10" t="s">
        <v>1728</v>
      </c>
      <c r="D559" s="9" t="s">
        <v>1644</v>
      </c>
      <c r="E559" s="10" t="s">
        <v>24</v>
      </c>
      <c r="F559" s="9" t="s">
        <v>1709</v>
      </c>
      <c r="G559" s="9"/>
    </row>
    <row r="560" customFormat="false" ht="15" hidden="false" customHeight="false" outlineLevel="0" collapsed="false">
      <c r="A560" s="9" t="n">
        <v>222</v>
      </c>
      <c r="B560" s="9" t="s">
        <v>1642</v>
      </c>
      <c r="C560" s="10" t="s">
        <v>1729</v>
      </c>
      <c r="D560" s="9" t="s">
        <v>1730</v>
      </c>
      <c r="E560" s="10" t="s">
        <v>24</v>
      </c>
      <c r="F560" s="9" t="s">
        <v>1709</v>
      </c>
      <c r="G560" s="9"/>
    </row>
    <row r="561" customFormat="false" ht="15" hidden="false" customHeight="false" outlineLevel="0" collapsed="false">
      <c r="A561" s="9" t="n">
        <v>223</v>
      </c>
      <c r="B561" s="9" t="s">
        <v>1731</v>
      </c>
      <c r="C561" s="10" t="s">
        <v>1732</v>
      </c>
      <c r="D561" s="9" t="s">
        <v>1733</v>
      </c>
      <c r="E561" s="10" t="s">
        <v>24</v>
      </c>
      <c r="F561" s="9" t="s">
        <v>1709</v>
      </c>
      <c r="G561" s="9"/>
    </row>
    <row r="562" customFormat="false" ht="15" hidden="false" customHeight="false" outlineLevel="0" collapsed="false">
      <c r="A562" s="9" t="n">
        <v>223</v>
      </c>
      <c r="B562" s="9" t="s">
        <v>1731</v>
      </c>
      <c r="C562" s="10" t="s">
        <v>1734</v>
      </c>
      <c r="D562" s="9" t="s">
        <v>1735</v>
      </c>
      <c r="E562" s="10" t="s">
        <v>24</v>
      </c>
      <c r="F562" s="9" t="s">
        <v>1709</v>
      </c>
      <c r="G562" s="9"/>
    </row>
    <row r="563" customFormat="false" ht="15" hidden="false" customHeight="false" outlineLevel="0" collapsed="false">
      <c r="A563" s="9" t="n">
        <v>224</v>
      </c>
      <c r="B563" s="9" t="s">
        <v>1736</v>
      </c>
      <c r="C563" s="10" t="s">
        <v>1737</v>
      </c>
      <c r="D563" s="9" t="s">
        <v>1738</v>
      </c>
      <c r="E563" s="10" t="s">
        <v>27</v>
      </c>
      <c r="F563" s="9" t="s">
        <v>1709</v>
      </c>
      <c r="G563" s="9"/>
    </row>
    <row r="564" customFormat="false" ht="15" hidden="false" customHeight="false" outlineLevel="0" collapsed="false">
      <c r="A564" s="9" t="n">
        <v>224</v>
      </c>
      <c r="B564" s="9" t="s">
        <v>1736</v>
      </c>
      <c r="C564" s="10" t="s">
        <v>1739</v>
      </c>
      <c r="D564" s="9" t="s">
        <v>1740</v>
      </c>
      <c r="E564" s="10" t="s">
        <v>27</v>
      </c>
      <c r="F564" s="9" t="s">
        <v>1709</v>
      </c>
      <c r="G564" s="9"/>
    </row>
    <row r="565" customFormat="false" ht="15" hidden="false" customHeight="false" outlineLevel="0" collapsed="false">
      <c r="A565" s="9" t="n">
        <v>224</v>
      </c>
      <c r="B565" s="9" t="s">
        <v>1736</v>
      </c>
      <c r="C565" s="10" t="s">
        <v>1741</v>
      </c>
      <c r="D565" s="9" t="s">
        <v>1742</v>
      </c>
      <c r="E565" s="10" t="s">
        <v>24</v>
      </c>
      <c r="F565" s="9" t="s">
        <v>1709</v>
      </c>
      <c r="G565" s="9" t="s">
        <v>1742</v>
      </c>
    </row>
    <row r="566" customFormat="false" ht="15" hidden="false" customHeight="false" outlineLevel="0" collapsed="false">
      <c r="A566" s="9" t="n">
        <v>225</v>
      </c>
      <c r="B566" s="9" t="s">
        <v>1743</v>
      </c>
      <c r="C566" s="10" t="s">
        <v>1744</v>
      </c>
      <c r="D566" s="9" t="s">
        <v>1745</v>
      </c>
      <c r="E566" s="10" t="s">
        <v>27</v>
      </c>
      <c r="F566" s="9" t="s">
        <v>1709</v>
      </c>
      <c r="G566" s="9"/>
    </row>
    <row r="567" customFormat="false" ht="15" hidden="false" customHeight="false" outlineLevel="0" collapsed="false">
      <c r="A567" s="9" t="n">
        <v>225</v>
      </c>
      <c r="B567" s="9" t="s">
        <v>1743</v>
      </c>
      <c r="C567" s="10" t="s">
        <v>1746</v>
      </c>
      <c r="D567" s="9" t="s">
        <v>1747</v>
      </c>
      <c r="E567" s="10" t="s">
        <v>27</v>
      </c>
      <c r="F567" s="9" t="s">
        <v>1709</v>
      </c>
      <c r="G567" s="9"/>
    </row>
    <row r="568" customFormat="false" ht="15" hidden="false" customHeight="false" outlineLevel="0" collapsed="false">
      <c r="A568" s="9" t="n">
        <v>225</v>
      </c>
      <c r="B568" s="9" t="s">
        <v>1743</v>
      </c>
      <c r="C568" s="10" t="s">
        <v>1748</v>
      </c>
      <c r="D568" s="9" t="s">
        <v>1749</v>
      </c>
      <c r="E568" s="10" t="s">
        <v>29</v>
      </c>
      <c r="F568" s="9" t="s">
        <v>1709</v>
      </c>
      <c r="G568" s="9" t="s">
        <v>1750</v>
      </c>
    </row>
    <row r="569" customFormat="false" ht="15" hidden="false" customHeight="false" outlineLevel="0" collapsed="false">
      <c r="A569" s="9" t="n">
        <v>226</v>
      </c>
      <c r="B569" s="9" t="s">
        <v>1751</v>
      </c>
      <c r="C569" s="10" t="s">
        <v>1752</v>
      </c>
      <c r="D569" s="9" t="s">
        <v>1753</v>
      </c>
      <c r="E569" s="10" t="s">
        <v>27</v>
      </c>
      <c r="F569" s="9" t="s">
        <v>1709</v>
      </c>
      <c r="G569" s="9" t="s">
        <v>1754</v>
      </c>
    </row>
    <row r="570" customFormat="false" ht="15" hidden="false" customHeight="false" outlineLevel="0" collapsed="false">
      <c r="A570" s="9" t="n">
        <v>226</v>
      </c>
      <c r="B570" s="9" t="s">
        <v>1751</v>
      </c>
      <c r="C570" s="10" t="s">
        <v>1755</v>
      </c>
      <c r="D570" s="9" t="s">
        <v>1756</v>
      </c>
      <c r="E570" s="10" t="s">
        <v>24</v>
      </c>
      <c r="F570" s="9" t="s">
        <v>1709</v>
      </c>
      <c r="G570" s="9" t="s">
        <v>1757</v>
      </c>
    </row>
    <row r="571" customFormat="false" ht="15" hidden="false" customHeight="false" outlineLevel="0" collapsed="false">
      <c r="A571" s="9" t="n">
        <v>227</v>
      </c>
      <c r="B571" s="9" t="s">
        <v>1695</v>
      </c>
      <c r="C571" s="10" t="s">
        <v>1758</v>
      </c>
      <c r="D571" s="9" t="s">
        <v>1695</v>
      </c>
      <c r="E571" s="10" t="s">
        <v>24</v>
      </c>
      <c r="F571" s="9" t="s">
        <v>1709</v>
      </c>
      <c r="G571" s="9" t="s">
        <v>1695</v>
      </c>
    </row>
    <row r="572" customFormat="false" ht="15" hidden="false" customHeight="false" outlineLevel="0" collapsed="false">
      <c r="A572" s="9" t="n">
        <v>228</v>
      </c>
      <c r="B572" s="9" t="s">
        <v>1759</v>
      </c>
      <c r="C572" s="10" t="s">
        <v>1760</v>
      </c>
      <c r="D572" s="9" t="s">
        <v>1761</v>
      </c>
      <c r="E572" s="10" t="s">
        <v>29</v>
      </c>
      <c r="F572" s="9" t="s">
        <v>1762</v>
      </c>
      <c r="G572" s="9"/>
    </row>
    <row r="573" customFormat="false" ht="15" hidden="false" customHeight="false" outlineLevel="0" collapsed="false">
      <c r="A573" s="9" t="n">
        <v>228</v>
      </c>
      <c r="B573" s="9" t="s">
        <v>1759</v>
      </c>
      <c r="C573" s="10" t="s">
        <v>1763</v>
      </c>
      <c r="D573" s="9" t="s">
        <v>1764</v>
      </c>
      <c r="E573" s="10" t="s">
        <v>29</v>
      </c>
      <c r="F573" s="9" t="s">
        <v>1762</v>
      </c>
      <c r="G573" s="9"/>
    </row>
    <row r="574" customFormat="false" ht="15" hidden="false" customHeight="false" outlineLevel="0" collapsed="false">
      <c r="A574" s="9" t="n">
        <v>229</v>
      </c>
      <c r="B574" s="9" t="s">
        <v>1765</v>
      </c>
      <c r="C574" s="10" t="s">
        <v>1766</v>
      </c>
      <c r="D574" s="9" t="s">
        <v>1767</v>
      </c>
      <c r="E574" s="10" t="s">
        <v>25</v>
      </c>
      <c r="F574" s="9" t="s">
        <v>1762</v>
      </c>
      <c r="G574" s="9"/>
    </row>
    <row r="575" customFormat="false" ht="15" hidden="false" customHeight="false" outlineLevel="0" collapsed="false">
      <c r="A575" s="9" t="n">
        <v>229</v>
      </c>
      <c r="B575" s="9" t="s">
        <v>1765</v>
      </c>
      <c r="C575" s="10" t="s">
        <v>1768</v>
      </c>
      <c r="D575" s="9" t="s">
        <v>1769</v>
      </c>
      <c r="E575" s="10" t="s">
        <v>25</v>
      </c>
      <c r="F575" s="9" t="s">
        <v>1762</v>
      </c>
      <c r="G575" s="9"/>
    </row>
    <row r="576" customFormat="false" ht="15" hidden="false" customHeight="false" outlineLevel="0" collapsed="false">
      <c r="A576" s="9" t="n">
        <v>230</v>
      </c>
      <c r="B576" s="9" t="s">
        <v>1770</v>
      </c>
      <c r="C576" s="10" t="s">
        <v>1771</v>
      </c>
      <c r="D576" s="9" t="s">
        <v>1772</v>
      </c>
      <c r="E576" s="10" t="s">
        <v>25</v>
      </c>
      <c r="F576" s="9" t="s">
        <v>1762</v>
      </c>
      <c r="G576" s="9"/>
    </row>
    <row r="577" customFormat="false" ht="15" hidden="false" customHeight="false" outlineLevel="0" collapsed="false">
      <c r="A577" s="9" t="n">
        <v>230</v>
      </c>
      <c r="B577" s="9" t="s">
        <v>1770</v>
      </c>
      <c r="C577" s="10" t="s">
        <v>1773</v>
      </c>
      <c r="D577" s="9" t="s">
        <v>1774</v>
      </c>
      <c r="E577" s="10" t="s">
        <v>25</v>
      </c>
      <c r="F577" s="9" t="s">
        <v>1762</v>
      </c>
      <c r="G577" s="9"/>
    </row>
    <row r="578" customFormat="false" ht="15" hidden="false" customHeight="false" outlineLevel="0" collapsed="false">
      <c r="A578" s="9" t="n">
        <v>231</v>
      </c>
      <c r="B578" s="9" t="s">
        <v>1775</v>
      </c>
      <c r="C578" s="10" t="s">
        <v>1776</v>
      </c>
      <c r="D578" s="9" t="s">
        <v>1777</v>
      </c>
      <c r="E578" s="10" t="s">
        <v>29</v>
      </c>
      <c r="F578" s="9" t="s">
        <v>1762</v>
      </c>
      <c r="G578" s="9"/>
    </row>
    <row r="579" customFormat="false" ht="15" hidden="false" customHeight="false" outlineLevel="0" collapsed="false">
      <c r="A579" s="9" t="n">
        <v>231</v>
      </c>
      <c r="B579" s="9" t="s">
        <v>1775</v>
      </c>
      <c r="C579" s="10" t="s">
        <v>1778</v>
      </c>
      <c r="D579" s="9" t="s">
        <v>1779</v>
      </c>
      <c r="E579" s="10" t="s">
        <v>29</v>
      </c>
      <c r="F579" s="9" t="s">
        <v>1762</v>
      </c>
      <c r="G579" s="9"/>
    </row>
    <row r="580" customFormat="false" ht="15" hidden="false" customHeight="false" outlineLevel="0" collapsed="false">
      <c r="A580" s="9" t="n">
        <v>232</v>
      </c>
      <c r="B580" s="9" t="s">
        <v>1780</v>
      </c>
      <c r="C580" s="10" t="s">
        <v>1781</v>
      </c>
      <c r="D580" s="9" t="s">
        <v>1782</v>
      </c>
      <c r="E580" s="10" t="s">
        <v>25</v>
      </c>
      <c r="F580" s="9" t="s">
        <v>1762</v>
      </c>
      <c r="G580" s="9"/>
    </row>
    <row r="581" customFormat="false" ht="15" hidden="false" customHeight="false" outlineLevel="0" collapsed="false">
      <c r="A581" s="9" t="n">
        <v>232</v>
      </c>
      <c r="B581" s="9" t="s">
        <v>1780</v>
      </c>
      <c r="C581" s="10" t="s">
        <v>1783</v>
      </c>
      <c r="D581" s="9" t="s">
        <v>1784</v>
      </c>
      <c r="E581" s="10" t="s">
        <v>25</v>
      </c>
      <c r="F581" s="9" t="s">
        <v>1762</v>
      </c>
      <c r="G581" s="9"/>
    </row>
    <row r="582" customFormat="false" ht="15" hidden="false" customHeight="false" outlineLevel="0" collapsed="false">
      <c r="A582" s="9" t="n">
        <v>233</v>
      </c>
      <c r="B582" s="9" t="s">
        <v>1785</v>
      </c>
      <c r="C582" s="10" t="s">
        <v>1786</v>
      </c>
      <c r="D582" s="9" t="s">
        <v>1787</v>
      </c>
      <c r="E582" s="10" t="s">
        <v>25</v>
      </c>
      <c r="F582" s="9" t="s">
        <v>1762</v>
      </c>
      <c r="G582" s="9"/>
    </row>
    <row r="583" customFormat="false" ht="15" hidden="false" customHeight="false" outlineLevel="0" collapsed="false">
      <c r="A583" s="9" t="n">
        <v>233</v>
      </c>
      <c r="B583" s="9" t="s">
        <v>1785</v>
      </c>
      <c r="C583" s="10" t="s">
        <v>1788</v>
      </c>
      <c r="D583" s="9" t="s">
        <v>1789</v>
      </c>
      <c r="E583" s="10" t="s">
        <v>25</v>
      </c>
      <c r="F583" s="9" t="s">
        <v>1762</v>
      </c>
      <c r="G583" s="9"/>
    </row>
    <row r="584" customFormat="false" ht="26.85" hidden="false" customHeight="false" outlineLevel="0" collapsed="false">
      <c r="A584" s="9" t="n">
        <v>234</v>
      </c>
      <c r="B584" s="9" t="s">
        <v>1790</v>
      </c>
      <c r="C584" s="10" t="s">
        <v>1791</v>
      </c>
      <c r="D584" s="9" t="s">
        <v>1792</v>
      </c>
      <c r="E584" s="10" t="s">
        <v>28</v>
      </c>
      <c r="F584" s="9" t="s">
        <v>1762</v>
      </c>
      <c r="G584" s="9"/>
    </row>
    <row r="585" customFormat="false" ht="26.85" hidden="false" customHeight="false" outlineLevel="0" collapsed="false">
      <c r="A585" s="9" t="n">
        <v>234</v>
      </c>
      <c r="B585" s="9" t="s">
        <v>1790</v>
      </c>
      <c r="C585" s="10" t="s">
        <v>1793</v>
      </c>
      <c r="D585" s="9" t="s">
        <v>1794</v>
      </c>
      <c r="E585" s="10" t="s">
        <v>28</v>
      </c>
      <c r="F585" s="9" t="s">
        <v>1762</v>
      </c>
      <c r="G585" s="9"/>
    </row>
    <row r="586" customFormat="false" ht="25.35" hidden="false" customHeight="false" outlineLevel="0" collapsed="false">
      <c r="A586" s="9" t="n">
        <v>235</v>
      </c>
      <c r="B586" s="9" t="s">
        <v>1795</v>
      </c>
      <c r="C586" s="10" t="s">
        <v>1796</v>
      </c>
      <c r="D586" s="9" t="s">
        <v>1797</v>
      </c>
      <c r="E586" s="10" t="s">
        <v>24</v>
      </c>
      <c r="F586" s="9" t="s">
        <v>1762</v>
      </c>
      <c r="G586" s="9"/>
    </row>
    <row r="587" customFormat="false" ht="25.35" hidden="false" customHeight="false" outlineLevel="0" collapsed="false">
      <c r="A587" s="9" t="n">
        <v>235</v>
      </c>
      <c r="B587" s="9" t="s">
        <v>1795</v>
      </c>
      <c r="C587" s="10" t="s">
        <v>1798</v>
      </c>
      <c r="D587" s="9" t="s">
        <v>1799</v>
      </c>
      <c r="E587" s="10" t="s">
        <v>24</v>
      </c>
      <c r="F587" s="9" t="s">
        <v>1762</v>
      </c>
      <c r="G587" s="9"/>
    </row>
    <row r="588" customFormat="false" ht="15" hidden="false" customHeight="false" outlineLevel="0" collapsed="false">
      <c r="A588" s="9" t="n">
        <v>236</v>
      </c>
      <c r="B588" s="9" t="s">
        <v>1800</v>
      </c>
      <c r="C588" s="10" t="s">
        <v>1801</v>
      </c>
      <c r="D588" s="9" t="s">
        <v>1802</v>
      </c>
      <c r="E588" s="10" t="s">
        <v>24</v>
      </c>
      <c r="F588" s="9" t="s">
        <v>1762</v>
      </c>
      <c r="G588" s="9"/>
    </row>
    <row r="589" customFormat="false" ht="15" hidden="false" customHeight="false" outlineLevel="0" collapsed="false">
      <c r="A589" s="9" t="n">
        <v>236</v>
      </c>
      <c r="B589" s="9" t="s">
        <v>1800</v>
      </c>
      <c r="C589" s="10" t="s">
        <v>1803</v>
      </c>
      <c r="D589" s="9" t="s">
        <v>1804</v>
      </c>
      <c r="E589" s="10" t="s">
        <v>24</v>
      </c>
      <c r="F589" s="9" t="s">
        <v>1762</v>
      </c>
      <c r="G589" s="9"/>
    </row>
    <row r="590" customFormat="false" ht="15" hidden="false" customHeight="false" outlineLevel="0" collapsed="false">
      <c r="A590" s="9" t="n">
        <v>237</v>
      </c>
      <c r="B590" s="9" t="s">
        <v>1805</v>
      </c>
      <c r="C590" s="10" t="s">
        <v>1806</v>
      </c>
      <c r="D590" s="9" t="s">
        <v>1807</v>
      </c>
      <c r="E590" s="10" t="s">
        <v>24</v>
      </c>
      <c r="F590" s="9" t="s">
        <v>1762</v>
      </c>
      <c r="G590" s="9"/>
    </row>
    <row r="591" customFormat="false" ht="15" hidden="false" customHeight="false" outlineLevel="0" collapsed="false">
      <c r="A591" s="9" t="n">
        <v>237</v>
      </c>
      <c r="B591" s="9" t="s">
        <v>1805</v>
      </c>
      <c r="C591" s="10" t="s">
        <v>1808</v>
      </c>
      <c r="D591" s="9" t="s">
        <v>1809</v>
      </c>
      <c r="E591" s="10" t="s">
        <v>24</v>
      </c>
      <c r="F591" s="9" t="s">
        <v>1762</v>
      </c>
      <c r="G591" s="9"/>
    </row>
    <row r="592" customFormat="false" ht="15" hidden="false" customHeight="false" outlineLevel="0" collapsed="false">
      <c r="A592" s="9" t="n">
        <v>238</v>
      </c>
      <c r="B592" s="9" t="s">
        <v>1810</v>
      </c>
      <c r="C592" s="10" t="s">
        <v>1811</v>
      </c>
      <c r="D592" s="9" t="s">
        <v>1812</v>
      </c>
      <c r="E592" s="10" t="s">
        <v>24</v>
      </c>
      <c r="F592" s="9" t="s">
        <v>1762</v>
      </c>
      <c r="G592" s="9" t="s">
        <v>1813</v>
      </c>
    </row>
    <row r="593" customFormat="false" ht="39.55" hidden="false" customHeight="false" outlineLevel="0" collapsed="false">
      <c r="A593" s="9" t="n">
        <v>239</v>
      </c>
      <c r="B593" s="9" t="s">
        <v>1814</v>
      </c>
      <c r="C593" s="10" t="s">
        <v>1815</v>
      </c>
      <c r="D593" s="9" t="s">
        <v>1816</v>
      </c>
      <c r="E593" s="10" t="s">
        <v>24</v>
      </c>
      <c r="F593" s="9" t="s">
        <v>1762</v>
      </c>
      <c r="G593" s="9" t="s">
        <v>1817</v>
      </c>
    </row>
    <row r="594" customFormat="false" ht="15" hidden="false" customHeight="false" outlineLevel="0" collapsed="false">
      <c r="A594" s="9" t="n">
        <v>240</v>
      </c>
      <c r="B594" s="9" t="s">
        <v>1818</v>
      </c>
      <c r="C594" s="10" t="s">
        <v>1819</v>
      </c>
      <c r="D594" s="9" t="s">
        <v>1820</v>
      </c>
      <c r="E594" s="10" t="s">
        <v>24</v>
      </c>
      <c r="F594" s="9" t="s">
        <v>1762</v>
      </c>
      <c r="G594" s="9" t="s">
        <v>1821</v>
      </c>
    </row>
    <row r="595" customFormat="false" ht="15" hidden="false" customHeight="false" outlineLevel="0" collapsed="false">
      <c r="A595" s="9" t="n">
        <v>241</v>
      </c>
      <c r="B595" s="9" t="s">
        <v>1822</v>
      </c>
      <c r="C595" s="10" t="s">
        <v>1823</v>
      </c>
      <c r="D595" s="9" t="s">
        <v>1824</v>
      </c>
      <c r="E595" s="10" t="s">
        <v>24</v>
      </c>
      <c r="F595" s="9" t="s">
        <v>1762</v>
      </c>
      <c r="G595" s="9" t="s">
        <v>1824</v>
      </c>
    </row>
    <row r="596" customFormat="false" ht="15" hidden="false" customHeight="false" outlineLevel="0" collapsed="false">
      <c r="A596" s="9" t="n">
        <v>242</v>
      </c>
      <c r="B596" s="9" t="s">
        <v>1825</v>
      </c>
      <c r="C596" s="10" t="s">
        <v>1826</v>
      </c>
      <c r="D596" s="9" t="s">
        <v>1827</v>
      </c>
      <c r="E596" s="10" t="s">
        <v>24</v>
      </c>
      <c r="F596" s="9" t="s">
        <v>1762</v>
      </c>
      <c r="G596" s="9"/>
    </row>
    <row r="597" customFormat="false" ht="15" hidden="false" customHeight="false" outlineLevel="0" collapsed="false">
      <c r="A597" s="9" t="n">
        <v>242</v>
      </c>
      <c r="B597" s="9" t="s">
        <v>1825</v>
      </c>
      <c r="C597" s="10" t="s">
        <v>1828</v>
      </c>
      <c r="D597" s="9" t="s">
        <v>1829</v>
      </c>
      <c r="E597" s="10" t="s">
        <v>24</v>
      </c>
      <c r="F597" s="9" t="s">
        <v>1762</v>
      </c>
      <c r="G597" s="9"/>
    </row>
    <row r="598" customFormat="false" ht="15" hidden="false" customHeight="false" outlineLevel="0" collapsed="false">
      <c r="A598" s="9" t="n">
        <v>243</v>
      </c>
      <c r="B598" s="9" t="s">
        <v>1830</v>
      </c>
      <c r="C598" s="10" t="s">
        <v>1831</v>
      </c>
      <c r="D598" s="9" t="s">
        <v>1832</v>
      </c>
      <c r="E598" s="10" t="s">
        <v>25</v>
      </c>
      <c r="F598" s="9" t="s">
        <v>1762</v>
      </c>
      <c r="G598" s="9" t="s">
        <v>1833</v>
      </c>
    </row>
    <row r="599" customFormat="false" ht="15" hidden="false" customHeight="false" outlineLevel="0" collapsed="false">
      <c r="A599" s="9" t="n">
        <v>244</v>
      </c>
      <c r="B599" s="9" t="s">
        <v>1834</v>
      </c>
      <c r="C599" s="10" t="s">
        <v>1835</v>
      </c>
      <c r="D599" s="9" t="s">
        <v>1836</v>
      </c>
      <c r="E599" s="10" t="s">
        <v>24</v>
      </c>
      <c r="F599" s="9" t="s">
        <v>1837</v>
      </c>
      <c r="G599" s="9"/>
    </row>
    <row r="600" customFormat="false" ht="15" hidden="false" customHeight="false" outlineLevel="0" collapsed="false">
      <c r="A600" s="9" t="n">
        <v>244</v>
      </c>
      <c r="B600" s="9" t="s">
        <v>1834</v>
      </c>
      <c r="C600" s="10" t="s">
        <v>1838</v>
      </c>
      <c r="D600" s="9" t="s">
        <v>1839</v>
      </c>
      <c r="E600" s="10" t="s">
        <v>24</v>
      </c>
      <c r="F600" s="9" t="s">
        <v>1837</v>
      </c>
      <c r="G600" s="9"/>
    </row>
    <row r="601" customFormat="false" ht="15" hidden="false" customHeight="false" outlineLevel="0" collapsed="false">
      <c r="A601" s="9" t="n">
        <v>244</v>
      </c>
      <c r="B601" s="9" t="s">
        <v>1834</v>
      </c>
      <c r="C601" s="10" t="s">
        <v>1840</v>
      </c>
      <c r="D601" s="9" t="s">
        <v>1841</v>
      </c>
      <c r="E601" s="10" t="s">
        <v>24</v>
      </c>
      <c r="F601" s="9" t="s">
        <v>1837</v>
      </c>
      <c r="G601" s="9"/>
    </row>
    <row r="602" customFormat="false" ht="15" hidden="false" customHeight="false" outlineLevel="0" collapsed="false">
      <c r="A602" s="9" t="n">
        <v>245</v>
      </c>
      <c r="B602" s="9" t="s">
        <v>1842</v>
      </c>
      <c r="C602" s="10" t="s">
        <v>1843</v>
      </c>
      <c r="D602" s="9" t="s">
        <v>1844</v>
      </c>
      <c r="E602" s="10" t="s">
        <v>24</v>
      </c>
      <c r="F602" s="9" t="s">
        <v>1837</v>
      </c>
      <c r="G602" s="9"/>
    </row>
    <row r="603" customFormat="false" ht="15" hidden="false" customHeight="false" outlineLevel="0" collapsed="false">
      <c r="A603" s="9" t="n">
        <v>245</v>
      </c>
      <c r="B603" s="9" t="s">
        <v>1842</v>
      </c>
      <c r="C603" s="10" t="s">
        <v>1845</v>
      </c>
      <c r="D603" s="9" t="s">
        <v>1846</v>
      </c>
      <c r="E603" s="10" t="s">
        <v>24</v>
      </c>
      <c r="F603" s="9" t="s">
        <v>1837</v>
      </c>
      <c r="G603" s="9"/>
    </row>
    <row r="604" customFormat="false" ht="15" hidden="false" customHeight="false" outlineLevel="0" collapsed="false">
      <c r="A604" s="9" t="n">
        <v>245</v>
      </c>
      <c r="B604" s="9" t="s">
        <v>1842</v>
      </c>
      <c r="C604" s="10" t="s">
        <v>1847</v>
      </c>
      <c r="D604" s="9" t="s">
        <v>1848</v>
      </c>
      <c r="E604" s="10" t="s">
        <v>24</v>
      </c>
      <c r="F604" s="9" t="s">
        <v>1837</v>
      </c>
      <c r="G604" s="9"/>
    </row>
    <row r="605" customFormat="false" ht="15" hidden="false" customHeight="false" outlineLevel="0" collapsed="false">
      <c r="A605" s="9" t="n">
        <v>246</v>
      </c>
      <c r="B605" s="9" t="s">
        <v>1849</v>
      </c>
      <c r="C605" s="10" t="s">
        <v>1850</v>
      </c>
      <c r="D605" s="9" t="s">
        <v>1851</v>
      </c>
      <c r="E605" s="10" t="s">
        <v>27</v>
      </c>
      <c r="F605" s="9" t="s">
        <v>1837</v>
      </c>
      <c r="G605" s="9"/>
    </row>
    <row r="606" customFormat="false" ht="15" hidden="false" customHeight="false" outlineLevel="0" collapsed="false">
      <c r="A606" s="9" t="n">
        <v>246</v>
      </c>
      <c r="B606" s="9" t="s">
        <v>1849</v>
      </c>
      <c r="C606" s="10" t="s">
        <v>1852</v>
      </c>
      <c r="D606" s="9" t="s">
        <v>1853</v>
      </c>
      <c r="E606" s="10" t="s">
        <v>27</v>
      </c>
      <c r="F606" s="9" t="s">
        <v>1837</v>
      </c>
      <c r="G606" s="9"/>
    </row>
    <row r="607" customFormat="false" ht="15" hidden="false" customHeight="false" outlineLevel="0" collapsed="false">
      <c r="A607" s="9" t="n">
        <v>247</v>
      </c>
      <c r="B607" s="9" t="s">
        <v>1854</v>
      </c>
      <c r="C607" s="10" t="s">
        <v>1855</v>
      </c>
      <c r="D607" s="9" t="s">
        <v>1856</v>
      </c>
      <c r="E607" s="10" t="s">
        <v>27</v>
      </c>
      <c r="F607" s="9" t="s">
        <v>1837</v>
      </c>
      <c r="G607" s="9"/>
    </row>
    <row r="608" customFormat="false" ht="15" hidden="false" customHeight="false" outlineLevel="0" collapsed="false">
      <c r="A608" s="9" t="n">
        <v>247</v>
      </c>
      <c r="B608" s="9" t="s">
        <v>1854</v>
      </c>
      <c r="C608" s="10" t="s">
        <v>1857</v>
      </c>
      <c r="D608" s="9" t="s">
        <v>1858</v>
      </c>
      <c r="E608" s="10" t="s">
        <v>27</v>
      </c>
      <c r="F608" s="9" t="s">
        <v>1837</v>
      </c>
      <c r="G608" s="9"/>
    </row>
    <row r="609" customFormat="false" ht="15" hidden="false" customHeight="false" outlineLevel="0" collapsed="false">
      <c r="A609" s="9" t="n">
        <v>248</v>
      </c>
      <c r="B609" s="9" t="s">
        <v>1859</v>
      </c>
      <c r="C609" s="10" t="s">
        <v>1860</v>
      </c>
      <c r="D609" s="9" t="s">
        <v>1861</v>
      </c>
      <c r="E609" s="10" t="s">
        <v>24</v>
      </c>
      <c r="F609" s="9" t="s">
        <v>1837</v>
      </c>
      <c r="G609" s="9" t="s">
        <v>1862</v>
      </c>
    </row>
    <row r="610" customFormat="false" ht="15" hidden="false" customHeight="false" outlineLevel="0" collapsed="false">
      <c r="A610" s="9" t="n">
        <v>249</v>
      </c>
      <c r="B610" s="9" t="s">
        <v>1863</v>
      </c>
      <c r="C610" s="10" t="s">
        <v>1864</v>
      </c>
      <c r="D610" s="9" t="s">
        <v>1865</v>
      </c>
      <c r="E610" s="10" t="s">
        <v>24</v>
      </c>
      <c r="F610" s="9" t="s">
        <v>1837</v>
      </c>
      <c r="G610" s="9" t="s">
        <v>1866</v>
      </c>
    </row>
    <row r="611" customFormat="false" ht="15" hidden="false" customHeight="false" outlineLevel="0" collapsed="false">
      <c r="A611" s="9" t="n">
        <v>250</v>
      </c>
      <c r="B611" s="9" t="s">
        <v>1867</v>
      </c>
      <c r="C611" s="10" t="s">
        <v>1868</v>
      </c>
      <c r="D611" s="9" t="s">
        <v>1869</v>
      </c>
      <c r="E611" s="10" t="s">
        <v>24</v>
      </c>
      <c r="F611" s="9" t="s">
        <v>1837</v>
      </c>
      <c r="G611" s="9" t="s">
        <v>1870</v>
      </c>
    </row>
    <row r="612" customFormat="false" ht="15" hidden="false" customHeight="false" outlineLevel="0" collapsed="false">
      <c r="A612" s="9" t="n">
        <v>251</v>
      </c>
      <c r="B612" s="9" t="s">
        <v>1871</v>
      </c>
      <c r="C612" s="10" t="s">
        <v>1872</v>
      </c>
      <c r="D612" s="9" t="s">
        <v>1873</v>
      </c>
      <c r="E612" s="10" t="s">
        <v>25</v>
      </c>
      <c r="F612" s="9" t="s">
        <v>1837</v>
      </c>
      <c r="G612" s="9" t="s">
        <v>1874</v>
      </c>
    </row>
    <row r="613" customFormat="false" ht="15" hidden="false" customHeight="false" outlineLevel="0" collapsed="false">
      <c r="A613" s="9" t="n">
        <v>252</v>
      </c>
      <c r="B613" s="9" t="s">
        <v>1875</v>
      </c>
      <c r="C613" s="10" t="s">
        <v>1876</v>
      </c>
      <c r="D613" s="9" t="s">
        <v>1877</v>
      </c>
      <c r="E613" s="10" t="s">
        <v>27</v>
      </c>
      <c r="F613" s="9" t="s">
        <v>1878</v>
      </c>
      <c r="G613" s="9"/>
    </row>
    <row r="614" customFormat="false" ht="15" hidden="false" customHeight="false" outlineLevel="0" collapsed="false">
      <c r="A614" s="9" t="n">
        <v>252</v>
      </c>
      <c r="B614" s="9" t="s">
        <v>1875</v>
      </c>
      <c r="C614" s="10" t="s">
        <v>1879</v>
      </c>
      <c r="D614" s="9" t="s">
        <v>1880</v>
      </c>
      <c r="E614" s="10" t="s">
        <v>27</v>
      </c>
      <c r="F614" s="9" t="s">
        <v>1878</v>
      </c>
      <c r="G614" s="9"/>
    </row>
    <row r="615" customFormat="false" ht="15" hidden="false" customHeight="false" outlineLevel="0" collapsed="false">
      <c r="A615" s="9" t="n">
        <v>253</v>
      </c>
      <c r="B615" s="9" t="s">
        <v>1881</v>
      </c>
      <c r="C615" s="10" t="s">
        <v>1882</v>
      </c>
      <c r="D615" s="9" t="s">
        <v>1883</v>
      </c>
      <c r="E615" s="10" t="s">
        <v>27</v>
      </c>
      <c r="F615" s="9" t="s">
        <v>1884</v>
      </c>
      <c r="G615" s="9" t="s">
        <v>1885</v>
      </c>
    </row>
    <row r="616" customFormat="false" ht="15" hidden="false" customHeight="false" outlineLevel="0" collapsed="false">
      <c r="A616" s="9" t="n">
        <v>254</v>
      </c>
      <c r="B616" s="9" t="s">
        <v>1886</v>
      </c>
      <c r="C616" s="10" t="s">
        <v>1887</v>
      </c>
      <c r="D616" s="9" t="s">
        <v>1888</v>
      </c>
      <c r="E616" s="10" t="s">
        <v>27</v>
      </c>
      <c r="F616" s="9" t="s">
        <v>1884</v>
      </c>
      <c r="G616" s="9" t="s">
        <v>1889</v>
      </c>
    </row>
    <row r="617" customFormat="false" ht="15" hidden="false" customHeight="false" outlineLevel="0" collapsed="false">
      <c r="A617" s="9" t="n">
        <v>255</v>
      </c>
      <c r="B617" s="9" t="s">
        <v>1890</v>
      </c>
      <c r="C617" s="10" t="s">
        <v>1891</v>
      </c>
      <c r="D617" s="9" t="s">
        <v>1892</v>
      </c>
      <c r="E617" s="10" t="s">
        <v>30</v>
      </c>
      <c r="F617" s="9" t="s">
        <v>1893</v>
      </c>
      <c r="G617" s="9" t="s">
        <v>1894</v>
      </c>
    </row>
    <row r="618" customFormat="false" ht="26.85" hidden="false" customHeight="false" outlineLevel="0" collapsed="false">
      <c r="A618" s="9" t="n">
        <v>256</v>
      </c>
      <c r="B618" s="9" t="s">
        <v>1895</v>
      </c>
      <c r="C618" s="10" t="s">
        <v>1896</v>
      </c>
      <c r="D618" s="9" t="s">
        <v>1897</v>
      </c>
      <c r="E618" s="10" t="s">
        <v>28</v>
      </c>
      <c r="F618" s="9" t="s">
        <v>1893</v>
      </c>
      <c r="G618" s="9" t="s">
        <v>1898</v>
      </c>
    </row>
    <row r="619" customFormat="false" ht="15" hidden="false" customHeight="false" outlineLevel="0" collapsed="false">
      <c r="A619" s="9" t="n">
        <v>257</v>
      </c>
      <c r="B619" s="9" t="s">
        <v>1899</v>
      </c>
      <c r="C619" s="10" t="s">
        <v>1900</v>
      </c>
      <c r="D619" s="9" t="s">
        <v>1901</v>
      </c>
      <c r="E619" s="10" t="s">
        <v>28</v>
      </c>
      <c r="F619" s="9" t="s">
        <v>1893</v>
      </c>
      <c r="G619" s="9" t="s">
        <v>1902</v>
      </c>
    </row>
    <row r="620" customFormat="false" ht="15" hidden="false" customHeight="false" outlineLevel="0" collapsed="false">
      <c r="A620" s="9" t="n">
        <v>258</v>
      </c>
      <c r="B620" s="9" t="s">
        <v>1903</v>
      </c>
      <c r="C620" s="10" t="s">
        <v>1904</v>
      </c>
      <c r="D620" s="9" t="s">
        <v>1905</v>
      </c>
      <c r="E620" s="10" t="s">
        <v>27</v>
      </c>
      <c r="F620" s="9" t="s">
        <v>1893</v>
      </c>
      <c r="G620" s="9" t="s">
        <v>1906</v>
      </c>
    </row>
    <row r="621" customFormat="false" ht="15" hidden="false" customHeight="false" outlineLevel="0" collapsed="false">
      <c r="A621" s="9" t="n">
        <v>259</v>
      </c>
      <c r="B621" s="9" t="s">
        <v>1907</v>
      </c>
      <c r="C621" s="10" t="s">
        <v>1908</v>
      </c>
      <c r="D621" s="9" t="s">
        <v>1909</v>
      </c>
      <c r="E621" s="10" t="s">
        <v>26</v>
      </c>
      <c r="F621" s="9" t="s">
        <v>1910</v>
      </c>
      <c r="G621" s="9" t="s">
        <v>1909</v>
      </c>
    </row>
    <row r="622" customFormat="false" ht="15" hidden="false" customHeight="false" outlineLevel="0" collapsed="false">
      <c r="A622" s="9" t="n">
        <v>259</v>
      </c>
      <c r="B622" s="9" t="s">
        <v>1907</v>
      </c>
      <c r="C622" s="10" t="s">
        <v>1911</v>
      </c>
      <c r="D622" s="9" t="s">
        <v>1912</v>
      </c>
      <c r="E622" s="10" t="s">
        <v>25</v>
      </c>
      <c r="F622" s="9" t="s">
        <v>1910</v>
      </c>
      <c r="G622" s="9" t="s">
        <v>1913</v>
      </c>
    </row>
    <row r="623" customFormat="false" ht="15" hidden="false" customHeight="false" outlineLevel="0" collapsed="false">
      <c r="A623" s="9" t="n">
        <v>260</v>
      </c>
      <c r="B623" s="9" t="s">
        <v>1914</v>
      </c>
      <c r="C623" s="10" t="s">
        <v>1915</v>
      </c>
      <c r="D623" s="9" t="s">
        <v>1916</v>
      </c>
      <c r="E623" s="10" t="s">
        <v>26</v>
      </c>
      <c r="F623" s="9" t="s">
        <v>1910</v>
      </c>
      <c r="G623" s="9" t="s">
        <v>1917</v>
      </c>
    </row>
    <row r="624" customFormat="false" ht="15" hidden="false" customHeight="false" outlineLevel="0" collapsed="false">
      <c r="A624" s="9" t="n">
        <v>260</v>
      </c>
      <c r="B624" s="9" t="s">
        <v>1914</v>
      </c>
      <c r="C624" s="10" t="s">
        <v>1918</v>
      </c>
      <c r="D624" s="9" t="s">
        <v>1919</v>
      </c>
      <c r="E624" s="10" t="s">
        <v>25</v>
      </c>
      <c r="F624" s="9" t="s">
        <v>1910</v>
      </c>
      <c r="G624" s="9" t="s">
        <v>1920</v>
      </c>
    </row>
    <row r="625" customFormat="false" ht="15" hidden="false" customHeight="false" outlineLevel="0" collapsed="false">
      <c r="A625" s="9" t="n">
        <v>261</v>
      </c>
      <c r="B625" s="9" t="s">
        <v>1921</v>
      </c>
      <c r="C625" s="10" t="s">
        <v>1922</v>
      </c>
      <c r="D625" s="9" t="s">
        <v>1923</v>
      </c>
      <c r="E625" s="10" t="s">
        <v>26</v>
      </c>
      <c r="F625" s="9" t="s">
        <v>1910</v>
      </c>
      <c r="G625" s="9" t="s">
        <v>1924</v>
      </c>
    </row>
    <row r="626" customFormat="false" ht="15" hidden="false" customHeight="false" outlineLevel="0" collapsed="false">
      <c r="A626" s="9" t="n">
        <v>262</v>
      </c>
      <c r="B626" s="9" t="s">
        <v>1925</v>
      </c>
      <c r="C626" s="10" t="s">
        <v>1926</v>
      </c>
      <c r="D626" s="9" t="s">
        <v>1927</v>
      </c>
      <c r="E626" s="10" t="s">
        <v>25</v>
      </c>
      <c r="F626" s="9" t="s">
        <v>1910</v>
      </c>
      <c r="G626" s="9" t="s">
        <v>1928</v>
      </c>
    </row>
    <row r="627" customFormat="false" ht="15" hidden="false" customHeight="false" outlineLevel="0" collapsed="false">
      <c r="A627" s="9" t="n">
        <v>262</v>
      </c>
      <c r="B627" s="9" t="s">
        <v>1925</v>
      </c>
      <c r="C627" s="10" t="s">
        <v>1929</v>
      </c>
      <c r="D627" s="9" t="s">
        <v>1930</v>
      </c>
      <c r="E627" s="10" t="s">
        <v>24</v>
      </c>
      <c r="F627" s="9" t="s">
        <v>1910</v>
      </c>
      <c r="G627" s="9" t="s">
        <v>1930</v>
      </c>
    </row>
    <row r="628" customFormat="false" ht="15" hidden="false" customHeight="false" outlineLevel="0" collapsed="false">
      <c r="A628" s="9" t="n">
        <v>263</v>
      </c>
      <c r="B628" s="9" t="s">
        <v>1931</v>
      </c>
      <c r="C628" s="10" t="s">
        <v>1932</v>
      </c>
      <c r="D628" s="9" t="s">
        <v>1933</v>
      </c>
      <c r="E628" s="10" t="s">
        <v>25</v>
      </c>
      <c r="F628" s="9" t="s">
        <v>1910</v>
      </c>
      <c r="G628" s="9" t="s">
        <v>1934</v>
      </c>
    </row>
    <row r="629" customFormat="false" ht="15" hidden="false" customHeight="false" outlineLevel="0" collapsed="false">
      <c r="A629" s="9" t="n">
        <v>263</v>
      </c>
      <c r="B629" s="9" t="s">
        <v>1931</v>
      </c>
      <c r="C629" s="10" t="s">
        <v>1935</v>
      </c>
      <c r="D629" s="9" t="s">
        <v>1936</v>
      </c>
      <c r="E629" s="10" t="s">
        <v>24</v>
      </c>
      <c r="F629" s="9" t="s">
        <v>1910</v>
      </c>
      <c r="G629" s="9" t="s">
        <v>1937</v>
      </c>
    </row>
    <row r="630" customFormat="false" ht="15" hidden="false" customHeight="false" outlineLevel="0" collapsed="false">
      <c r="A630" s="9" t="n">
        <v>264</v>
      </c>
      <c r="B630" s="9" t="s">
        <v>1938</v>
      </c>
      <c r="C630" s="10" t="s">
        <v>1939</v>
      </c>
      <c r="D630" s="9" t="s">
        <v>1940</v>
      </c>
      <c r="E630" s="10" t="s">
        <v>24</v>
      </c>
      <c r="F630" s="9" t="s">
        <v>1910</v>
      </c>
      <c r="G630" s="9" t="s">
        <v>1941</v>
      </c>
    </row>
    <row r="631" customFormat="false" ht="15" hidden="false" customHeight="false" outlineLevel="0" collapsed="false">
      <c r="A631" s="9" t="n">
        <v>265</v>
      </c>
      <c r="B631" s="9" t="s">
        <v>1942</v>
      </c>
      <c r="C631" s="10" t="s">
        <v>1943</v>
      </c>
      <c r="D631" s="9" t="s">
        <v>1944</v>
      </c>
      <c r="E631" s="10" t="s">
        <v>28</v>
      </c>
      <c r="F631" s="9" t="s">
        <v>1945</v>
      </c>
      <c r="G631" s="9" t="s">
        <v>1946</v>
      </c>
    </row>
    <row r="632" customFormat="false" ht="25.35" hidden="false" customHeight="false" outlineLevel="0" collapsed="false">
      <c r="A632" s="9" t="n">
        <v>266</v>
      </c>
      <c r="B632" s="9" t="s">
        <v>1947</v>
      </c>
      <c r="C632" s="10" t="s">
        <v>1948</v>
      </c>
      <c r="D632" s="9" t="s">
        <v>1949</v>
      </c>
      <c r="E632" s="10" t="s">
        <v>25</v>
      </c>
      <c r="F632" s="9" t="s">
        <v>1945</v>
      </c>
      <c r="G632" s="9" t="s">
        <v>1950</v>
      </c>
    </row>
  </sheetData>
  <autoFilter ref="A2:G632"/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0"/>
    <col collapsed="false" customWidth="true" hidden="false" outlineLevel="0" max="3" min="3" style="0" width="30"/>
    <col collapsed="false" customWidth="true" hidden="false" outlineLevel="0" max="4" min="4" style="0" width="18"/>
  </cols>
  <sheetData>
    <row r="1" customFormat="false" ht="30" hidden="false" customHeight="true" outlineLevel="0" collapsed="false">
      <c r="A1" s="7" t="s">
        <v>1951</v>
      </c>
      <c r="B1" s="7"/>
      <c r="C1" s="7"/>
      <c r="D1" s="7"/>
    </row>
    <row r="2" customFormat="false" ht="15" hidden="false" customHeight="false" outlineLevel="0" collapsed="false">
      <c r="A2" s="8" t="s">
        <v>1952</v>
      </c>
      <c r="B2" s="8" t="s">
        <v>1953</v>
      </c>
      <c r="C2" s="11" t="s">
        <v>1954</v>
      </c>
      <c r="D2" s="8" t="s">
        <v>1955</v>
      </c>
    </row>
    <row r="3" customFormat="false" ht="15" hidden="false" customHeight="false" outlineLevel="0" collapsed="false">
      <c r="A3" s="9" t="s">
        <v>1956</v>
      </c>
      <c r="B3" s="9" t="s">
        <v>1957</v>
      </c>
      <c r="C3" s="10" t="s">
        <v>1958</v>
      </c>
      <c r="D3" s="9" t="s">
        <v>810</v>
      </c>
    </row>
    <row r="4" customFormat="false" ht="15" hidden="false" customHeight="false" outlineLevel="0" collapsed="false">
      <c r="A4" s="9" t="s">
        <v>1956</v>
      </c>
      <c r="B4" s="9" t="s">
        <v>1959</v>
      </c>
      <c r="C4" s="10" t="s">
        <v>1960</v>
      </c>
      <c r="D4" s="9" t="s">
        <v>810</v>
      </c>
    </row>
    <row r="5" customFormat="false" ht="15" hidden="false" customHeight="false" outlineLevel="0" collapsed="false">
      <c r="A5" s="9" t="s">
        <v>1956</v>
      </c>
      <c r="B5" s="9" t="s">
        <v>1961</v>
      </c>
      <c r="C5" s="10" t="s">
        <v>1962</v>
      </c>
      <c r="D5" s="9" t="s">
        <v>810</v>
      </c>
    </row>
    <row r="6" customFormat="false" ht="15" hidden="false" customHeight="false" outlineLevel="0" collapsed="false">
      <c r="A6" s="9" t="s">
        <v>1956</v>
      </c>
      <c r="B6" s="9" t="s">
        <v>1963</v>
      </c>
      <c r="C6" s="10" t="s">
        <v>1964</v>
      </c>
      <c r="D6" s="9" t="s">
        <v>810</v>
      </c>
    </row>
    <row r="7" customFormat="false" ht="15" hidden="false" customHeight="false" outlineLevel="0" collapsed="false">
      <c r="A7" s="9" t="s">
        <v>1956</v>
      </c>
      <c r="B7" s="9" t="s">
        <v>1965</v>
      </c>
      <c r="C7" s="10" t="s">
        <v>1966</v>
      </c>
      <c r="D7" s="9" t="s">
        <v>810</v>
      </c>
    </row>
    <row r="8" customFormat="false" ht="15" hidden="false" customHeight="false" outlineLevel="0" collapsed="false">
      <c r="A8" s="9" t="s">
        <v>1956</v>
      </c>
      <c r="B8" s="9" t="s">
        <v>1967</v>
      </c>
      <c r="C8" s="10" t="s">
        <v>1968</v>
      </c>
      <c r="D8" s="9" t="s">
        <v>1969</v>
      </c>
    </row>
    <row r="9" customFormat="false" ht="15" hidden="false" customHeight="false" outlineLevel="0" collapsed="false">
      <c r="A9" s="9" t="s">
        <v>1956</v>
      </c>
      <c r="B9" s="9" t="s">
        <v>1970</v>
      </c>
      <c r="C9" s="10" t="s">
        <v>1968</v>
      </c>
      <c r="D9" s="9" t="s">
        <v>1969</v>
      </c>
    </row>
    <row r="10" customFormat="false" ht="15" hidden="false" customHeight="false" outlineLevel="0" collapsed="false">
      <c r="A10" s="9" t="s">
        <v>1956</v>
      </c>
      <c r="B10" s="9" t="s">
        <v>1971</v>
      </c>
      <c r="C10" s="10" t="s">
        <v>1968</v>
      </c>
      <c r="D10" s="9" t="s">
        <v>1969</v>
      </c>
    </row>
    <row r="11" customFormat="false" ht="15" hidden="false" customHeight="false" outlineLevel="0" collapsed="false">
      <c r="A11" s="9" t="s">
        <v>1956</v>
      </c>
      <c r="B11" s="9" t="s">
        <v>1972</v>
      </c>
      <c r="C11" s="10" t="s">
        <v>1968</v>
      </c>
      <c r="D11" s="9" t="s">
        <v>1969</v>
      </c>
    </row>
    <row r="12" customFormat="false" ht="15" hidden="false" customHeight="false" outlineLevel="0" collapsed="false">
      <c r="A12" s="9" t="s">
        <v>1956</v>
      </c>
      <c r="B12" s="9" t="s">
        <v>1973</v>
      </c>
      <c r="C12" s="10" t="s">
        <v>1974</v>
      </c>
      <c r="D12" s="9" t="s">
        <v>1969</v>
      </c>
    </row>
    <row r="13" customFormat="false" ht="15" hidden="false" customHeight="false" outlineLevel="0" collapsed="false">
      <c r="A13" s="9" t="s">
        <v>1975</v>
      </c>
      <c r="B13" s="9" t="s">
        <v>1976</v>
      </c>
      <c r="C13" s="10" t="s">
        <v>1977</v>
      </c>
      <c r="D13" s="9" t="s">
        <v>810</v>
      </c>
    </row>
    <row r="14" customFormat="false" ht="15" hidden="false" customHeight="false" outlineLevel="0" collapsed="false">
      <c r="A14" s="9" t="s">
        <v>1975</v>
      </c>
      <c r="B14" s="9" t="s">
        <v>1978</v>
      </c>
      <c r="C14" s="10" t="s">
        <v>1979</v>
      </c>
      <c r="D14" s="9" t="s">
        <v>810</v>
      </c>
    </row>
    <row r="15" customFormat="false" ht="15" hidden="false" customHeight="false" outlineLevel="0" collapsed="false">
      <c r="A15" s="9" t="s">
        <v>1975</v>
      </c>
      <c r="B15" s="9" t="s">
        <v>1980</v>
      </c>
      <c r="C15" s="10" t="s">
        <v>1981</v>
      </c>
      <c r="D15" s="9" t="s">
        <v>810</v>
      </c>
    </row>
    <row r="16" customFormat="false" ht="15" hidden="false" customHeight="false" outlineLevel="0" collapsed="false">
      <c r="A16" s="9" t="s">
        <v>1975</v>
      </c>
      <c r="B16" s="9" t="s">
        <v>1982</v>
      </c>
      <c r="C16" s="10" t="s">
        <v>1983</v>
      </c>
      <c r="D16" s="9" t="s">
        <v>810</v>
      </c>
    </row>
    <row r="17" customFormat="false" ht="15" hidden="false" customHeight="false" outlineLevel="0" collapsed="false">
      <c r="A17" s="9" t="s">
        <v>1975</v>
      </c>
      <c r="B17" s="9" t="s">
        <v>1984</v>
      </c>
      <c r="C17" s="10" t="s">
        <v>1985</v>
      </c>
      <c r="D17" s="9" t="s">
        <v>810</v>
      </c>
    </row>
    <row r="18" customFormat="false" ht="15" hidden="false" customHeight="false" outlineLevel="0" collapsed="false">
      <c r="A18" s="9" t="s">
        <v>1975</v>
      </c>
      <c r="B18" s="9" t="s">
        <v>1986</v>
      </c>
      <c r="C18" s="10" t="s">
        <v>1987</v>
      </c>
      <c r="D18" s="9" t="s">
        <v>810</v>
      </c>
    </row>
    <row r="19" customFormat="false" ht="15" hidden="false" customHeight="false" outlineLevel="0" collapsed="false">
      <c r="A19" s="9" t="s">
        <v>1975</v>
      </c>
      <c r="B19" s="9" t="s">
        <v>1988</v>
      </c>
      <c r="C19" s="10" t="s">
        <v>1989</v>
      </c>
      <c r="D19" s="9" t="s">
        <v>810</v>
      </c>
    </row>
    <row r="20" customFormat="false" ht="15" hidden="false" customHeight="false" outlineLevel="0" collapsed="false">
      <c r="A20" s="9" t="s">
        <v>1975</v>
      </c>
      <c r="B20" s="9" t="s">
        <v>1990</v>
      </c>
      <c r="C20" s="10" t="s">
        <v>1991</v>
      </c>
      <c r="D20" s="9" t="s">
        <v>810</v>
      </c>
    </row>
    <row r="21" customFormat="false" ht="15" hidden="false" customHeight="false" outlineLevel="0" collapsed="false">
      <c r="A21" s="9" t="s">
        <v>1975</v>
      </c>
      <c r="B21" s="9" t="s">
        <v>1992</v>
      </c>
      <c r="C21" s="10" t="s">
        <v>1993</v>
      </c>
      <c r="D21" s="9" t="s">
        <v>810</v>
      </c>
    </row>
    <row r="22" customFormat="false" ht="15" hidden="false" customHeight="false" outlineLevel="0" collapsed="false">
      <c r="A22" s="9" t="s">
        <v>1975</v>
      </c>
      <c r="B22" s="9" t="s">
        <v>1994</v>
      </c>
      <c r="C22" s="10" t="s">
        <v>1995</v>
      </c>
      <c r="D22" s="9" t="s">
        <v>810</v>
      </c>
    </row>
    <row r="23" customFormat="false" ht="15" hidden="false" customHeight="false" outlineLevel="0" collapsed="false">
      <c r="A23" s="9" t="s">
        <v>1996</v>
      </c>
      <c r="B23" s="9" t="s">
        <v>1997</v>
      </c>
      <c r="C23" s="10" t="s">
        <v>1998</v>
      </c>
      <c r="D23" s="9" t="s">
        <v>1969</v>
      </c>
    </row>
    <row r="24" customFormat="false" ht="15" hidden="false" customHeight="false" outlineLevel="0" collapsed="false">
      <c r="A24" s="9" t="s">
        <v>1996</v>
      </c>
      <c r="B24" s="9" t="s">
        <v>1999</v>
      </c>
      <c r="C24" s="10" t="s">
        <v>2000</v>
      </c>
      <c r="D24" s="9" t="s">
        <v>1969</v>
      </c>
    </row>
    <row r="25" customFormat="false" ht="15" hidden="false" customHeight="false" outlineLevel="0" collapsed="false">
      <c r="A25" s="9" t="s">
        <v>1996</v>
      </c>
      <c r="B25" s="9" t="s">
        <v>2001</v>
      </c>
      <c r="C25" s="10" t="s">
        <v>2002</v>
      </c>
      <c r="D25" s="9" t="s">
        <v>1969</v>
      </c>
    </row>
    <row r="26" customFormat="false" ht="15" hidden="false" customHeight="false" outlineLevel="0" collapsed="false">
      <c r="A26" s="9" t="s">
        <v>1996</v>
      </c>
      <c r="B26" s="9" t="s">
        <v>2003</v>
      </c>
      <c r="C26" s="10" t="s">
        <v>2004</v>
      </c>
      <c r="D26" s="9" t="s">
        <v>1178</v>
      </c>
    </row>
    <row r="27" customFormat="false" ht="15" hidden="false" customHeight="false" outlineLevel="0" collapsed="false">
      <c r="A27" s="9" t="s">
        <v>1996</v>
      </c>
      <c r="B27" s="9" t="s">
        <v>2005</v>
      </c>
      <c r="C27" s="10" t="s">
        <v>2006</v>
      </c>
      <c r="D27" s="9" t="s">
        <v>1969</v>
      </c>
    </row>
    <row r="28" customFormat="false" ht="15" hidden="false" customHeight="false" outlineLevel="0" collapsed="false">
      <c r="A28" s="9" t="s">
        <v>1996</v>
      </c>
      <c r="B28" s="9" t="s">
        <v>2007</v>
      </c>
      <c r="C28" s="10" t="s">
        <v>2008</v>
      </c>
      <c r="D28" s="9" t="s">
        <v>1969</v>
      </c>
    </row>
    <row r="29" customFormat="false" ht="15" hidden="false" customHeight="false" outlineLevel="0" collapsed="false">
      <c r="A29" s="9" t="s">
        <v>1996</v>
      </c>
      <c r="B29" s="9" t="s">
        <v>2009</v>
      </c>
      <c r="C29" s="10" t="s">
        <v>2010</v>
      </c>
      <c r="D29" s="9" t="s">
        <v>810</v>
      </c>
    </row>
    <row r="30" customFormat="false" ht="15" hidden="false" customHeight="false" outlineLevel="0" collapsed="false">
      <c r="A30" s="9" t="s">
        <v>1996</v>
      </c>
      <c r="B30" s="9" t="s">
        <v>2011</v>
      </c>
      <c r="C30" s="10" t="s">
        <v>2012</v>
      </c>
      <c r="D30" s="9" t="s">
        <v>810</v>
      </c>
    </row>
    <row r="31" customFormat="false" ht="15" hidden="false" customHeight="false" outlineLevel="0" collapsed="false">
      <c r="A31" s="9" t="s">
        <v>1996</v>
      </c>
      <c r="B31" s="9" t="s">
        <v>2013</v>
      </c>
      <c r="C31" s="10" t="s">
        <v>2014</v>
      </c>
      <c r="D31" s="9" t="s">
        <v>810</v>
      </c>
    </row>
    <row r="32" customFormat="false" ht="15" hidden="false" customHeight="false" outlineLevel="0" collapsed="false">
      <c r="A32" s="9" t="s">
        <v>1996</v>
      </c>
      <c r="B32" s="9" t="s">
        <v>2015</v>
      </c>
      <c r="C32" s="10" t="s">
        <v>2016</v>
      </c>
      <c r="D32" s="9" t="s">
        <v>810</v>
      </c>
    </row>
    <row r="33" customFormat="false" ht="15" hidden="false" customHeight="false" outlineLevel="0" collapsed="false">
      <c r="A33" s="9" t="s">
        <v>1996</v>
      </c>
      <c r="B33" s="9" t="s">
        <v>2017</v>
      </c>
      <c r="C33" s="10" t="s">
        <v>2018</v>
      </c>
      <c r="D33" s="9" t="s">
        <v>810</v>
      </c>
    </row>
    <row r="34" customFormat="false" ht="15" hidden="false" customHeight="false" outlineLevel="0" collapsed="false">
      <c r="A34" s="9" t="s">
        <v>1996</v>
      </c>
      <c r="B34" s="9" t="s">
        <v>2019</v>
      </c>
      <c r="C34" s="10" t="s">
        <v>2020</v>
      </c>
      <c r="D34" s="9" t="s">
        <v>546</v>
      </c>
    </row>
    <row r="35" customFormat="false" ht="15" hidden="false" customHeight="false" outlineLevel="0" collapsed="false">
      <c r="A35" s="9" t="s">
        <v>1996</v>
      </c>
      <c r="B35" s="10" t="s">
        <v>2021</v>
      </c>
      <c r="C35" s="10" t="s">
        <v>2022</v>
      </c>
      <c r="D35" s="9" t="s">
        <v>198</v>
      </c>
    </row>
    <row r="36" customFormat="false" ht="15" hidden="false" customHeight="false" outlineLevel="0" collapsed="false">
      <c r="A36" s="9" t="s">
        <v>1996</v>
      </c>
      <c r="B36" s="10" t="s">
        <v>2023</v>
      </c>
      <c r="C36" s="10" t="s">
        <v>2024</v>
      </c>
      <c r="D36" s="9" t="s">
        <v>198</v>
      </c>
    </row>
    <row r="37" customFormat="false" ht="15" hidden="false" customHeight="false" outlineLevel="0" collapsed="false">
      <c r="A37" s="9" t="s">
        <v>1996</v>
      </c>
      <c r="B37" s="9" t="s">
        <v>2025</v>
      </c>
      <c r="C37" s="10" t="s">
        <v>2026</v>
      </c>
      <c r="D37" s="9" t="s">
        <v>198</v>
      </c>
    </row>
    <row r="38" customFormat="false" ht="15" hidden="false" customHeight="false" outlineLevel="0" collapsed="false">
      <c r="A38" s="9" t="s">
        <v>1996</v>
      </c>
      <c r="B38" s="9" t="s">
        <v>2027</v>
      </c>
      <c r="C38" s="10" t="s">
        <v>2028</v>
      </c>
      <c r="D38" s="9" t="s">
        <v>198</v>
      </c>
    </row>
    <row r="39" customFormat="false" ht="15" hidden="false" customHeight="false" outlineLevel="0" collapsed="false">
      <c r="A39" s="9" t="s">
        <v>1996</v>
      </c>
      <c r="B39" s="9" t="s">
        <v>2029</v>
      </c>
      <c r="C39" s="10" t="s">
        <v>2030</v>
      </c>
      <c r="D39" s="9" t="s">
        <v>198</v>
      </c>
    </row>
    <row r="40" customFormat="false" ht="15" hidden="false" customHeight="false" outlineLevel="0" collapsed="false">
      <c r="A40" s="9" t="s">
        <v>1996</v>
      </c>
      <c r="B40" s="9" t="s">
        <v>2031</v>
      </c>
      <c r="C40" s="10" t="s">
        <v>2032</v>
      </c>
      <c r="D40" s="9" t="s">
        <v>2033</v>
      </c>
    </row>
    <row r="41" customFormat="false" ht="15" hidden="false" customHeight="false" outlineLevel="0" collapsed="false">
      <c r="A41" s="9" t="s">
        <v>1996</v>
      </c>
      <c r="B41" s="9" t="s">
        <v>2034</v>
      </c>
      <c r="C41" s="10" t="s">
        <v>2035</v>
      </c>
      <c r="D41" s="9" t="s">
        <v>2033</v>
      </c>
    </row>
    <row r="42" customFormat="false" ht="15" hidden="false" customHeight="false" outlineLevel="0" collapsed="false">
      <c r="A42" s="9" t="s">
        <v>1996</v>
      </c>
      <c r="B42" s="9" t="s">
        <v>2036</v>
      </c>
      <c r="C42" s="10" t="s">
        <v>2037</v>
      </c>
      <c r="D42" s="9" t="s">
        <v>546</v>
      </c>
    </row>
    <row r="43" customFormat="false" ht="15" hidden="false" customHeight="false" outlineLevel="0" collapsed="false">
      <c r="A43" s="9" t="s">
        <v>1996</v>
      </c>
      <c r="B43" s="9" t="s">
        <v>2038</v>
      </c>
      <c r="C43" s="10" t="s">
        <v>2039</v>
      </c>
      <c r="D43" s="9" t="s">
        <v>546</v>
      </c>
    </row>
    <row r="44" customFormat="false" ht="15" hidden="false" customHeight="false" outlineLevel="0" collapsed="false">
      <c r="A44" s="9" t="s">
        <v>1996</v>
      </c>
      <c r="B44" s="9" t="s">
        <v>2040</v>
      </c>
      <c r="C44" s="10" t="s">
        <v>2041</v>
      </c>
      <c r="D44" s="9" t="s">
        <v>1288</v>
      </c>
    </row>
    <row r="45" customFormat="false" ht="15" hidden="false" customHeight="false" outlineLevel="0" collapsed="false">
      <c r="A45" s="9" t="s">
        <v>1996</v>
      </c>
      <c r="B45" s="9" t="s">
        <v>2042</v>
      </c>
      <c r="C45" s="10" t="s">
        <v>2043</v>
      </c>
      <c r="D45" s="9" t="s">
        <v>2044</v>
      </c>
    </row>
    <row r="46" customFormat="false" ht="15" hidden="false" customHeight="false" outlineLevel="0" collapsed="false">
      <c r="A46" s="9" t="s">
        <v>1996</v>
      </c>
      <c r="B46" s="9" t="s">
        <v>2045</v>
      </c>
      <c r="C46" s="10" t="s">
        <v>2046</v>
      </c>
      <c r="D46" s="9" t="s">
        <v>198</v>
      </c>
    </row>
    <row r="47" customFormat="false" ht="15" hidden="false" customHeight="false" outlineLevel="0" collapsed="false">
      <c r="A47" s="9" t="s">
        <v>1996</v>
      </c>
      <c r="B47" s="9" t="s">
        <v>2047</v>
      </c>
      <c r="C47" s="10" t="s">
        <v>2048</v>
      </c>
      <c r="D47" s="9" t="s">
        <v>93</v>
      </c>
    </row>
    <row r="48" customFormat="false" ht="15" hidden="false" customHeight="false" outlineLevel="0" collapsed="false">
      <c r="A48" s="9" t="s">
        <v>1996</v>
      </c>
      <c r="B48" s="9" t="s">
        <v>2049</v>
      </c>
      <c r="C48" s="10" t="s">
        <v>2050</v>
      </c>
      <c r="D48" s="9" t="s">
        <v>93</v>
      </c>
    </row>
    <row r="49" customFormat="false" ht="15" hidden="false" customHeight="false" outlineLevel="0" collapsed="false">
      <c r="A49" s="9" t="s">
        <v>1996</v>
      </c>
      <c r="B49" s="9" t="s">
        <v>2051</v>
      </c>
      <c r="C49" s="10" t="s">
        <v>2052</v>
      </c>
      <c r="D49" s="9" t="s">
        <v>93</v>
      </c>
    </row>
    <row r="50" customFormat="false" ht="15" hidden="false" customHeight="false" outlineLevel="0" collapsed="false">
      <c r="A50" s="9" t="s">
        <v>1996</v>
      </c>
      <c r="B50" s="9" t="s">
        <v>2053</v>
      </c>
      <c r="C50" s="10" t="s">
        <v>2054</v>
      </c>
      <c r="D50" s="9" t="s">
        <v>93</v>
      </c>
    </row>
    <row r="51" customFormat="false" ht="15" hidden="false" customHeight="false" outlineLevel="0" collapsed="false">
      <c r="A51" s="9" t="s">
        <v>1996</v>
      </c>
      <c r="B51" s="9" t="s">
        <v>2055</v>
      </c>
      <c r="C51" s="10" t="s">
        <v>2056</v>
      </c>
      <c r="D51" s="9" t="s">
        <v>93</v>
      </c>
    </row>
    <row r="52" customFormat="false" ht="15" hidden="false" customHeight="false" outlineLevel="0" collapsed="false">
      <c r="A52" s="9" t="s">
        <v>1996</v>
      </c>
      <c r="B52" s="9" t="s">
        <v>2057</v>
      </c>
      <c r="C52" s="10" t="s">
        <v>2058</v>
      </c>
      <c r="D52" s="9" t="s">
        <v>968</v>
      </c>
    </row>
    <row r="53" customFormat="false" ht="15" hidden="false" customHeight="false" outlineLevel="0" collapsed="false">
      <c r="A53" s="9" t="s">
        <v>1996</v>
      </c>
      <c r="B53" s="9" t="s">
        <v>2059</v>
      </c>
      <c r="C53" s="10" t="s">
        <v>2060</v>
      </c>
      <c r="D53" s="9" t="s">
        <v>968</v>
      </c>
    </row>
    <row r="54" customFormat="false" ht="15" hidden="false" customHeight="false" outlineLevel="0" collapsed="false">
      <c r="A54" s="9" t="s">
        <v>1996</v>
      </c>
      <c r="B54" s="9" t="s">
        <v>2061</v>
      </c>
      <c r="C54" s="10" t="s">
        <v>2062</v>
      </c>
      <c r="D54" s="9" t="s">
        <v>968</v>
      </c>
    </row>
    <row r="55" customFormat="false" ht="15" hidden="false" customHeight="false" outlineLevel="0" collapsed="false">
      <c r="A55" s="9" t="s">
        <v>1996</v>
      </c>
      <c r="B55" s="9" t="s">
        <v>2063</v>
      </c>
      <c r="C55" s="10" t="s">
        <v>2064</v>
      </c>
      <c r="D55" s="9" t="s">
        <v>1969</v>
      </c>
    </row>
    <row r="56" customFormat="false" ht="15" hidden="false" customHeight="false" outlineLevel="0" collapsed="false">
      <c r="A56" s="9" t="s">
        <v>1996</v>
      </c>
      <c r="B56" s="9" t="s">
        <v>2065</v>
      </c>
      <c r="C56" s="10" t="s">
        <v>2066</v>
      </c>
      <c r="D56" s="9" t="s">
        <v>1969</v>
      </c>
    </row>
    <row r="57" customFormat="false" ht="15" hidden="false" customHeight="false" outlineLevel="0" collapsed="false">
      <c r="A57" s="9" t="s">
        <v>1996</v>
      </c>
      <c r="B57" s="9" t="s">
        <v>2067</v>
      </c>
      <c r="C57" s="10" t="s">
        <v>2068</v>
      </c>
      <c r="D57" s="9" t="s">
        <v>968</v>
      </c>
    </row>
    <row r="58" customFormat="false" ht="15" hidden="false" customHeight="false" outlineLevel="0" collapsed="false">
      <c r="A58" s="9" t="s">
        <v>1996</v>
      </c>
      <c r="B58" s="9" t="s">
        <v>2069</v>
      </c>
      <c r="C58" s="10" t="s">
        <v>2070</v>
      </c>
      <c r="D58" s="9" t="s">
        <v>968</v>
      </c>
    </row>
    <row r="59" customFormat="false" ht="15" hidden="false" customHeight="false" outlineLevel="0" collapsed="false">
      <c r="A59" s="9" t="s">
        <v>1996</v>
      </c>
      <c r="B59" s="9" t="s">
        <v>2071</v>
      </c>
      <c r="C59" s="10" t="s">
        <v>2072</v>
      </c>
      <c r="D59" s="9" t="s">
        <v>1288</v>
      </c>
    </row>
    <row r="60" customFormat="false" ht="15" hidden="false" customHeight="false" outlineLevel="0" collapsed="false">
      <c r="A60" s="9" t="s">
        <v>1996</v>
      </c>
      <c r="B60" s="9" t="s">
        <v>2073</v>
      </c>
      <c r="C60" s="10" t="s">
        <v>2074</v>
      </c>
      <c r="D60" s="9" t="s">
        <v>1288</v>
      </c>
    </row>
    <row r="61" customFormat="false" ht="15" hidden="false" customHeight="false" outlineLevel="0" collapsed="false">
      <c r="A61" s="9" t="s">
        <v>1996</v>
      </c>
      <c r="B61" s="9" t="s">
        <v>2075</v>
      </c>
      <c r="C61" s="10" t="s">
        <v>2076</v>
      </c>
      <c r="D61" s="9" t="s">
        <v>1288</v>
      </c>
    </row>
    <row r="62" customFormat="false" ht="15" hidden="false" customHeight="false" outlineLevel="0" collapsed="false">
      <c r="A62" s="9" t="s">
        <v>1996</v>
      </c>
      <c r="B62" s="9" t="s">
        <v>2077</v>
      </c>
      <c r="C62" s="10" t="s">
        <v>2078</v>
      </c>
      <c r="D62" s="9" t="s">
        <v>2044</v>
      </c>
    </row>
    <row r="63" customFormat="false" ht="15" hidden="false" customHeight="false" outlineLevel="0" collapsed="false">
      <c r="A63" s="9" t="s">
        <v>1996</v>
      </c>
      <c r="B63" s="9" t="s">
        <v>2079</v>
      </c>
      <c r="C63" s="10" t="s">
        <v>2080</v>
      </c>
      <c r="D63" s="9" t="s">
        <v>2081</v>
      </c>
    </row>
    <row r="64" customFormat="false" ht="15" hidden="false" customHeight="false" outlineLevel="0" collapsed="false">
      <c r="A64" s="9" t="s">
        <v>1996</v>
      </c>
      <c r="B64" s="9" t="s">
        <v>2082</v>
      </c>
      <c r="C64" s="10" t="s">
        <v>2083</v>
      </c>
      <c r="D64" s="9" t="s">
        <v>2081</v>
      </c>
    </row>
    <row r="65" customFormat="false" ht="15" hidden="false" customHeight="false" outlineLevel="0" collapsed="false">
      <c r="A65" s="9" t="s">
        <v>1996</v>
      </c>
      <c r="B65" s="9" t="s">
        <v>2084</v>
      </c>
      <c r="C65" s="10" t="s">
        <v>2085</v>
      </c>
      <c r="D65" s="9" t="s">
        <v>1969</v>
      </c>
    </row>
    <row r="66" customFormat="false" ht="15" hidden="false" customHeight="false" outlineLevel="0" collapsed="false">
      <c r="A66" s="9" t="s">
        <v>1996</v>
      </c>
      <c r="B66" s="9" t="s">
        <v>2086</v>
      </c>
      <c r="C66" s="10" t="s">
        <v>2087</v>
      </c>
      <c r="D66" s="9" t="s">
        <v>1969</v>
      </c>
    </row>
    <row r="67" customFormat="false" ht="15" hidden="false" customHeight="false" outlineLevel="0" collapsed="false">
      <c r="A67" s="9" t="s">
        <v>1996</v>
      </c>
      <c r="B67" s="9" t="s">
        <v>2088</v>
      </c>
      <c r="C67" s="10" t="s">
        <v>2089</v>
      </c>
      <c r="D67" s="9" t="s">
        <v>2033</v>
      </c>
    </row>
    <row r="68" customFormat="false" ht="15" hidden="false" customHeight="false" outlineLevel="0" collapsed="false">
      <c r="A68" s="9" t="s">
        <v>1996</v>
      </c>
      <c r="B68" s="9" t="s">
        <v>2090</v>
      </c>
      <c r="C68" s="10" t="s">
        <v>2091</v>
      </c>
      <c r="D68" s="9" t="s">
        <v>2033</v>
      </c>
    </row>
    <row r="69" customFormat="false" ht="15" hidden="false" customHeight="false" outlineLevel="0" collapsed="false">
      <c r="A69" s="9" t="s">
        <v>1996</v>
      </c>
      <c r="B69" s="9" t="s">
        <v>2092</v>
      </c>
      <c r="C69" s="10" t="s">
        <v>2093</v>
      </c>
      <c r="D69" s="9" t="s">
        <v>1969</v>
      </c>
    </row>
    <row r="70" customFormat="false" ht="15" hidden="false" customHeight="false" outlineLevel="0" collapsed="false">
      <c r="A70" s="9" t="s">
        <v>1996</v>
      </c>
      <c r="B70" s="9" t="s">
        <v>2094</v>
      </c>
      <c r="C70" s="10" t="s">
        <v>2095</v>
      </c>
      <c r="D70" s="9" t="s">
        <v>2033</v>
      </c>
    </row>
    <row r="71" customFormat="false" ht="15" hidden="false" customHeight="false" outlineLevel="0" collapsed="false">
      <c r="A71" s="9" t="s">
        <v>1996</v>
      </c>
      <c r="B71" s="9" t="s">
        <v>2096</v>
      </c>
      <c r="C71" s="10" t="s">
        <v>2097</v>
      </c>
      <c r="D71" s="9" t="s">
        <v>1969</v>
      </c>
    </row>
    <row r="72" customFormat="false" ht="15" hidden="false" customHeight="false" outlineLevel="0" collapsed="false">
      <c r="A72" s="9" t="s">
        <v>1996</v>
      </c>
      <c r="B72" s="9" t="s">
        <v>2098</v>
      </c>
      <c r="C72" s="10" t="s">
        <v>2099</v>
      </c>
      <c r="D72" s="9" t="s">
        <v>1969</v>
      </c>
    </row>
    <row r="73" customFormat="false" ht="15" hidden="false" customHeight="false" outlineLevel="0" collapsed="false">
      <c r="A73" s="9" t="s">
        <v>1996</v>
      </c>
      <c r="B73" s="9" t="s">
        <v>2100</v>
      </c>
      <c r="C73" s="10" t="s">
        <v>2101</v>
      </c>
      <c r="D73" s="9" t="s">
        <v>1969</v>
      </c>
    </row>
    <row r="74" customFormat="false" ht="15" hidden="false" customHeight="false" outlineLevel="0" collapsed="false">
      <c r="A74" s="9" t="s">
        <v>1996</v>
      </c>
      <c r="B74" s="9" t="s">
        <v>2102</v>
      </c>
      <c r="C74" s="10" t="s">
        <v>2103</v>
      </c>
      <c r="D74" s="9" t="s">
        <v>1969</v>
      </c>
    </row>
    <row r="75" customFormat="false" ht="15" hidden="false" customHeight="false" outlineLevel="0" collapsed="false">
      <c r="A75" s="9" t="s">
        <v>1996</v>
      </c>
      <c r="B75" s="9" t="s">
        <v>2104</v>
      </c>
      <c r="C75" s="10" t="s">
        <v>2105</v>
      </c>
      <c r="D75" s="9" t="s">
        <v>1969</v>
      </c>
    </row>
    <row r="76" customFormat="false" ht="15" hidden="false" customHeight="false" outlineLevel="0" collapsed="false">
      <c r="A76" s="9" t="s">
        <v>1996</v>
      </c>
      <c r="B76" s="9" t="s">
        <v>2106</v>
      </c>
      <c r="C76" s="10" t="s">
        <v>2107</v>
      </c>
      <c r="D76" s="9" t="s">
        <v>1969</v>
      </c>
    </row>
    <row r="77" customFormat="false" ht="15" hidden="false" customHeight="false" outlineLevel="0" collapsed="false">
      <c r="A77" s="9" t="s">
        <v>1996</v>
      </c>
      <c r="B77" s="9" t="s">
        <v>2108</v>
      </c>
      <c r="C77" s="10" t="s">
        <v>2109</v>
      </c>
      <c r="D77" s="9" t="s">
        <v>1969</v>
      </c>
    </row>
    <row r="78" customFormat="false" ht="15" hidden="false" customHeight="false" outlineLevel="0" collapsed="false">
      <c r="A78" s="9" t="s">
        <v>1996</v>
      </c>
      <c r="B78" s="9" t="s">
        <v>2110</v>
      </c>
      <c r="C78" s="10" t="s">
        <v>2111</v>
      </c>
      <c r="D78" s="9" t="s">
        <v>1969</v>
      </c>
    </row>
    <row r="79" customFormat="false" ht="15" hidden="false" customHeight="false" outlineLevel="0" collapsed="false">
      <c r="A79" s="9" t="s">
        <v>1996</v>
      </c>
      <c r="B79" s="9" t="s">
        <v>2112</v>
      </c>
      <c r="C79" s="10" t="s">
        <v>2113</v>
      </c>
      <c r="D79" s="9" t="s">
        <v>1969</v>
      </c>
    </row>
    <row r="80" customFormat="false" ht="15" hidden="false" customHeight="false" outlineLevel="0" collapsed="false">
      <c r="A80" s="9" t="s">
        <v>1996</v>
      </c>
      <c r="B80" s="9" t="s">
        <v>2114</v>
      </c>
      <c r="C80" s="10" t="s">
        <v>2115</v>
      </c>
      <c r="D80" s="9" t="s">
        <v>2033</v>
      </c>
    </row>
    <row r="81" customFormat="false" ht="15" hidden="false" customHeight="false" outlineLevel="0" collapsed="false">
      <c r="A81" s="9" t="s">
        <v>1996</v>
      </c>
      <c r="B81" s="9" t="s">
        <v>2116</v>
      </c>
      <c r="C81" s="10" t="s">
        <v>2117</v>
      </c>
      <c r="D81" s="9" t="s">
        <v>2033</v>
      </c>
    </row>
    <row r="82" customFormat="false" ht="15" hidden="false" customHeight="false" outlineLevel="0" collapsed="false">
      <c r="A82" s="9" t="s">
        <v>1996</v>
      </c>
      <c r="B82" s="9" t="s">
        <v>2118</v>
      </c>
      <c r="C82" s="10" t="s">
        <v>2119</v>
      </c>
      <c r="D82" s="9" t="s">
        <v>2033</v>
      </c>
    </row>
    <row r="83" customFormat="false" ht="15" hidden="false" customHeight="false" outlineLevel="0" collapsed="false">
      <c r="A83" s="9" t="s">
        <v>1996</v>
      </c>
      <c r="B83" s="9" t="s">
        <v>2120</v>
      </c>
      <c r="C83" s="10" t="s">
        <v>2121</v>
      </c>
      <c r="D83" s="9" t="s">
        <v>1969</v>
      </c>
    </row>
    <row r="84" customFormat="false" ht="15" hidden="false" customHeight="false" outlineLevel="0" collapsed="false">
      <c r="A84" s="9" t="s">
        <v>1996</v>
      </c>
      <c r="B84" s="9" t="s">
        <v>2122</v>
      </c>
      <c r="C84" s="10" t="s">
        <v>2123</v>
      </c>
      <c r="D84" s="9" t="s">
        <v>1969</v>
      </c>
    </row>
    <row r="85" customFormat="false" ht="15" hidden="false" customHeight="false" outlineLevel="0" collapsed="false">
      <c r="A85" s="9" t="s">
        <v>1996</v>
      </c>
      <c r="B85" s="9" t="s">
        <v>2124</v>
      </c>
      <c r="C85" s="10" t="s">
        <v>2125</v>
      </c>
      <c r="D85" s="9" t="s">
        <v>1969</v>
      </c>
    </row>
    <row r="86" customFormat="false" ht="15" hidden="false" customHeight="false" outlineLevel="0" collapsed="false">
      <c r="A86" s="9" t="s">
        <v>1996</v>
      </c>
      <c r="B86" s="9" t="s">
        <v>2126</v>
      </c>
      <c r="C86" s="10" t="s">
        <v>2127</v>
      </c>
      <c r="D86" s="9" t="s">
        <v>1969</v>
      </c>
    </row>
    <row r="87" customFormat="false" ht="15" hidden="false" customHeight="false" outlineLevel="0" collapsed="false">
      <c r="A87" s="9" t="s">
        <v>1996</v>
      </c>
      <c r="B87" s="9" t="s">
        <v>2128</v>
      </c>
      <c r="C87" s="10" t="s">
        <v>2129</v>
      </c>
      <c r="D87" s="9" t="s">
        <v>1969</v>
      </c>
    </row>
    <row r="88" customFormat="false" ht="15" hidden="false" customHeight="false" outlineLevel="0" collapsed="false">
      <c r="A88" s="9" t="s">
        <v>1996</v>
      </c>
      <c r="B88" s="9" t="s">
        <v>2130</v>
      </c>
      <c r="C88" s="10" t="s">
        <v>2131</v>
      </c>
      <c r="D88" s="9" t="s">
        <v>1969</v>
      </c>
    </row>
    <row r="89" customFormat="false" ht="15" hidden="false" customHeight="false" outlineLevel="0" collapsed="false">
      <c r="A89" s="9" t="s">
        <v>1996</v>
      </c>
      <c r="B89" s="9" t="s">
        <v>2132</v>
      </c>
      <c r="C89" s="10" t="s">
        <v>2133</v>
      </c>
      <c r="D89" s="9" t="s">
        <v>1969</v>
      </c>
    </row>
    <row r="90" customFormat="false" ht="15" hidden="false" customHeight="false" outlineLevel="0" collapsed="false">
      <c r="A90" s="9" t="s">
        <v>1996</v>
      </c>
      <c r="B90" s="9" t="s">
        <v>2134</v>
      </c>
      <c r="C90" s="10" t="s">
        <v>2135</v>
      </c>
      <c r="D90" s="9" t="s">
        <v>2033</v>
      </c>
    </row>
    <row r="91" customFormat="false" ht="15" hidden="false" customHeight="false" outlineLevel="0" collapsed="false">
      <c r="A91" s="9" t="s">
        <v>1996</v>
      </c>
      <c r="B91" s="9" t="s">
        <v>2136</v>
      </c>
      <c r="C91" s="10" t="s">
        <v>2137</v>
      </c>
      <c r="D91" s="9" t="s">
        <v>2033</v>
      </c>
    </row>
    <row r="92" customFormat="false" ht="15" hidden="false" customHeight="false" outlineLevel="0" collapsed="false">
      <c r="A92" s="9" t="s">
        <v>1996</v>
      </c>
      <c r="B92" s="9" t="s">
        <v>2138</v>
      </c>
      <c r="C92" s="10" t="s">
        <v>2139</v>
      </c>
      <c r="D92" s="9" t="s">
        <v>1969</v>
      </c>
    </row>
    <row r="93" customFormat="false" ht="15" hidden="false" customHeight="false" outlineLevel="0" collapsed="false">
      <c r="A93" s="9" t="s">
        <v>1996</v>
      </c>
      <c r="B93" s="9" t="s">
        <v>2140</v>
      </c>
      <c r="C93" s="10" t="s">
        <v>2141</v>
      </c>
      <c r="D93" s="9" t="s">
        <v>2033</v>
      </c>
    </row>
    <row r="94" customFormat="false" ht="15" hidden="false" customHeight="false" outlineLevel="0" collapsed="false">
      <c r="A94" s="9" t="s">
        <v>1996</v>
      </c>
      <c r="B94" s="9" t="s">
        <v>2142</v>
      </c>
      <c r="C94" s="10" t="s">
        <v>2143</v>
      </c>
      <c r="D94" s="9" t="s">
        <v>2033</v>
      </c>
    </row>
    <row r="95" customFormat="false" ht="15" hidden="false" customHeight="false" outlineLevel="0" collapsed="false">
      <c r="A95" s="9" t="s">
        <v>1996</v>
      </c>
      <c r="B95" s="9" t="s">
        <v>2144</v>
      </c>
      <c r="C95" s="10" t="s">
        <v>2145</v>
      </c>
      <c r="D95" s="9" t="s">
        <v>2033</v>
      </c>
    </row>
    <row r="96" customFormat="false" ht="15" hidden="false" customHeight="false" outlineLevel="0" collapsed="false">
      <c r="A96" s="9" t="s">
        <v>1996</v>
      </c>
      <c r="B96" s="9" t="s">
        <v>2146</v>
      </c>
      <c r="C96" s="10" t="s">
        <v>2147</v>
      </c>
      <c r="D96" s="9" t="s">
        <v>2033</v>
      </c>
    </row>
    <row r="97" customFormat="false" ht="15" hidden="false" customHeight="false" outlineLevel="0" collapsed="false">
      <c r="A97" s="9" t="s">
        <v>1996</v>
      </c>
      <c r="B97" s="9" t="s">
        <v>2148</v>
      </c>
      <c r="C97" s="10" t="s">
        <v>2149</v>
      </c>
      <c r="D97" s="9" t="s">
        <v>2033</v>
      </c>
    </row>
    <row r="98" customFormat="false" ht="15" hidden="false" customHeight="false" outlineLevel="0" collapsed="false">
      <c r="A98" s="9" t="s">
        <v>1996</v>
      </c>
      <c r="B98" s="9" t="s">
        <v>2150</v>
      </c>
      <c r="C98" s="10" t="s">
        <v>2151</v>
      </c>
      <c r="D98" s="9" t="s">
        <v>2033</v>
      </c>
    </row>
    <row r="99" customFormat="false" ht="15" hidden="false" customHeight="false" outlineLevel="0" collapsed="false">
      <c r="A99" s="9" t="s">
        <v>1996</v>
      </c>
      <c r="B99" s="9" t="s">
        <v>2152</v>
      </c>
      <c r="C99" s="10" t="s">
        <v>2153</v>
      </c>
      <c r="D99" s="9" t="s">
        <v>2033</v>
      </c>
    </row>
    <row r="100" customFormat="false" ht="15" hidden="false" customHeight="false" outlineLevel="0" collapsed="false">
      <c r="A100" s="9" t="s">
        <v>1996</v>
      </c>
      <c r="B100" s="9" t="s">
        <v>2154</v>
      </c>
      <c r="C100" s="10" t="s">
        <v>2155</v>
      </c>
      <c r="D100" s="9" t="s">
        <v>2033</v>
      </c>
    </row>
    <row r="101" customFormat="false" ht="15" hidden="false" customHeight="false" outlineLevel="0" collapsed="false">
      <c r="A101" s="9" t="s">
        <v>1996</v>
      </c>
      <c r="B101" s="9" t="s">
        <v>2156</v>
      </c>
      <c r="C101" s="10" t="s">
        <v>2157</v>
      </c>
      <c r="D101" s="9" t="s">
        <v>2033</v>
      </c>
    </row>
    <row r="102" customFormat="false" ht="15" hidden="false" customHeight="false" outlineLevel="0" collapsed="false">
      <c r="A102" s="9" t="s">
        <v>1996</v>
      </c>
      <c r="B102" s="9" t="s">
        <v>2158</v>
      </c>
      <c r="C102" s="10" t="s">
        <v>2159</v>
      </c>
      <c r="D102" s="9" t="s">
        <v>2033</v>
      </c>
    </row>
    <row r="103" customFormat="false" ht="15" hidden="false" customHeight="false" outlineLevel="0" collapsed="false">
      <c r="A103" s="9" t="s">
        <v>1996</v>
      </c>
      <c r="B103" s="9" t="s">
        <v>2160</v>
      </c>
      <c r="C103" s="10" t="s">
        <v>2161</v>
      </c>
      <c r="D103" s="9" t="s">
        <v>2033</v>
      </c>
    </row>
    <row r="104" customFormat="false" ht="15" hidden="false" customHeight="false" outlineLevel="0" collapsed="false">
      <c r="A104" s="9" t="s">
        <v>1996</v>
      </c>
      <c r="B104" s="9" t="s">
        <v>2162</v>
      </c>
      <c r="C104" s="10" t="s">
        <v>2163</v>
      </c>
      <c r="D104" s="9" t="s">
        <v>2033</v>
      </c>
    </row>
    <row r="105" customFormat="false" ht="15" hidden="false" customHeight="false" outlineLevel="0" collapsed="false">
      <c r="A105" s="9" t="s">
        <v>1996</v>
      </c>
      <c r="B105" s="9" t="s">
        <v>2164</v>
      </c>
      <c r="C105" s="10" t="s">
        <v>2165</v>
      </c>
      <c r="D105" s="9" t="s">
        <v>2033</v>
      </c>
    </row>
    <row r="106" customFormat="false" ht="15" hidden="false" customHeight="false" outlineLevel="0" collapsed="false">
      <c r="A106" s="9" t="s">
        <v>1996</v>
      </c>
      <c r="B106" s="9" t="s">
        <v>2166</v>
      </c>
      <c r="C106" s="10" t="s">
        <v>2167</v>
      </c>
      <c r="D106" s="9" t="s">
        <v>2033</v>
      </c>
    </row>
    <row r="107" customFormat="false" ht="15" hidden="false" customHeight="false" outlineLevel="0" collapsed="false">
      <c r="A107" s="9" t="s">
        <v>1996</v>
      </c>
      <c r="B107" s="9" t="s">
        <v>2168</v>
      </c>
      <c r="C107" s="10" t="s">
        <v>2169</v>
      </c>
      <c r="D107" s="9" t="s">
        <v>546</v>
      </c>
    </row>
    <row r="108" customFormat="false" ht="15" hidden="false" customHeight="false" outlineLevel="0" collapsed="false">
      <c r="A108" s="9" t="s">
        <v>1996</v>
      </c>
      <c r="B108" s="9" t="s">
        <v>2170</v>
      </c>
      <c r="C108" s="10" t="s">
        <v>2171</v>
      </c>
      <c r="D108" s="9" t="s">
        <v>546</v>
      </c>
    </row>
    <row r="109" customFormat="false" ht="15" hidden="false" customHeight="false" outlineLevel="0" collapsed="false">
      <c r="A109" s="9" t="s">
        <v>1996</v>
      </c>
      <c r="B109" s="9" t="s">
        <v>2172</v>
      </c>
      <c r="C109" s="10" t="s">
        <v>2173</v>
      </c>
      <c r="D109" s="9" t="s">
        <v>810</v>
      </c>
    </row>
    <row r="110" customFormat="false" ht="15" hidden="false" customHeight="false" outlineLevel="0" collapsed="false">
      <c r="A110" s="9" t="s">
        <v>1996</v>
      </c>
      <c r="B110" s="9" t="s">
        <v>2174</v>
      </c>
      <c r="C110" s="10" t="s">
        <v>2175</v>
      </c>
      <c r="D110" s="9" t="s">
        <v>810</v>
      </c>
    </row>
    <row r="111" customFormat="false" ht="15" hidden="false" customHeight="false" outlineLevel="0" collapsed="false">
      <c r="A111" s="9" t="s">
        <v>1996</v>
      </c>
      <c r="B111" s="9" t="s">
        <v>2176</v>
      </c>
      <c r="C111" s="10" t="s">
        <v>2177</v>
      </c>
      <c r="D111" s="9" t="s">
        <v>810</v>
      </c>
    </row>
    <row r="112" customFormat="false" ht="15" hidden="false" customHeight="false" outlineLevel="0" collapsed="false">
      <c r="A112" s="9" t="s">
        <v>1996</v>
      </c>
      <c r="B112" s="9" t="s">
        <v>2178</v>
      </c>
      <c r="C112" s="10" t="s">
        <v>2179</v>
      </c>
      <c r="D112" s="9" t="s">
        <v>93</v>
      </c>
    </row>
    <row r="113" customFormat="false" ht="15" hidden="false" customHeight="false" outlineLevel="0" collapsed="false">
      <c r="A113" s="9" t="s">
        <v>1996</v>
      </c>
      <c r="B113" s="9" t="s">
        <v>2180</v>
      </c>
      <c r="C113" s="10" t="s">
        <v>2181</v>
      </c>
      <c r="D113" s="9" t="s">
        <v>93</v>
      </c>
    </row>
    <row r="114" customFormat="false" ht="15" hidden="false" customHeight="false" outlineLevel="0" collapsed="false">
      <c r="A114" s="9" t="s">
        <v>1996</v>
      </c>
      <c r="B114" s="9" t="s">
        <v>2182</v>
      </c>
      <c r="C114" s="10" t="s">
        <v>2183</v>
      </c>
      <c r="D114" s="9" t="s">
        <v>93</v>
      </c>
    </row>
    <row r="115" customFormat="false" ht="15" hidden="false" customHeight="false" outlineLevel="0" collapsed="false">
      <c r="A115" s="9" t="s">
        <v>1996</v>
      </c>
      <c r="B115" s="9" t="s">
        <v>2184</v>
      </c>
      <c r="C115" s="10" t="s">
        <v>2185</v>
      </c>
      <c r="D115" s="9" t="s">
        <v>93</v>
      </c>
    </row>
    <row r="116" customFormat="false" ht="15" hidden="false" customHeight="false" outlineLevel="0" collapsed="false">
      <c r="A116" s="9" t="s">
        <v>1996</v>
      </c>
      <c r="B116" s="9" t="s">
        <v>2186</v>
      </c>
      <c r="C116" s="10" t="s">
        <v>2187</v>
      </c>
      <c r="D116" s="9" t="s">
        <v>93</v>
      </c>
    </row>
    <row r="117" customFormat="false" ht="15" hidden="false" customHeight="false" outlineLevel="0" collapsed="false">
      <c r="A117" s="9" t="s">
        <v>1996</v>
      </c>
      <c r="B117" s="9" t="s">
        <v>2188</v>
      </c>
      <c r="C117" s="10" t="s">
        <v>2189</v>
      </c>
      <c r="D117" s="9" t="s">
        <v>93</v>
      </c>
    </row>
    <row r="118" customFormat="false" ht="15" hidden="false" customHeight="false" outlineLevel="0" collapsed="false">
      <c r="A118" s="9" t="s">
        <v>1996</v>
      </c>
      <c r="B118" s="9" t="s">
        <v>2190</v>
      </c>
      <c r="C118" s="10" t="s">
        <v>2191</v>
      </c>
      <c r="D118" s="9" t="s">
        <v>93</v>
      </c>
    </row>
    <row r="119" customFormat="false" ht="15" hidden="false" customHeight="false" outlineLevel="0" collapsed="false">
      <c r="A119" s="9" t="s">
        <v>1996</v>
      </c>
      <c r="B119" s="9" t="s">
        <v>2192</v>
      </c>
      <c r="C119" s="10" t="s">
        <v>2193</v>
      </c>
      <c r="D119" s="9" t="s">
        <v>1969</v>
      </c>
    </row>
    <row r="120" customFormat="false" ht="15" hidden="false" customHeight="false" outlineLevel="0" collapsed="false">
      <c r="A120" s="9" t="s">
        <v>1996</v>
      </c>
      <c r="B120" s="9" t="s">
        <v>2194</v>
      </c>
      <c r="C120" s="10" t="s">
        <v>2195</v>
      </c>
      <c r="D120" s="9" t="s">
        <v>1969</v>
      </c>
    </row>
    <row r="121" customFormat="false" ht="15" hidden="false" customHeight="false" outlineLevel="0" collapsed="false">
      <c r="A121" s="9" t="s">
        <v>1996</v>
      </c>
      <c r="B121" s="9" t="s">
        <v>2196</v>
      </c>
      <c r="C121" s="10" t="s">
        <v>2197</v>
      </c>
      <c r="D121" s="9" t="s">
        <v>1969</v>
      </c>
    </row>
    <row r="122" customFormat="false" ht="15" hidden="false" customHeight="false" outlineLevel="0" collapsed="false">
      <c r="A122" s="9" t="s">
        <v>1996</v>
      </c>
      <c r="B122" s="9" t="s">
        <v>2198</v>
      </c>
      <c r="C122" s="10" t="s">
        <v>2199</v>
      </c>
      <c r="D122" s="9" t="s">
        <v>1969</v>
      </c>
    </row>
    <row r="123" customFormat="false" ht="15" hidden="false" customHeight="false" outlineLevel="0" collapsed="false">
      <c r="A123" s="9" t="s">
        <v>1996</v>
      </c>
      <c r="B123" s="9" t="s">
        <v>2200</v>
      </c>
      <c r="C123" s="10" t="s">
        <v>2201</v>
      </c>
      <c r="D123" s="9" t="s">
        <v>1969</v>
      </c>
    </row>
    <row r="124" customFormat="false" ht="15" hidden="false" customHeight="false" outlineLevel="0" collapsed="false">
      <c r="A124" s="9" t="s">
        <v>1996</v>
      </c>
      <c r="B124" s="9" t="s">
        <v>2202</v>
      </c>
      <c r="C124" s="10" t="s">
        <v>2203</v>
      </c>
      <c r="D124" s="9" t="s">
        <v>93</v>
      </c>
    </row>
    <row r="125" customFormat="false" ht="15" hidden="false" customHeight="false" outlineLevel="0" collapsed="false">
      <c r="A125" s="9" t="s">
        <v>1996</v>
      </c>
      <c r="B125" s="9" t="s">
        <v>2204</v>
      </c>
      <c r="C125" s="10" t="s">
        <v>2205</v>
      </c>
      <c r="D125" s="9" t="s">
        <v>93</v>
      </c>
    </row>
    <row r="126" customFormat="false" ht="15" hidden="false" customHeight="false" outlineLevel="0" collapsed="false">
      <c r="A126" s="9" t="s">
        <v>1996</v>
      </c>
      <c r="B126" s="9" t="s">
        <v>2206</v>
      </c>
      <c r="C126" s="10" t="s">
        <v>2207</v>
      </c>
      <c r="D126" s="9" t="s">
        <v>93</v>
      </c>
    </row>
    <row r="127" customFormat="false" ht="15" hidden="false" customHeight="false" outlineLevel="0" collapsed="false">
      <c r="A127" s="9" t="s">
        <v>1996</v>
      </c>
      <c r="B127" s="9" t="s">
        <v>2208</v>
      </c>
      <c r="C127" s="10" t="s">
        <v>2209</v>
      </c>
      <c r="D127" s="9" t="s">
        <v>93</v>
      </c>
    </row>
    <row r="128" customFormat="false" ht="15" hidden="false" customHeight="false" outlineLevel="0" collapsed="false">
      <c r="A128" s="9" t="s">
        <v>1996</v>
      </c>
      <c r="B128" s="9" t="s">
        <v>2210</v>
      </c>
      <c r="C128" s="10" t="s">
        <v>2211</v>
      </c>
      <c r="D128" s="9" t="s">
        <v>93</v>
      </c>
    </row>
    <row r="129" customFormat="false" ht="15" hidden="false" customHeight="false" outlineLevel="0" collapsed="false">
      <c r="A129" s="9" t="s">
        <v>1996</v>
      </c>
      <c r="B129" s="9" t="s">
        <v>2212</v>
      </c>
      <c r="C129" s="10" t="s">
        <v>2213</v>
      </c>
      <c r="D129" s="9" t="s">
        <v>93</v>
      </c>
    </row>
    <row r="130" customFormat="false" ht="15" hidden="false" customHeight="false" outlineLevel="0" collapsed="false">
      <c r="A130" s="9" t="s">
        <v>1996</v>
      </c>
      <c r="B130" s="9" t="s">
        <v>2214</v>
      </c>
      <c r="C130" s="10" t="s">
        <v>2215</v>
      </c>
      <c r="D130" s="9" t="s">
        <v>93</v>
      </c>
    </row>
    <row r="131" customFormat="false" ht="15" hidden="false" customHeight="false" outlineLevel="0" collapsed="false">
      <c r="A131" s="9" t="s">
        <v>1996</v>
      </c>
      <c r="B131" s="9" t="s">
        <v>2216</v>
      </c>
      <c r="C131" s="10" t="s">
        <v>2217</v>
      </c>
      <c r="D131" s="9" t="s">
        <v>93</v>
      </c>
    </row>
    <row r="132" customFormat="false" ht="15" hidden="false" customHeight="false" outlineLevel="0" collapsed="false">
      <c r="A132" s="9" t="s">
        <v>1996</v>
      </c>
      <c r="B132" s="9" t="s">
        <v>2218</v>
      </c>
      <c r="C132" s="10" t="s">
        <v>2219</v>
      </c>
      <c r="D132" s="9" t="s">
        <v>93</v>
      </c>
    </row>
    <row r="133" customFormat="false" ht="15" hidden="false" customHeight="false" outlineLevel="0" collapsed="false">
      <c r="A133" s="9" t="s">
        <v>1996</v>
      </c>
      <c r="B133" s="9" t="s">
        <v>2220</v>
      </c>
      <c r="C133" s="10" t="s">
        <v>2221</v>
      </c>
      <c r="D133" s="9" t="s">
        <v>1178</v>
      </c>
    </row>
    <row r="134" customFormat="false" ht="15" hidden="false" customHeight="false" outlineLevel="0" collapsed="false">
      <c r="A134" s="9" t="s">
        <v>1996</v>
      </c>
      <c r="B134" s="9" t="s">
        <v>2222</v>
      </c>
      <c r="C134" s="10" t="s">
        <v>2223</v>
      </c>
      <c r="D134" s="9" t="s">
        <v>1178</v>
      </c>
    </row>
    <row r="135" customFormat="false" ht="15" hidden="false" customHeight="false" outlineLevel="0" collapsed="false">
      <c r="A135" s="9" t="s">
        <v>1996</v>
      </c>
      <c r="B135" s="9" t="s">
        <v>2224</v>
      </c>
      <c r="C135" s="10" t="s">
        <v>2225</v>
      </c>
      <c r="D135" s="9" t="s">
        <v>1178</v>
      </c>
    </row>
    <row r="136" customFormat="false" ht="15" hidden="false" customHeight="false" outlineLevel="0" collapsed="false">
      <c r="A136" s="9" t="s">
        <v>1996</v>
      </c>
      <c r="B136" s="9" t="s">
        <v>2226</v>
      </c>
      <c r="C136" s="10" t="s">
        <v>2227</v>
      </c>
      <c r="D136" s="9" t="s">
        <v>1969</v>
      </c>
    </row>
    <row r="137" customFormat="false" ht="15" hidden="false" customHeight="false" outlineLevel="0" collapsed="false">
      <c r="A137" s="9" t="s">
        <v>1996</v>
      </c>
      <c r="B137" s="9" t="s">
        <v>2228</v>
      </c>
      <c r="C137" s="10" t="s">
        <v>2229</v>
      </c>
      <c r="D137" s="9" t="s">
        <v>1969</v>
      </c>
    </row>
    <row r="138" customFormat="false" ht="15" hidden="false" customHeight="false" outlineLevel="0" collapsed="false">
      <c r="A138" s="9" t="s">
        <v>1996</v>
      </c>
      <c r="B138" s="9" t="s">
        <v>2230</v>
      </c>
      <c r="C138" s="10" t="s">
        <v>2231</v>
      </c>
      <c r="D138" s="9" t="s">
        <v>2044</v>
      </c>
    </row>
    <row r="139" customFormat="false" ht="15" hidden="false" customHeight="false" outlineLevel="0" collapsed="false">
      <c r="A139" s="9" t="s">
        <v>2232</v>
      </c>
      <c r="B139" s="9" t="s">
        <v>2233</v>
      </c>
      <c r="C139" s="10" t="s">
        <v>2234</v>
      </c>
      <c r="D139" s="9" t="s">
        <v>2235</v>
      </c>
    </row>
    <row r="140" customFormat="false" ht="15" hidden="false" customHeight="false" outlineLevel="0" collapsed="false">
      <c r="A140" s="9" t="s">
        <v>2232</v>
      </c>
      <c r="B140" s="9" t="s">
        <v>2236</v>
      </c>
      <c r="C140" s="10" t="s">
        <v>2237</v>
      </c>
      <c r="D140" s="9" t="s">
        <v>968</v>
      </c>
    </row>
    <row r="141" customFormat="false" ht="15" hidden="false" customHeight="false" outlineLevel="0" collapsed="false">
      <c r="A141" s="9" t="s">
        <v>2232</v>
      </c>
      <c r="B141" s="9" t="s">
        <v>2238</v>
      </c>
      <c r="C141" s="10" t="s">
        <v>2239</v>
      </c>
      <c r="D141" s="9" t="s">
        <v>93</v>
      </c>
    </row>
    <row r="142" customFormat="false" ht="15" hidden="false" customHeight="false" outlineLevel="0" collapsed="false">
      <c r="A142" s="9" t="s">
        <v>2232</v>
      </c>
      <c r="B142" s="9" t="s">
        <v>2240</v>
      </c>
      <c r="C142" s="10" t="s">
        <v>2241</v>
      </c>
      <c r="D142" s="9" t="s">
        <v>93</v>
      </c>
    </row>
    <row r="143" customFormat="false" ht="15" hidden="false" customHeight="false" outlineLevel="0" collapsed="false">
      <c r="A143" s="9" t="s">
        <v>2232</v>
      </c>
      <c r="B143" s="9" t="s">
        <v>2242</v>
      </c>
      <c r="C143" s="10" t="s">
        <v>2243</v>
      </c>
      <c r="D143" s="9" t="s">
        <v>1288</v>
      </c>
    </row>
    <row r="144" customFormat="false" ht="15" hidden="false" customHeight="false" outlineLevel="0" collapsed="false">
      <c r="A144" s="9" t="s">
        <v>2232</v>
      </c>
      <c r="B144" s="9" t="s">
        <v>2244</v>
      </c>
      <c r="C144" s="10" t="s">
        <v>2245</v>
      </c>
      <c r="D144" s="9" t="s">
        <v>1969</v>
      </c>
    </row>
    <row r="145" customFormat="false" ht="15" hidden="false" customHeight="false" outlineLevel="0" collapsed="false">
      <c r="A145" s="9" t="s">
        <v>2232</v>
      </c>
      <c r="B145" s="9" t="s">
        <v>2246</v>
      </c>
      <c r="C145" s="10" t="s">
        <v>2247</v>
      </c>
      <c r="D145" s="9" t="s">
        <v>968</v>
      </c>
    </row>
    <row r="146" customFormat="false" ht="15" hidden="false" customHeight="false" outlineLevel="0" collapsed="false">
      <c r="A146" s="9" t="s">
        <v>2232</v>
      </c>
      <c r="B146" s="9" t="s">
        <v>2248</v>
      </c>
      <c r="C146" s="10" t="s">
        <v>2249</v>
      </c>
      <c r="D146" s="9" t="s">
        <v>1288</v>
      </c>
    </row>
    <row r="147" customFormat="false" ht="15" hidden="false" customHeight="false" outlineLevel="0" collapsed="false">
      <c r="A147" s="9" t="s">
        <v>2232</v>
      </c>
      <c r="B147" s="9" t="s">
        <v>2250</v>
      </c>
      <c r="C147" s="10" t="s">
        <v>2251</v>
      </c>
      <c r="D147" s="9" t="s">
        <v>2081</v>
      </c>
    </row>
    <row r="148" customFormat="false" ht="15" hidden="false" customHeight="false" outlineLevel="0" collapsed="false">
      <c r="A148" s="9" t="s">
        <v>2232</v>
      </c>
      <c r="B148" s="9" t="s">
        <v>2252</v>
      </c>
      <c r="C148" s="10" t="s">
        <v>2253</v>
      </c>
      <c r="D148" s="9" t="s">
        <v>2081</v>
      </c>
    </row>
    <row r="149" customFormat="false" ht="15" hidden="false" customHeight="false" outlineLevel="0" collapsed="false">
      <c r="A149" s="9" t="s">
        <v>2232</v>
      </c>
      <c r="B149" s="9" t="s">
        <v>2254</v>
      </c>
      <c r="C149" s="10" t="s">
        <v>2255</v>
      </c>
      <c r="D149" s="9" t="s">
        <v>2081</v>
      </c>
    </row>
    <row r="150" customFormat="false" ht="15" hidden="false" customHeight="false" outlineLevel="0" collapsed="false">
      <c r="A150" s="9" t="s">
        <v>2232</v>
      </c>
      <c r="B150" s="9" t="s">
        <v>2256</v>
      </c>
      <c r="C150" s="10" t="s">
        <v>2257</v>
      </c>
      <c r="D150" s="9" t="s">
        <v>2081</v>
      </c>
    </row>
    <row r="151" customFormat="false" ht="15" hidden="false" customHeight="false" outlineLevel="0" collapsed="false">
      <c r="A151" s="9" t="s">
        <v>2232</v>
      </c>
      <c r="B151" s="9" t="s">
        <v>2258</v>
      </c>
      <c r="C151" s="10" t="s">
        <v>2259</v>
      </c>
      <c r="D151" s="9" t="s">
        <v>2044</v>
      </c>
    </row>
    <row r="152" customFormat="false" ht="15" hidden="false" customHeight="false" outlineLevel="0" collapsed="false">
      <c r="A152" s="9" t="s">
        <v>2232</v>
      </c>
      <c r="B152" s="9" t="s">
        <v>2260</v>
      </c>
      <c r="C152" s="10" t="s">
        <v>2261</v>
      </c>
      <c r="D152" s="9" t="s">
        <v>2044</v>
      </c>
    </row>
    <row r="153" customFormat="false" ht="15" hidden="false" customHeight="false" outlineLevel="0" collapsed="false">
      <c r="A153" s="9" t="s">
        <v>2232</v>
      </c>
      <c r="B153" s="9" t="s">
        <v>2262</v>
      </c>
      <c r="C153" s="10" t="s">
        <v>2263</v>
      </c>
      <c r="D153" s="9" t="s">
        <v>546</v>
      </c>
    </row>
    <row r="154" customFormat="false" ht="15" hidden="false" customHeight="false" outlineLevel="0" collapsed="false">
      <c r="A154" s="9" t="s">
        <v>2232</v>
      </c>
      <c r="B154" s="9" t="s">
        <v>2264</v>
      </c>
      <c r="C154" s="10" t="s">
        <v>2265</v>
      </c>
      <c r="D154" s="9" t="s">
        <v>2033</v>
      </c>
    </row>
    <row r="155" customFormat="false" ht="15" hidden="false" customHeight="false" outlineLevel="0" collapsed="false">
      <c r="A155" s="9" t="s">
        <v>2232</v>
      </c>
      <c r="B155" s="9" t="s">
        <v>2266</v>
      </c>
      <c r="C155" s="10" t="s">
        <v>2267</v>
      </c>
      <c r="D155" s="9" t="s">
        <v>2033</v>
      </c>
    </row>
    <row r="156" customFormat="false" ht="15" hidden="false" customHeight="false" outlineLevel="0" collapsed="false">
      <c r="A156" s="9" t="s">
        <v>2232</v>
      </c>
      <c r="B156" s="9" t="s">
        <v>2268</v>
      </c>
      <c r="C156" s="10" t="s">
        <v>2269</v>
      </c>
      <c r="D156" s="9" t="s">
        <v>198</v>
      </c>
    </row>
    <row r="157" customFormat="false" ht="15" hidden="false" customHeight="false" outlineLevel="0" collapsed="false">
      <c r="A157" s="9" t="s">
        <v>2232</v>
      </c>
      <c r="B157" s="9" t="s">
        <v>2270</v>
      </c>
      <c r="C157" s="10" t="s">
        <v>2271</v>
      </c>
      <c r="D157" s="9" t="s">
        <v>198</v>
      </c>
    </row>
    <row r="158" customFormat="false" ht="15" hidden="false" customHeight="false" outlineLevel="0" collapsed="false">
      <c r="A158" s="9" t="s">
        <v>2232</v>
      </c>
      <c r="B158" s="9" t="s">
        <v>2272</v>
      </c>
      <c r="C158" s="10" t="s">
        <v>2273</v>
      </c>
      <c r="D158" s="9" t="s">
        <v>1969</v>
      </c>
    </row>
    <row r="159" customFormat="false" ht="15" hidden="false" customHeight="false" outlineLevel="0" collapsed="false">
      <c r="A159" s="9" t="s">
        <v>2232</v>
      </c>
      <c r="B159" s="9" t="s">
        <v>2274</v>
      </c>
      <c r="C159" s="10" t="s">
        <v>2275</v>
      </c>
      <c r="D159" s="9" t="s">
        <v>1878</v>
      </c>
    </row>
    <row r="160" customFormat="false" ht="15" hidden="false" customHeight="false" outlineLevel="0" collapsed="false">
      <c r="A160" s="9" t="s">
        <v>2232</v>
      </c>
      <c r="B160" s="9" t="s">
        <v>2276</v>
      </c>
      <c r="C160" s="10" t="s">
        <v>2277</v>
      </c>
      <c r="D160" s="9" t="s">
        <v>198</v>
      </c>
    </row>
    <row r="161" customFormat="false" ht="15" hidden="false" customHeight="false" outlineLevel="0" collapsed="false">
      <c r="A161" s="9" t="s">
        <v>2232</v>
      </c>
      <c r="B161" s="9" t="s">
        <v>2278</v>
      </c>
      <c r="C161" s="10" t="s">
        <v>2279</v>
      </c>
      <c r="D161" s="9" t="s">
        <v>546</v>
      </c>
    </row>
    <row r="162" customFormat="false" ht="15" hidden="false" customHeight="false" outlineLevel="0" collapsed="false">
      <c r="A162" s="9" t="s">
        <v>2232</v>
      </c>
      <c r="B162" s="9" t="s">
        <v>2280</v>
      </c>
      <c r="C162" s="10" t="s">
        <v>2281</v>
      </c>
      <c r="D162" s="9" t="s">
        <v>198</v>
      </c>
    </row>
    <row r="163" customFormat="false" ht="15" hidden="false" customHeight="false" outlineLevel="0" collapsed="false">
      <c r="A163" s="9" t="s">
        <v>2232</v>
      </c>
      <c r="B163" s="9" t="s">
        <v>2282</v>
      </c>
      <c r="C163" s="10" t="s">
        <v>2283</v>
      </c>
      <c r="D163" s="9" t="s">
        <v>198</v>
      </c>
    </row>
    <row r="164" customFormat="false" ht="15" hidden="false" customHeight="false" outlineLevel="0" collapsed="false">
      <c r="A164" s="9" t="s">
        <v>2232</v>
      </c>
      <c r="B164" s="9" t="s">
        <v>2284</v>
      </c>
      <c r="C164" s="10" t="s">
        <v>2285</v>
      </c>
      <c r="D164" s="9" t="s">
        <v>198</v>
      </c>
    </row>
    <row r="165" customFormat="false" ht="15" hidden="false" customHeight="false" outlineLevel="0" collapsed="false">
      <c r="A165" s="9" t="s">
        <v>2232</v>
      </c>
      <c r="B165" s="9" t="s">
        <v>2286</v>
      </c>
      <c r="C165" s="10" t="s">
        <v>2287</v>
      </c>
      <c r="D165" s="9" t="s">
        <v>198</v>
      </c>
    </row>
    <row r="166" customFormat="false" ht="15" hidden="false" customHeight="false" outlineLevel="0" collapsed="false">
      <c r="A166" s="9" t="s">
        <v>2232</v>
      </c>
      <c r="B166" s="9" t="s">
        <v>2288</v>
      </c>
      <c r="C166" s="10" t="s">
        <v>2289</v>
      </c>
      <c r="D166" s="9" t="s">
        <v>198</v>
      </c>
    </row>
    <row r="167" customFormat="false" ht="15" hidden="false" customHeight="false" outlineLevel="0" collapsed="false">
      <c r="A167" s="9" t="s">
        <v>2232</v>
      </c>
      <c r="B167" s="9" t="s">
        <v>2290</v>
      </c>
      <c r="C167" s="10" t="s">
        <v>2291</v>
      </c>
      <c r="D167" s="9" t="s">
        <v>198</v>
      </c>
    </row>
    <row r="168" customFormat="false" ht="15" hidden="false" customHeight="false" outlineLevel="0" collapsed="false">
      <c r="A168" s="9" t="s">
        <v>2232</v>
      </c>
      <c r="B168" s="9" t="s">
        <v>2292</v>
      </c>
      <c r="C168" s="10" t="s">
        <v>2293</v>
      </c>
      <c r="D168" s="9" t="s">
        <v>198</v>
      </c>
    </row>
    <row r="169" customFormat="false" ht="15" hidden="false" customHeight="false" outlineLevel="0" collapsed="false">
      <c r="A169" s="9" t="s">
        <v>2232</v>
      </c>
      <c r="B169" s="9" t="s">
        <v>2294</v>
      </c>
      <c r="C169" s="10" t="s">
        <v>2295</v>
      </c>
      <c r="D169" s="9" t="s">
        <v>198</v>
      </c>
    </row>
    <row r="170" customFormat="false" ht="15" hidden="false" customHeight="false" outlineLevel="0" collapsed="false">
      <c r="A170" s="9" t="s">
        <v>2232</v>
      </c>
      <c r="B170" s="9" t="s">
        <v>2296</v>
      </c>
      <c r="C170" s="10" t="s">
        <v>2297</v>
      </c>
      <c r="D170" s="9" t="s">
        <v>198</v>
      </c>
    </row>
    <row r="171" customFormat="false" ht="15" hidden="false" customHeight="false" outlineLevel="0" collapsed="false">
      <c r="A171" s="9" t="s">
        <v>2232</v>
      </c>
      <c r="B171" s="9" t="s">
        <v>2298</v>
      </c>
      <c r="C171" s="10" t="s">
        <v>2299</v>
      </c>
      <c r="D171" s="9" t="s">
        <v>810</v>
      </c>
    </row>
    <row r="172" customFormat="false" ht="15" hidden="false" customHeight="false" outlineLevel="0" collapsed="false">
      <c r="A172" s="9" t="s">
        <v>2232</v>
      </c>
      <c r="B172" s="9" t="s">
        <v>2300</v>
      </c>
      <c r="C172" s="10" t="s">
        <v>2301</v>
      </c>
      <c r="D172" s="9" t="s">
        <v>810</v>
      </c>
    </row>
    <row r="173" customFormat="false" ht="15" hidden="false" customHeight="false" outlineLevel="0" collapsed="false">
      <c r="A173" s="9" t="s">
        <v>2232</v>
      </c>
      <c r="B173" s="9" t="s">
        <v>2302</v>
      </c>
      <c r="C173" s="10" t="s">
        <v>2303</v>
      </c>
      <c r="D173" s="9" t="s">
        <v>810</v>
      </c>
    </row>
    <row r="174" customFormat="false" ht="15" hidden="false" customHeight="false" outlineLevel="0" collapsed="false">
      <c r="A174" s="9" t="s">
        <v>2232</v>
      </c>
      <c r="B174" s="9" t="s">
        <v>2304</v>
      </c>
      <c r="C174" s="10" t="s">
        <v>2305</v>
      </c>
      <c r="D174" s="9" t="s">
        <v>810</v>
      </c>
    </row>
    <row r="175" customFormat="false" ht="15" hidden="false" customHeight="false" outlineLevel="0" collapsed="false">
      <c r="A175" s="9" t="s">
        <v>2232</v>
      </c>
      <c r="B175" s="9" t="s">
        <v>2306</v>
      </c>
      <c r="C175" s="10" t="s">
        <v>2307</v>
      </c>
      <c r="D175" s="9" t="s">
        <v>810</v>
      </c>
    </row>
    <row r="176" customFormat="false" ht="15" hidden="false" customHeight="false" outlineLevel="0" collapsed="false">
      <c r="A176" s="9" t="s">
        <v>2232</v>
      </c>
      <c r="B176" s="9" t="s">
        <v>2308</v>
      </c>
      <c r="C176" s="10" t="s">
        <v>2309</v>
      </c>
      <c r="D176" s="9" t="s">
        <v>810</v>
      </c>
    </row>
    <row r="177" customFormat="false" ht="15" hidden="false" customHeight="false" outlineLevel="0" collapsed="false">
      <c r="A177" s="9" t="s">
        <v>2232</v>
      </c>
      <c r="B177" s="9" t="s">
        <v>2310</v>
      </c>
      <c r="C177" s="10" t="s">
        <v>2311</v>
      </c>
      <c r="D177" s="9" t="s">
        <v>810</v>
      </c>
    </row>
    <row r="178" customFormat="false" ht="15" hidden="false" customHeight="false" outlineLevel="0" collapsed="false">
      <c r="A178" s="9" t="s">
        <v>2232</v>
      </c>
      <c r="B178" s="9" t="s">
        <v>2312</v>
      </c>
      <c r="C178" s="10" t="s">
        <v>2313</v>
      </c>
      <c r="D178" s="9" t="s">
        <v>810</v>
      </c>
    </row>
    <row r="179" customFormat="false" ht="15" hidden="false" customHeight="false" outlineLevel="0" collapsed="false">
      <c r="A179" s="9" t="s">
        <v>2232</v>
      </c>
      <c r="B179" s="9" t="s">
        <v>2314</v>
      </c>
      <c r="C179" s="10" t="s">
        <v>2315</v>
      </c>
      <c r="D179" s="9" t="s">
        <v>93</v>
      </c>
    </row>
    <row r="180" customFormat="false" ht="15" hidden="false" customHeight="false" outlineLevel="0" collapsed="false">
      <c r="A180" s="9" t="s">
        <v>2232</v>
      </c>
      <c r="B180" s="9" t="s">
        <v>2316</v>
      </c>
      <c r="C180" s="10" t="s">
        <v>2317</v>
      </c>
      <c r="D180" s="9" t="s">
        <v>93</v>
      </c>
    </row>
    <row r="181" customFormat="false" ht="15" hidden="false" customHeight="false" outlineLevel="0" collapsed="false">
      <c r="A181" s="9" t="s">
        <v>2232</v>
      </c>
      <c r="B181" s="9" t="s">
        <v>2318</v>
      </c>
      <c r="C181" s="10" t="s">
        <v>2319</v>
      </c>
      <c r="D181" s="9" t="s">
        <v>93</v>
      </c>
    </row>
    <row r="182" customFormat="false" ht="15" hidden="false" customHeight="false" outlineLevel="0" collapsed="false">
      <c r="A182" s="9" t="s">
        <v>2232</v>
      </c>
      <c r="B182" s="9" t="s">
        <v>2320</v>
      </c>
      <c r="C182" s="10" t="s">
        <v>2321</v>
      </c>
      <c r="D182" s="9" t="s">
        <v>93</v>
      </c>
    </row>
    <row r="183" customFormat="false" ht="15" hidden="false" customHeight="false" outlineLevel="0" collapsed="false">
      <c r="A183" s="9" t="s">
        <v>2232</v>
      </c>
      <c r="B183" s="9" t="s">
        <v>2322</v>
      </c>
      <c r="C183" s="10" t="s">
        <v>2323</v>
      </c>
      <c r="D183" s="9" t="s">
        <v>93</v>
      </c>
    </row>
    <row r="184" customFormat="false" ht="15" hidden="false" customHeight="false" outlineLevel="0" collapsed="false">
      <c r="A184" s="9" t="s">
        <v>2232</v>
      </c>
      <c r="B184" s="9" t="s">
        <v>2324</v>
      </c>
      <c r="C184" s="10" t="s">
        <v>2325</v>
      </c>
      <c r="D184" s="9" t="s">
        <v>93</v>
      </c>
    </row>
    <row r="185" customFormat="false" ht="15" hidden="false" customHeight="false" outlineLevel="0" collapsed="false">
      <c r="A185" s="9" t="s">
        <v>2326</v>
      </c>
      <c r="B185" s="9" t="s">
        <v>2327</v>
      </c>
      <c r="C185" s="10" t="s">
        <v>2328</v>
      </c>
      <c r="D185" s="9" t="s">
        <v>93</v>
      </c>
    </row>
    <row r="186" customFormat="false" ht="15" hidden="false" customHeight="false" outlineLevel="0" collapsed="false">
      <c r="A186" s="9" t="s">
        <v>2232</v>
      </c>
      <c r="B186" s="9" t="s">
        <v>2329</v>
      </c>
      <c r="C186" s="10" t="s">
        <v>2330</v>
      </c>
      <c r="D186" s="9" t="s">
        <v>93</v>
      </c>
    </row>
    <row r="187" customFormat="false" ht="15" hidden="false" customHeight="false" outlineLevel="0" collapsed="false">
      <c r="A187" s="9" t="s">
        <v>2232</v>
      </c>
      <c r="B187" s="9" t="s">
        <v>2331</v>
      </c>
      <c r="C187" s="10" t="s">
        <v>2332</v>
      </c>
      <c r="D187" s="9" t="s">
        <v>93</v>
      </c>
    </row>
    <row r="188" customFormat="false" ht="15" hidden="false" customHeight="false" outlineLevel="0" collapsed="false">
      <c r="A188" s="9" t="s">
        <v>2232</v>
      </c>
      <c r="B188" s="9" t="s">
        <v>2333</v>
      </c>
      <c r="C188" s="10" t="s">
        <v>2334</v>
      </c>
      <c r="D188" s="9" t="s">
        <v>93</v>
      </c>
    </row>
    <row r="189" customFormat="false" ht="15" hidden="false" customHeight="false" outlineLevel="0" collapsed="false">
      <c r="A189" s="9" t="s">
        <v>2232</v>
      </c>
      <c r="B189" s="9" t="s">
        <v>2335</v>
      </c>
      <c r="C189" s="10" t="s">
        <v>2336</v>
      </c>
      <c r="D189" s="9" t="s">
        <v>93</v>
      </c>
    </row>
    <row r="190" customFormat="false" ht="15" hidden="false" customHeight="false" outlineLevel="0" collapsed="false">
      <c r="A190" s="9" t="s">
        <v>2232</v>
      </c>
      <c r="B190" s="9" t="s">
        <v>2337</v>
      </c>
      <c r="C190" s="10" t="s">
        <v>2338</v>
      </c>
      <c r="D190" s="9" t="s">
        <v>93</v>
      </c>
    </row>
    <row r="191" customFormat="false" ht="15" hidden="false" customHeight="false" outlineLevel="0" collapsed="false">
      <c r="A191" s="9" t="s">
        <v>2232</v>
      </c>
      <c r="B191" s="9" t="s">
        <v>2339</v>
      </c>
      <c r="C191" s="10" t="s">
        <v>2340</v>
      </c>
      <c r="D191" s="9" t="s">
        <v>2235</v>
      </c>
    </row>
    <row r="192" customFormat="false" ht="15" hidden="false" customHeight="false" outlineLevel="0" collapsed="false">
      <c r="A192" s="9" t="s">
        <v>2232</v>
      </c>
      <c r="B192" s="9" t="s">
        <v>2341</v>
      </c>
      <c r="C192" s="10" t="s">
        <v>2342</v>
      </c>
      <c r="D192" s="9" t="s">
        <v>2235</v>
      </c>
    </row>
    <row r="193" customFormat="false" ht="15" hidden="false" customHeight="false" outlineLevel="0" collapsed="false">
      <c r="A193" s="9" t="s">
        <v>2232</v>
      </c>
      <c r="B193" s="9" t="s">
        <v>2343</v>
      </c>
      <c r="C193" s="10" t="s">
        <v>2344</v>
      </c>
      <c r="D193" s="9" t="s">
        <v>1969</v>
      </c>
    </row>
    <row r="194" customFormat="false" ht="15" hidden="false" customHeight="false" outlineLevel="0" collapsed="false">
      <c r="A194" s="9" t="s">
        <v>2232</v>
      </c>
      <c r="B194" s="9" t="s">
        <v>2345</v>
      </c>
      <c r="C194" s="10" t="s">
        <v>2344</v>
      </c>
      <c r="D194" s="9" t="s">
        <v>1969</v>
      </c>
    </row>
    <row r="195" customFormat="false" ht="15" hidden="false" customHeight="false" outlineLevel="0" collapsed="false">
      <c r="A195" s="9" t="s">
        <v>2232</v>
      </c>
      <c r="B195" s="9" t="s">
        <v>2346</v>
      </c>
      <c r="C195" s="10" t="s">
        <v>2347</v>
      </c>
      <c r="D195" s="9" t="s">
        <v>2235</v>
      </c>
    </row>
    <row r="196" customFormat="false" ht="15" hidden="false" customHeight="false" outlineLevel="0" collapsed="false">
      <c r="A196" s="9" t="s">
        <v>2232</v>
      </c>
      <c r="B196" s="9" t="s">
        <v>2348</v>
      </c>
      <c r="C196" s="10" t="s">
        <v>2349</v>
      </c>
      <c r="D196" s="9" t="s">
        <v>2235</v>
      </c>
    </row>
    <row r="197" customFormat="false" ht="15" hidden="false" customHeight="false" outlineLevel="0" collapsed="false">
      <c r="A197" s="9" t="s">
        <v>2232</v>
      </c>
      <c r="B197" s="9" t="s">
        <v>2350</v>
      </c>
      <c r="C197" s="10" t="s">
        <v>2351</v>
      </c>
      <c r="D197" s="9" t="s">
        <v>546</v>
      </c>
    </row>
    <row r="198" customFormat="false" ht="15" hidden="false" customHeight="false" outlineLevel="0" collapsed="false">
      <c r="A198" s="9" t="s">
        <v>2232</v>
      </c>
      <c r="B198" s="9" t="s">
        <v>2352</v>
      </c>
      <c r="C198" s="10" t="s">
        <v>2353</v>
      </c>
      <c r="D198" s="9" t="s">
        <v>546</v>
      </c>
    </row>
    <row r="199" customFormat="false" ht="15" hidden="false" customHeight="false" outlineLevel="0" collapsed="false">
      <c r="A199" s="9" t="s">
        <v>2232</v>
      </c>
      <c r="B199" s="9" t="s">
        <v>2354</v>
      </c>
      <c r="C199" s="10" t="s">
        <v>2355</v>
      </c>
      <c r="D199" s="9" t="s">
        <v>1969</v>
      </c>
    </row>
    <row r="200" customFormat="false" ht="15" hidden="false" customHeight="false" outlineLevel="0" collapsed="false">
      <c r="A200" s="9" t="s">
        <v>2232</v>
      </c>
      <c r="B200" s="9" t="s">
        <v>2356</v>
      </c>
      <c r="C200" s="10" t="s">
        <v>2355</v>
      </c>
      <c r="D200" s="9" t="s">
        <v>1969</v>
      </c>
    </row>
    <row r="201" customFormat="false" ht="15" hidden="false" customHeight="false" outlineLevel="0" collapsed="false">
      <c r="A201" s="9" t="s">
        <v>2232</v>
      </c>
      <c r="B201" s="9" t="s">
        <v>2357</v>
      </c>
      <c r="C201" s="10" t="s">
        <v>2355</v>
      </c>
      <c r="D201" s="9" t="s">
        <v>1969</v>
      </c>
    </row>
    <row r="202" customFormat="false" ht="15" hidden="false" customHeight="false" outlineLevel="0" collapsed="false">
      <c r="A202" s="9" t="s">
        <v>2232</v>
      </c>
      <c r="B202" s="9" t="s">
        <v>2358</v>
      </c>
      <c r="C202" s="10" t="s">
        <v>2359</v>
      </c>
      <c r="D202" s="9" t="s">
        <v>1969</v>
      </c>
    </row>
    <row r="203" customFormat="false" ht="15" hidden="false" customHeight="false" outlineLevel="0" collapsed="false">
      <c r="A203" s="9" t="s">
        <v>2232</v>
      </c>
      <c r="B203" s="9" t="s">
        <v>2360</v>
      </c>
      <c r="C203" s="10" t="s">
        <v>2359</v>
      </c>
      <c r="D203" s="9" t="s">
        <v>1969</v>
      </c>
    </row>
    <row r="204" customFormat="false" ht="15" hidden="false" customHeight="false" outlineLevel="0" collapsed="false">
      <c r="A204" s="9" t="s">
        <v>2232</v>
      </c>
      <c r="B204" s="9" t="s">
        <v>2361</v>
      </c>
      <c r="C204" s="10" t="s">
        <v>2359</v>
      </c>
      <c r="D204" s="9" t="s">
        <v>1969</v>
      </c>
    </row>
    <row r="205" customFormat="false" ht="15" hidden="false" customHeight="false" outlineLevel="0" collapsed="false">
      <c r="A205" s="9" t="s">
        <v>2232</v>
      </c>
      <c r="B205" s="9" t="s">
        <v>2362</v>
      </c>
      <c r="C205" s="10" t="s">
        <v>2359</v>
      </c>
      <c r="D205" s="9" t="s">
        <v>1969</v>
      </c>
    </row>
    <row r="206" customFormat="false" ht="15" hidden="false" customHeight="false" outlineLevel="0" collapsed="false">
      <c r="A206" s="9" t="s">
        <v>2232</v>
      </c>
      <c r="B206" s="9" t="s">
        <v>2363</v>
      </c>
      <c r="C206" s="10" t="s">
        <v>2359</v>
      </c>
      <c r="D206" s="9" t="s">
        <v>1969</v>
      </c>
    </row>
    <row r="207" customFormat="false" ht="15" hidden="false" customHeight="false" outlineLevel="0" collapsed="false">
      <c r="A207" s="9" t="s">
        <v>2232</v>
      </c>
      <c r="B207" s="9" t="s">
        <v>2364</v>
      </c>
      <c r="C207" s="10" t="s">
        <v>2365</v>
      </c>
      <c r="D207" s="9" t="s">
        <v>1969</v>
      </c>
    </row>
    <row r="208" customFormat="false" ht="15" hidden="false" customHeight="false" outlineLevel="0" collapsed="false">
      <c r="A208" s="9" t="s">
        <v>2232</v>
      </c>
      <c r="B208" s="9" t="s">
        <v>2366</v>
      </c>
      <c r="C208" s="10" t="s">
        <v>2365</v>
      </c>
      <c r="D208" s="9" t="s">
        <v>1969</v>
      </c>
    </row>
    <row r="209" customFormat="false" ht="15" hidden="false" customHeight="false" outlineLevel="0" collapsed="false">
      <c r="A209" s="9" t="s">
        <v>2232</v>
      </c>
      <c r="B209" s="9" t="s">
        <v>2367</v>
      </c>
      <c r="C209" s="10" t="s">
        <v>2365</v>
      </c>
      <c r="D209" s="9" t="s">
        <v>1969</v>
      </c>
    </row>
    <row r="210" customFormat="false" ht="39.55" hidden="false" customHeight="false" outlineLevel="0" collapsed="false">
      <c r="A210" s="9" t="s">
        <v>2232</v>
      </c>
      <c r="B210" s="9" t="s">
        <v>2368</v>
      </c>
      <c r="C210" s="10" t="s">
        <v>2369</v>
      </c>
      <c r="D210" s="9" t="s">
        <v>546</v>
      </c>
    </row>
    <row r="211" customFormat="false" ht="15" hidden="false" customHeight="false" outlineLevel="0" collapsed="false">
      <c r="A211" s="9" t="s">
        <v>2232</v>
      </c>
      <c r="B211" s="9" t="s">
        <v>2370</v>
      </c>
      <c r="C211" s="10" t="s">
        <v>2371</v>
      </c>
      <c r="D211" s="9" t="s">
        <v>546</v>
      </c>
    </row>
    <row r="212" customFormat="false" ht="15" hidden="false" customHeight="false" outlineLevel="0" collapsed="false">
      <c r="A212" s="9" t="s">
        <v>2232</v>
      </c>
      <c r="B212" s="9" t="s">
        <v>2372</v>
      </c>
      <c r="C212" s="10" t="s">
        <v>2373</v>
      </c>
      <c r="D212" s="9" t="s">
        <v>546</v>
      </c>
    </row>
    <row r="213" customFormat="false" ht="15" hidden="false" customHeight="false" outlineLevel="0" collapsed="false">
      <c r="A213" s="9" t="s">
        <v>2232</v>
      </c>
      <c r="B213" s="9" t="s">
        <v>2374</v>
      </c>
      <c r="C213" s="10" t="s">
        <v>2375</v>
      </c>
      <c r="D213" s="9" t="s">
        <v>2044</v>
      </c>
    </row>
    <row r="214" customFormat="false" ht="15" hidden="false" customHeight="false" outlineLevel="0" collapsed="false">
      <c r="A214" s="9" t="s">
        <v>2232</v>
      </c>
      <c r="B214" s="9" t="s">
        <v>2376</v>
      </c>
      <c r="C214" s="10" t="s">
        <v>2377</v>
      </c>
      <c r="D214" s="9" t="s">
        <v>2044</v>
      </c>
    </row>
    <row r="215" customFormat="false" ht="15" hidden="false" customHeight="false" outlineLevel="0" collapsed="false">
      <c r="A215" s="9" t="s">
        <v>2232</v>
      </c>
      <c r="B215" s="9" t="s">
        <v>2378</v>
      </c>
      <c r="C215" s="10" t="s">
        <v>2379</v>
      </c>
      <c r="D215" s="9" t="s">
        <v>2044</v>
      </c>
    </row>
    <row r="216" customFormat="false" ht="15" hidden="false" customHeight="false" outlineLevel="0" collapsed="false">
      <c r="A216" s="9" t="s">
        <v>2232</v>
      </c>
      <c r="B216" s="9" t="s">
        <v>2380</v>
      </c>
      <c r="C216" s="10" t="s">
        <v>2381</v>
      </c>
      <c r="D216" s="9" t="s">
        <v>2044</v>
      </c>
    </row>
    <row r="217" customFormat="false" ht="15" hidden="false" customHeight="false" outlineLevel="0" collapsed="false">
      <c r="A217" s="9" t="s">
        <v>2232</v>
      </c>
      <c r="B217" s="9" t="s">
        <v>2382</v>
      </c>
      <c r="C217" s="10" t="s">
        <v>2383</v>
      </c>
      <c r="D217" s="9" t="s">
        <v>2044</v>
      </c>
    </row>
    <row r="218" customFormat="false" ht="15" hidden="false" customHeight="false" outlineLevel="0" collapsed="false">
      <c r="A218" s="9" t="s">
        <v>2232</v>
      </c>
      <c r="B218" s="9" t="s">
        <v>2384</v>
      </c>
      <c r="C218" s="10" t="s">
        <v>2385</v>
      </c>
      <c r="D218" s="9" t="s">
        <v>2044</v>
      </c>
    </row>
    <row r="219" customFormat="false" ht="15" hidden="false" customHeight="false" outlineLevel="0" collapsed="false">
      <c r="A219" s="9" t="s">
        <v>2232</v>
      </c>
      <c r="B219" s="9" t="s">
        <v>2386</v>
      </c>
      <c r="C219" s="10" t="s">
        <v>2387</v>
      </c>
      <c r="D219" s="9" t="s">
        <v>2044</v>
      </c>
    </row>
    <row r="220" customFormat="false" ht="15" hidden="false" customHeight="false" outlineLevel="0" collapsed="false">
      <c r="A220" s="9" t="s">
        <v>2232</v>
      </c>
      <c r="B220" s="9" t="s">
        <v>2388</v>
      </c>
      <c r="C220" s="10" t="s">
        <v>2389</v>
      </c>
      <c r="D220" s="9" t="s">
        <v>2044</v>
      </c>
    </row>
    <row r="221" customFormat="false" ht="15" hidden="false" customHeight="false" outlineLevel="0" collapsed="false">
      <c r="A221" s="9" t="s">
        <v>2232</v>
      </c>
      <c r="B221" s="9" t="s">
        <v>2390</v>
      </c>
      <c r="C221" s="10" t="s">
        <v>2391</v>
      </c>
      <c r="D221" s="9" t="s">
        <v>2044</v>
      </c>
    </row>
    <row r="222" customFormat="false" ht="15" hidden="false" customHeight="false" outlineLevel="0" collapsed="false">
      <c r="A222" s="9" t="s">
        <v>2232</v>
      </c>
      <c r="B222" s="9" t="s">
        <v>2392</v>
      </c>
      <c r="C222" s="10" t="s">
        <v>2393</v>
      </c>
      <c r="D222" s="9" t="s">
        <v>2044</v>
      </c>
    </row>
    <row r="223" customFormat="false" ht="15" hidden="false" customHeight="false" outlineLevel="0" collapsed="false">
      <c r="A223" s="9" t="s">
        <v>2232</v>
      </c>
      <c r="B223" s="9" t="s">
        <v>2394</v>
      </c>
      <c r="C223" s="10" t="s">
        <v>2395</v>
      </c>
      <c r="D223" s="9" t="s">
        <v>2044</v>
      </c>
    </row>
    <row r="224" customFormat="false" ht="15" hidden="false" customHeight="false" outlineLevel="0" collapsed="false">
      <c r="A224" s="9" t="s">
        <v>2232</v>
      </c>
      <c r="B224" s="9" t="s">
        <v>2396</v>
      </c>
      <c r="C224" s="10" t="s">
        <v>2397</v>
      </c>
      <c r="D224" s="9" t="s">
        <v>2044</v>
      </c>
    </row>
    <row r="225" customFormat="false" ht="15" hidden="false" customHeight="false" outlineLevel="0" collapsed="false">
      <c r="A225" s="9" t="s">
        <v>2232</v>
      </c>
      <c r="B225" s="9" t="s">
        <v>2398</v>
      </c>
      <c r="C225" s="10" t="s">
        <v>2399</v>
      </c>
      <c r="D225" s="9" t="s">
        <v>2044</v>
      </c>
    </row>
    <row r="226" customFormat="false" ht="15" hidden="false" customHeight="false" outlineLevel="0" collapsed="false">
      <c r="A226" s="9" t="s">
        <v>2232</v>
      </c>
      <c r="B226" s="9" t="s">
        <v>2400</v>
      </c>
      <c r="C226" s="10" t="s">
        <v>2401</v>
      </c>
      <c r="D226" s="9" t="s">
        <v>2044</v>
      </c>
    </row>
    <row r="227" customFormat="false" ht="15" hidden="false" customHeight="false" outlineLevel="0" collapsed="false">
      <c r="A227" s="9" t="s">
        <v>2232</v>
      </c>
      <c r="B227" s="9" t="s">
        <v>2402</v>
      </c>
      <c r="C227" s="10" t="s">
        <v>2403</v>
      </c>
      <c r="D227" s="9" t="s">
        <v>2044</v>
      </c>
    </row>
    <row r="228" customFormat="false" ht="15" hidden="false" customHeight="false" outlineLevel="0" collapsed="false">
      <c r="A228" s="9" t="s">
        <v>2232</v>
      </c>
      <c r="B228" s="9" t="s">
        <v>2404</v>
      </c>
      <c r="C228" s="10" t="s">
        <v>2405</v>
      </c>
      <c r="D228" s="9" t="s">
        <v>2044</v>
      </c>
    </row>
    <row r="229" customFormat="false" ht="15" hidden="false" customHeight="false" outlineLevel="0" collapsed="false">
      <c r="A229" s="9" t="s">
        <v>2232</v>
      </c>
      <c r="B229" s="9" t="s">
        <v>2406</v>
      </c>
      <c r="C229" s="10" t="s">
        <v>2407</v>
      </c>
      <c r="D229" s="9" t="s">
        <v>2044</v>
      </c>
    </row>
    <row r="230" customFormat="false" ht="15" hidden="false" customHeight="false" outlineLevel="0" collapsed="false">
      <c r="A230" s="9" t="s">
        <v>2232</v>
      </c>
      <c r="B230" s="9" t="s">
        <v>2408</v>
      </c>
      <c r="C230" s="10" t="s">
        <v>2409</v>
      </c>
      <c r="D230" s="9" t="s">
        <v>2044</v>
      </c>
    </row>
    <row r="231" customFormat="false" ht="15" hidden="false" customHeight="false" outlineLevel="0" collapsed="false">
      <c r="A231" s="9" t="s">
        <v>2232</v>
      </c>
      <c r="B231" s="9" t="s">
        <v>2410</v>
      </c>
      <c r="C231" s="10" t="s">
        <v>2411</v>
      </c>
      <c r="D231" s="9" t="s">
        <v>2044</v>
      </c>
    </row>
    <row r="232" customFormat="false" ht="15" hidden="false" customHeight="false" outlineLevel="0" collapsed="false">
      <c r="A232" s="9" t="s">
        <v>2232</v>
      </c>
      <c r="B232" s="9" t="s">
        <v>2412</v>
      </c>
      <c r="C232" s="10" t="s">
        <v>2413</v>
      </c>
      <c r="D232" s="9" t="s">
        <v>2044</v>
      </c>
    </row>
    <row r="233" customFormat="false" ht="15" hidden="false" customHeight="false" outlineLevel="0" collapsed="false">
      <c r="A233" s="9" t="s">
        <v>2232</v>
      </c>
      <c r="B233" s="9" t="s">
        <v>2414</v>
      </c>
      <c r="C233" s="10" t="s">
        <v>2415</v>
      </c>
      <c r="D233" s="9" t="s">
        <v>2044</v>
      </c>
    </row>
    <row r="234" customFormat="false" ht="15" hidden="false" customHeight="false" outlineLevel="0" collapsed="false">
      <c r="A234" s="9" t="s">
        <v>2232</v>
      </c>
      <c r="B234" s="9" t="s">
        <v>2416</v>
      </c>
      <c r="C234" s="10" t="s">
        <v>2417</v>
      </c>
      <c r="D234" s="9" t="s">
        <v>2044</v>
      </c>
    </row>
    <row r="235" customFormat="false" ht="15" hidden="false" customHeight="false" outlineLevel="0" collapsed="false">
      <c r="A235" s="9" t="s">
        <v>2232</v>
      </c>
      <c r="B235" s="9" t="s">
        <v>2418</v>
      </c>
      <c r="C235" s="10" t="s">
        <v>2419</v>
      </c>
      <c r="D235" s="9" t="s">
        <v>2044</v>
      </c>
    </row>
    <row r="236" customFormat="false" ht="15" hidden="false" customHeight="false" outlineLevel="0" collapsed="false">
      <c r="A236" s="9" t="s">
        <v>2232</v>
      </c>
      <c r="B236" s="9" t="s">
        <v>2420</v>
      </c>
      <c r="C236" s="10" t="s">
        <v>2421</v>
      </c>
      <c r="D236" s="9" t="s">
        <v>2044</v>
      </c>
    </row>
    <row r="237" customFormat="false" ht="15" hidden="false" customHeight="false" outlineLevel="0" collapsed="false">
      <c r="A237" s="9" t="s">
        <v>2232</v>
      </c>
      <c r="B237" s="9" t="s">
        <v>2422</v>
      </c>
      <c r="C237" s="10" t="s">
        <v>2423</v>
      </c>
      <c r="D237" s="9" t="s">
        <v>2044</v>
      </c>
    </row>
    <row r="238" customFormat="false" ht="15" hidden="false" customHeight="false" outlineLevel="0" collapsed="false">
      <c r="A238" s="9" t="s">
        <v>2232</v>
      </c>
      <c r="B238" s="9" t="s">
        <v>2424</v>
      </c>
      <c r="C238" s="10" t="s">
        <v>2425</v>
      </c>
      <c r="D238" s="9" t="s">
        <v>2044</v>
      </c>
    </row>
    <row r="239" customFormat="false" ht="15" hidden="false" customHeight="false" outlineLevel="0" collapsed="false">
      <c r="A239" s="9" t="s">
        <v>2232</v>
      </c>
      <c r="B239" s="9" t="s">
        <v>2426</v>
      </c>
      <c r="C239" s="10" t="s">
        <v>2427</v>
      </c>
      <c r="D239" s="9" t="s">
        <v>2044</v>
      </c>
    </row>
    <row r="240" customFormat="false" ht="15" hidden="false" customHeight="false" outlineLevel="0" collapsed="false">
      <c r="A240" s="9" t="s">
        <v>2232</v>
      </c>
      <c r="B240" s="9" t="s">
        <v>2428</v>
      </c>
      <c r="C240" s="10" t="s">
        <v>2429</v>
      </c>
      <c r="D240" s="9" t="s">
        <v>1969</v>
      </c>
    </row>
    <row r="241" customFormat="false" ht="26.85" hidden="false" customHeight="false" outlineLevel="0" collapsed="false">
      <c r="A241" s="9" t="s">
        <v>2232</v>
      </c>
      <c r="B241" s="9" t="s">
        <v>2430</v>
      </c>
      <c r="C241" s="10" t="s">
        <v>2431</v>
      </c>
      <c r="D241" s="9" t="s">
        <v>2044</v>
      </c>
    </row>
    <row r="242" customFormat="false" ht="15" hidden="false" customHeight="false" outlineLevel="0" collapsed="false">
      <c r="A242" s="9" t="s">
        <v>2232</v>
      </c>
      <c r="B242" s="9" t="s">
        <v>2432</v>
      </c>
      <c r="C242" s="10" t="s">
        <v>2433</v>
      </c>
      <c r="D242" s="9" t="s">
        <v>2044</v>
      </c>
    </row>
    <row r="243" customFormat="false" ht="15" hidden="false" customHeight="false" outlineLevel="0" collapsed="false">
      <c r="A243" s="9" t="s">
        <v>2232</v>
      </c>
      <c r="B243" s="9" t="s">
        <v>2434</v>
      </c>
      <c r="C243" s="10" t="s">
        <v>2435</v>
      </c>
      <c r="D243" s="9" t="s">
        <v>2044</v>
      </c>
    </row>
    <row r="244" customFormat="false" ht="15" hidden="false" customHeight="false" outlineLevel="0" collapsed="false">
      <c r="A244" s="9" t="s">
        <v>2232</v>
      </c>
      <c r="B244" s="9" t="s">
        <v>2436</v>
      </c>
      <c r="C244" s="10" t="s">
        <v>2437</v>
      </c>
      <c r="D244" s="9" t="s">
        <v>2044</v>
      </c>
    </row>
    <row r="245" customFormat="false" ht="15" hidden="false" customHeight="false" outlineLevel="0" collapsed="false">
      <c r="A245" s="9" t="s">
        <v>2438</v>
      </c>
      <c r="B245" s="9" t="s">
        <v>2439</v>
      </c>
      <c r="C245" s="10" t="s">
        <v>2440</v>
      </c>
      <c r="D245" s="9" t="s">
        <v>2044</v>
      </c>
    </row>
    <row r="246" customFormat="false" ht="15" hidden="false" customHeight="false" outlineLevel="0" collapsed="false">
      <c r="A246" s="9" t="s">
        <v>2438</v>
      </c>
      <c r="B246" s="9" t="s">
        <v>2441</v>
      </c>
      <c r="C246" s="10" t="s">
        <v>2442</v>
      </c>
      <c r="D246" s="9" t="s">
        <v>2044</v>
      </c>
    </row>
    <row r="247" customFormat="false" ht="15" hidden="false" customHeight="false" outlineLevel="0" collapsed="false">
      <c r="A247" s="9" t="s">
        <v>2438</v>
      </c>
      <c r="B247" s="9" t="s">
        <v>2443</v>
      </c>
      <c r="C247" s="10" t="s">
        <v>2444</v>
      </c>
      <c r="D247" s="9" t="s">
        <v>2044</v>
      </c>
    </row>
    <row r="248" customFormat="false" ht="15" hidden="false" customHeight="false" outlineLevel="0" collapsed="false">
      <c r="A248" s="9" t="s">
        <v>2438</v>
      </c>
      <c r="B248" s="9" t="s">
        <v>2445</v>
      </c>
      <c r="C248" s="10" t="s">
        <v>2446</v>
      </c>
      <c r="D248" s="9" t="s">
        <v>2044</v>
      </c>
    </row>
    <row r="249" customFormat="false" ht="15" hidden="false" customHeight="false" outlineLevel="0" collapsed="false">
      <c r="A249" s="9" t="s">
        <v>2438</v>
      </c>
      <c r="B249" s="9" t="s">
        <v>2447</v>
      </c>
      <c r="C249" s="10" t="s">
        <v>2448</v>
      </c>
      <c r="D249" s="9" t="s">
        <v>2044</v>
      </c>
    </row>
    <row r="250" customFormat="false" ht="15" hidden="false" customHeight="false" outlineLevel="0" collapsed="false">
      <c r="A250" s="9" t="s">
        <v>2232</v>
      </c>
      <c r="B250" s="9" t="s">
        <v>2449</v>
      </c>
      <c r="C250" s="10" t="s">
        <v>2450</v>
      </c>
      <c r="D250" s="9" t="s">
        <v>968</v>
      </c>
    </row>
    <row r="251" customFormat="false" ht="15" hidden="false" customHeight="false" outlineLevel="0" collapsed="false">
      <c r="A251" s="9" t="s">
        <v>2232</v>
      </c>
      <c r="B251" s="9" t="s">
        <v>2451</v>
      </c>
      <c r="C251" s="10" t="s">
        <v>2452</v>
      </c>
      <c r="D251" s="9" t="s">
        <v>968</v>
      </c>
    </row>
    <row r="252" customFormat="false" ht="15" hidden="false" customHeight="false" outlineLevel="0" collapsed="false">
      <c r="A252" s="9" t="s">
        <v>2232</v>
      </c>
      <c r="B252" s="9" t="s">
        <v>2453</v>
      </c>
      <c r="C252" s="10" t="s">
        <v>2454</v>
      </c>
      <c r="D252" s="9" t="s">
        <v>968</v>
      </c>
    </row>
    <row r="253" customFormat="false" ht="15" hidden="false" customHeight="false" outlineLevel="0" collapsed="false">
      <c r="A253" s="9" t="s">
        <v>2232</v>
      </c>
      <c r="B253" s="9" t="s">
        <v>2455</v>
      </c>
      <c r="C253" s="10" t="s">
        <v>2456</v>
      </c>
      <c r="D253" s="9" t="s">
        <v>968</v>
      </c>
    </row>
    <row r="254" customFormat="false" ht="15" hidden="false" customHeight="false" outlineLevel="0" collapsed="false">
      <c r="A254" s="9" t="s">
        <v>2232</v>
      </c>
      <c r="B254" s="9" t="s">
        <v>2457</v>
      </c>
      <c r="C254" s="10" t="s">
        <v>2458</v>
      </c>
      <c r="D254" s="9" t="s">
        <v>968</v>
      </c>
    </row>
    <row r="255" customFormat="false" ht="15" hidden="false" customHeight="false" outlineLevel="0" collapsed="false">
      <c r="A255" s="9" t="s">
        <v>2232</v>
      </c>
      <c r="B255" s="9" t="s">
        <v>2459</v>
      </c>
      <c r="C255" s="10" t="s">
        <v>2460</v>
      </c>
      <c r="D255" s="9" t="s">
        <v>968</v>
      </c>
    </row>
    <row r="256" customFormat="false" ht="15" hidden="false" customHeight="false" outlineLevel="0" collapsed="false">
      <c r="A256" s="9" t="s">
        <v>2232</v>
      </c>
      <c r="B256" s="9" t="s">
        <v>2461</v>
      </c>
      <c r="C256" s="10" t="s">
        <v>2462</v>
      </c>
      <c r="D256" s="9" t="s">
        <v>968</v>
      </c>
    </row>
    <row r="257" customFormat="false" ht="15" hidden="false" customHeight="false" outlineLevel="0" collapsed="false">
      <c r="A257" s="9" t="s">
        <v>2232</v>
      </c>
      <c r="B257" s="9" t="s">
        <v>2463</v>
      </c>
      <c r="C257" s="10" t="s">
        <v>2464</v>
      </c>
      <c r="D257" s="9" t="s">
        <v>968</v>
      </c>
    </row>
    <row r="258" customFormat="false" ht="15" hidden="false" customHeight="false" outlineLevel="0" collapsed="false">
      <c r="A258" s="9" t="s">
        <v>2232</v>
      </c>
      <c r="B258" s="9" t="s">
        <v>2465</v>
      </c>
      <c r="C258" s="10" t="s">
        <v>2466</v>
      </c>
      <c r="D258" s="9" t="s">
        <v>968</v>
      </c>
    </row>
    <row r="259" customFormat="false" ht="15" hidden="false" customHeight="false" outlineLevel="0" collapsed="false">
      <c r="A259" s="9" t="s">
        <v>2232</v>
      </c>
      <c r="B259" s="9" t="s">
        <v>2467</v>
      </c>
      <c r="C259" s="10" t="s">
        <v>2468</v>
      </c>
      <c r="D259" s="9" t="s">
        <v>968</v>
      </c>
    </row>
    <row r="260" customFormat="false" ht="15" hidden="false" customHeight="false" outlineLevel="0" collapsed="false">
      <c r="A260" s="9" t="s">
        <v>2232</v>
      </c>
      <c r="B260" s="9" t="s">
        <v>2469</v>
      </c>
      <c r="C260" s="10" t="s">
        <v>2470</v>
      </c>
      <c r="D260" s="9" t="s">
        <v>968</v>
      </c>
    </row>
    <row r="261" customFormat="false" ht="15" hidden="false" customHeight="false" outlineLevel="0" collapsed="false">
      <c r="A261" s="9" t="s">
        <v>2232</v>
      </c>
      <c r="B261" s="9" t="s">
        <v>2471</v>
      </c>
      <c r="C261" s="10" t="s">
        <v>2472</v>
      </c>
      <c r="D261" s="9" t="s">
        <v>968</v>
      </c>
    </row>
    <row r="262" customFormat="false" ht="15" hidden="false" customHeight="false" outlineLevel="0" collapsed="false">
      <c r="A262" s="9" t="s">
        <v>2232</v>
      </c>
      <c r="B262" s="9" t="s">
        <v>2473</v>
      </c>
      <c r="C262" s="10" t="s">
        <v>2474</v>
      </c>
      <c r="D262" s="9" t="s">
        <v>968</v>
      </c>
    </row>
    <row r="263" customFormat="false" ht="15" hidden="false" customHeight="false" outlineLevel="0" collapsed="false">
      <c r="A263" s="9" t="s">
        <v>2232</v>
      </c>
      <c r="B263" s="9" t="s">
        <v>2475</v>
      </c>
      <c r="C263" s="10" t="s">
        <v>2476</v>
      </c>
      <c r="D263" s="9" t="s">
        <v>968</v>
      </c>
    </row>
    <row r="264" customFormat="false" ht="15" hidden="false" customHeight="false" outlineLevel="0" collapsed="false">
      <c r="A264" s="9" t="s">
        <v>2232</v>
      </c>
      <c r="B264" s="9" t="s">
        <v>2477</v>
      </c>
      <c r="C264" s="10" t="s">
        <v>2478</v>
      </c>
      <c r="D264" s="9" t="s">
        <v>968</v>
      </c>
    </row>
    <row r="265" customFormat="false" ht="15" hidden="false" customHeight="false" outlineLevel="0" collapsed="false">
      <c r="A265" s="9" t="s">
        <v>2232</v>
      </c>
      <c r="B265" s="9" t="s">
        <v>2479</v>
      </c>
      <c r="C265" s="10" t="s">
        <v>2480</v>
      </c>
      <c r="D265" s="9" t="s">
        <v>968</v>
      </c>
    </row>
    <row r="266" customFormat="false" ht="15" hidden="false" customHeight="false" outlineLevel="0" collapsed="false">
      <c r="A266" s="9" t="s">
        <v>2232</v>
      </c>
      <c r="B266" s="9" t="s">
        <v>2481</v>
      </c>
      <c r="C266" s="10" t="s">
        <v>2482</v>
      </c>
      <c r="D266" s="9" t="s">
        <v>968</v>
      </c>
    </row>
    <row r="267" customFormat="false" ht="15" hidden="false" customHeight="false" outlineLevel="0" collapsed="false">
      <c r="A267" s="9" t="s">
        <v>2232</v>
      </c>
      <c r="B267" s="9" t="s">
        <v>2483</v>
      </c>
      <c r="C267" s="10" t="s">
        <v>2484</v>
      </c>
      <c r="D267" s="9" t="s">
        <v>968</v>
      </c>
    </row>
    <row r="268" customFormat="false" ht="15" hidden="false" customHeight="false" outlineLevel="0" collapsed="false">
      <c r="A268" s="9" t="s">
        <v>2232</v>
      </c>
      <c r="B268" s="9" t="s">
        <v>2485</v>
      </c>
      <c r="C268" s="10" t="s">
        <v>2486</v>
      </c>
      <c r="D268" s="9" t="s">
        <v>968</v>
      </c>
    </row>
    <row r="269" customFormat="false" ht="15" hidden="false" customHeight="false" outlineLevel="0" collapsed="false">
      <c r="A269" s="9" t="s">
        <v>2232</v>
      </c>
      <c r="B269" s="9" t="s">
        <v>2487</v>
      </c>
      <c r="C269" s="10" t="s">
        <v>2488</v>
      </c>
      <c r="D269" s="9" t="s">
        <v>968</v>
      </c>
    </row>
    <row r="270" customFormat="false" ht="15" hidden="false" customHeight="false" outlineLevel="0" collapsed="false">
      <c r="A270" s="9" t="s">
        <v>2232</v>
      </c>
      <c r="B270" s="9" t="s">
        <v>2489</v>
      </c>
      <c r="C270" s="10" t="s">
        <v>2490</v>
      </c>
      <c r="D270" s="9" t="s">
        <v>968</v>
      </c>
    </row>
    <row r="271" customFormat="false" ht="15" hidden="false" customHeight="false" outlineLevel="0" collapsed="false">
      <c r="A271" s="9" t="s">
        <v>2232</v>
      </c>
      <c r="B271" s="9" t="s">
        <v>2491</v>
      </c>
      <c r="C271" s="10" t="s">
        <v>2492</v>
      </c>
      <c r="D271" s="9" t="s">
        <v>968</v>
      </c>
    </row>
    <row r="272" customFormat="false" ht="15" hidden="false" customHeight="false" outlineLevel="0" collapsed="false">
      <c r="A272" s="9" t="s">
        <v>2232</v>
      </c>
      <c r="B272" s="9" t="s">
        <v>2493</v>
      </c>
      <c r="C272" s="10" t="s">
        <v>2494</v>
      </c>
      <c r="D272" s="9" t="s">
        <v>1178</v>
      </c>
    </row>
    <row r="273" customFormat="false" ht="15" hidden="false" customHeight="false" outlineLevel="0" collapsed="false">
      <c r="A273" s="9" t="s">
        <v>2232</v>
      </c>
      <c r="B273" s="9" t="s">
        <v>2495</v>
      </c>
      <c r="C273" s="10" t="s">
        <v>2496</v>
      </c>
      <c r="D273" s="9" t="s">
        <v>1178</v>
      </c>
    </row>
    <row r="274" customFormat="false" ht="15" hidden="false" customHeight="false" outlineLevel="0" collapsed="false">
      <c r="A274" s="9" t="s">
        <v>2232</v>
      </c>
      <c r="B274" s="9" t="s">
        <v>2497</v>
      </c>
      <c r="C274" s="10" t="s">
        <v>2498</v>
      </c>
      <c r="D274" s="9" t="s">
        <v>1178</v>
      </c>
    </row>
    <row r="275" customFormat="false" ht="15" hidden="false" customHeight="false" outlineLevel="0" collapsed="false">
      <c r="A275" s="9" t="s">
        <v>2232</v>
      </c>
      <c r="B275" s="9" t="s">
        <v>2499</v>
      </c>
      <c r="C275" s="10" t="s">
        <v>2500</v>
      </c>
      <c r="D275" s="9" t="s">
        <v>1178</v>
      </c>
    </row>
    <row r="276" customFormat="false" ht="15" hidden="false" customHeight="false" outlineLevel="0" collapsed="false">
      <c r="A276" s="9" t="s">
        <v>2232</v>
      </c>
      <c r="B276" s="9" t="s">
        <v>2501</v>
      </c>
      <c r="C276" s="10" t="s">
        <v>2502</v>
      </c>
      <c r="D276" s="9" t="s">
        <v>968</v>
      </c>
    </row>
    <row r="277" customFormat="false" ht="15" hidden="false" customHeight="false" outlineLevel="0" collapsed="false">
      <c r="A277" s="9" t="s">
        <v>2232</v>
      </c>
      <c r="B277" s="9" t="s">
        <v>2503</v>
      </c>
      <c r="C277" s="10" t="s">
        <v>2504</v>
      </c>
      <c r="D277" s="9" t="s">
        <v>1288</v>
      </c>
    </row>
    <row r="278" customFormat="false" ht="15" hidden="false" customHeight="false" outlineLevel="0" collapsed="false">
      <c r="A278" s="9" t="s">
        <v>2232</v>
      </c>
      <c r="B278" s="9" t="s">
        <v>2505</v>
      </c>
      <c r="C278" s="10" t="s">
        <v>2506</v>
      </c>
      <c r="D278" s="9" t="s">
        <v>1288</v>
      </c>
    </row>
    <row r="279" customFormat="false" ht="15" hidden="false" customHeight="false" outlineLevel="0" collapsed="false">
      <c r="A279" s="9" t="s">
        <v>2232</v>
      </c>
      <c r="B279" s="9" t="s">
        <v>2507</v>
      </c>
      <c r="C279" s="10" t="s">
        <v>2508</v>
      </c>
      <c r="D279" s="9" t="s">
        <v>1288</v>
      </c>
    </row>
    <row r="280" customFormat="false" ht="15" hidden="false" customHeight="false" outlineLevel="0" collapsed="false">
      <c r="A280" s="9" t="s">
        <v>2232</v>
      </c>
      <c r="B280" s="9" t="s">
        <v>2509</v>
      </c>
      <c r="C280" s="10" t="s">
        <v>2510</v>
      </c>
      <c r="D280" s="9" t="s">
        <v>546</v>
      </c>
    </row>
    <row r="281" customFormat="false" ht="15" hidden="false" customHeight="false" outlineLevel="0" collapsed="false">
      <c r="A281" s="9" t="s">
        <v>2232</v>
      </c>
      <c r="B281" s="9" t="s">
        <v>2511</v>
      </c>
      <c r="C281" s="10" t="s">
        <v>2512</v>
      </c>
      <c r="D281" s="9" t="s">
        <v>1288</v>
      </c>
    </row>
    <row r="282" customFormat="false" ht="15" hidden="false" customHeight="false" outlineLevel="0" collapsed="false">
      <c r="A282" s="9" t="s">
        <v>2232</v>
      </c>
      <c r="B282" s="9" t="s">
        <v>2513</v>
      </c>
      <c r="C282" s="10" t="s">
        <v>2514</v>
      </c>
      <c r="D282" s="9" t="s">
        <v>1288</v>
      </c>
    </row>
    <row r="283" customFormat="false" ht="15" hidden="false" customHeight="false" outlineLevel="0" collapsed="false">
      <c r="A283" s="9" t="s">
        <v>2232</v>
      </c>
      <c r="B283" s="9" t="s">
        <v>2515</v>
      </c>
      <c r="C283" s="10" t="s">
        <v>2516</v>
      </c>
      <c r="D283" s="9" t="s">
        <v>1288</v>
      </c>
    </row>
    <row r="284" customFormat="false" ht="15" hidden="false" customHeight="false" outlineLevel="0" collapsed="false">
      <c r="A284" s="9" t="s">
        <v>2232</v>
      </c>
      <c r="B284" s="9" t="s">
        <v>2517</v>
      </c>
      <c r="C284" s="10" t="s">
        <v>2518</v>
      </c>
      <c r="D284" s="9" t="s">
        <v>1288</v>
      </c>
    </row>
    <row r="285" customFormat="false" ht="15" hidden="false" customHeight="false" outlineLevel="0" collapsed="false">
      <c r="A285" s="9" t="s">
        <v>2232</v>
      </c>
      <c r="B285" s="9" t="s">
        <v>2519</v>
      </c>
      <c r="C285" s="10" t="s">
        <v>2520</v>
      </c>
      <c r="D285" s="9" t="s">
        <v>1288</v>
      </c>
    </row>
    <row r="286" customFormat="false" ht="15" hidden="false" customHeight="false" outlineLevel="0" collapsed="false">
      <c r="A286" s="9" t="s">
        <v>2232</v>
      </c>
      <c r="B286" s="9" t="s">
        <v>2521</v>
      </c>
      <c r="C286" s="10" t="s">
        <v>2522</v>
      </c>
      <c r="D286" s="9" t="s">
        <v>1288</v>
      </c>
    </row>
    <row r="287" customFormat="false" ht="15" hidden="false" customHeight="false" outlineLevel="0" collapsed="false">
      <c r="A287" s="9" t="s">
        <v>2232</v>
      </c>
      <c r="B287" s="9" t="s">
        <v>2523</v>
      </c>
      <c r="C287" s="10" t="s">
        <v>2524</v>
      </c>
      <c r="D287" s="9" t="s">
        <v>1288</v>
      </c>
    </row>
    <row r="288" customFormat="false" ht="15" hidden="false" customHeight="false" outlineLevel="0" collapsed="false">
      <c r="A288" s="9" t="s">
        <v>2232</v>
      </c>
      <c r="B288" s="9" t="s">
        <v>2525</v>
      </c>
      <c r="C288" s="10" t="s">
        <v>2526</v>
      </c>
      <c r="D288" s="9" t="s">
        <v>1288</v>
      </c>
    </row>
    <row r="289" customFormat="false" ht="15" hidden="false" customHeight="false" outlineLevel="0" collapsed="false">
      <c r="A289" s="9" t="s">
        <v>2232</v>
      </c>
      <c r="B289" s="9" t="s">
        <v>2527</v>
      </c>
      <c r="C289" s="10" t="s">
        <v>2528</v>
      </c>
      <c r="D289" s="9" t="s">
        <v>1288</v>
      </c>
    </row>
    <row r="290" customFormat="false" ht="15" hidden="false" customHeight="false" outlineLevel="0" collapsed="false">
      <c r="A290" s="9" t="s">
        <v>2232</v>
      </c>
      <c r="B290" s="9" t="s">
        <v>2529</v>
      </c>
      <c r="C290" s="10" t="s">
        <v>2530</v>
      </c>
      <c r="D290" s="9" t="s">
        <v>1288</v>
      </c>
    </row>
    <row r="291" customFormat="false" ht="15" hidden="false" customHeight="false" outlineLevel="0" collapsed="false">
      <c r="A291" s="9" t="s">
        <v>2232</v>
      </c>
      <c r="B291" s="9" t="s">
        <v>2531</v>
      </c>
      <c r="C291" s="10" t="s">
        <v>2532</v>
      </c>
      <c r="D291" s="9" t="s">
        <v>1288</v>
      </c>
    </row>
    <row r="292" customFormat="false" ht="15" hidden="false" customHeight="false" outlineLevel="0" collapsed="false">
      <c r="A292" s="9" t="s">
        <v>2232</v>
      </c>
      <c r="B292" s="9" t="s">
        <v>2533</v>
      </c>
      <c r="C292" s="10" t="s">
        <v>2534</v>
      </c>
      <c r="D292" s="9" t="s">
        <v>1288</v>
      </c>
    </row>
    <row r="293" customFormat="false" ht="15" hidden="false" customHeight="false" outlineLevel="0" collapsed="false">
      <c r="A293" s="9" t="s">
        <v>2232</v>
      </c>
      <c r="B293" s="9" t="s">
        <v>2535</v>
      </c>
      <c r="C293" s="10" t="s">
        <v>2536</v>
      </c>
      <c r="D293" s="9" t="s">
        <v>1288</v>
      </c>
    </row>
    <row r="294" customFormat="false" ht="15" hidden="false" customHeight="false" outlineLevel="0" collapsed="false">
      <c r="A294" s="9" t="s">
        <v>2232</v>
      </c>
      <c r="B294" s="9" t="s">
        <v>2537</v>
      </c>
      <c r="C294" s="10" t="s">
        <v>2538</v>
      </c>
      <c r="D294" s="9" t="s">
        <v>1288</v>
      </c>
    </row>
    <row r="295" customFormat="false" ht="15" hidden="false" customHeight="false" outlineLevel="0" collapsed="false">
      <c r="A295" s="9" t="s">
        <v>2232</v>
      </c>
      <c r="B295" s="9" t="s">
        <v>2539</v>
      </c>
      <c r="C295" s="10" t="s">
        <v>2540</v>
      </c>
      <c r="D295" s="9" t="s">
        <v>2033</v>
      </c>
    </row>
    <row r="296" customFormat="false" ht="15" hidden="false" customHeight="false" outlineLevel="0" collapsed="false">
      <c r="A296" s="9" t="s">
        <v>2232</v>
      </c>
      <c r="B296" s="9" t="s">
        <v>2541</v>
      </c>
      <c r="C296" s="10" t="s">
        <v>2542</v>
      </c>
      <c r="D296" s="9" t="s">
        <v>2033</v>
      </c>
    </row>
    <row r="297" customFormat="false" ht="15" hidden="false" customHeight="false" outlineLevel="0" collapsed="false">
      <c r="A297" s="9" t="s">
        <v>2232</v>
      </c>
      <c r="B297" s="9" t="s">
        <v>2543</v>
      </c>
      <c r="C297" s="10" t="s">
        <v>2544</v>
      </c>
      <c r="D297" s="9" t="s">
        <v>2033</v>
      </c>
    </row>
    <row r="298" customFormat="false" ht="15" hidden="false" customHeight="false" outlineLevel="0" collapsed="false">
      <c r="A298" s="9" t="s">
        <v>2232</v>
      </c>
      <c r="B298" s="9" t="s">
        <v>2545</v>
      </c>
      <c r="C298" s="10" t="s">
        <v>2546</v>
      </c>
      <c r="D298" s="9" t="s">
        <v>2033</v>
      </c>
    </row>
    <row r="299" customFormat="false" ht="15" hidden="false" customHeight="false" outlineLevel="0" collapsed="false">
      <c r="A299" s="9" t="s">
        <v>2232</v>
      </c>
      <c r="B299" s="9" t="s">
        <v>2547</v>
      </c>
      <c r="C299" s="10" t="s">
        <v>2548</v>
      </c>
      <c r="D299" s="9" t="s">
        <v>2033</v>
      </c>
    </row>
    <row r="300" customFormat="false" ht="15" hidden="false" customHeight="false" outlineLevel="0" collapsed="false">
      <c r="A300" s="9" t="s">
        <v>2232</v>
      </c>
      <c r="B300" s="9" t="s">
        <v>2549</v>
      </c>
      <c r="C300" s="10" t="s">
        <v>2550</v>
      </c>
      <c r="D300" s="9" t="s">
        <v>2033</v>
      </c>
    </row>
    <row r="301" customFormat="false" ht="15" hidden="false" customHeight="false" outlineLevel="0" collapsed="false">
      <c r="A301" s="9" t="s">
        <v>2232</v>
      </c>
      <c r="B301" s="9" t="s">
        <v>2551</v>
      </c>
      <c r="C301" s="10" t="s">
        <v>2552</v>
      </c>
      <c r="D301" s="9" t="s">
        <v>2033</v>
      </c>
    </row>
    <row r="302" customFormat="false" ht="25.35" hidden="false" customHeight="false" outlineLevel="0" collapsed="false">
      <c r="A302" s="9" t="s">
        <v>2553</v>
      </c>
      <c r="B302" s="9" t="s">
        <v>2554</v>
      </c>
      <c r="C302" s="10" t="s">
        <v>2555</v>
      </c>
      <c r="D302" s="9" t="s">
        <v>968</v>
      </c>
    </row>
    <row r="303" customFormat="false" ht="25.35" hidden="false" customHeight="false" outlineLevel="0" collapsed="false">
      <c r="A303" s="9" t="s">
        <v>2553</v>
      </c>
      <c r="B303" s="9" t="s">
        <v>2556</v>
      </c>
      <c r="C303" s="10" t="s">
        <v>2557</v>
      </c>
      <c r="D303" s="9" t="s">
        <v>53</v>
      </c>
    </row>
    <row r="304" customFormat="false" ht="25.35" hidden="false" customHeight="false" outlineLevel="0" collapsed="false">
      <c r="A304" s="9" t="s">
        <v>2553</v>
      </c>
      <c r="B304" s="9" t="s">
        <v>2558</v>
      </c>
      <c r="C304" s="10" t="s">
        <v>2559</v>
      </c>
      <c r="D304" s="9" t="s">
        <v>198</v>
      </c>
    </row>
    <row r="305" customFormat="false" ht="25.35" hidden="false" customHeight="false" outlineLevel="0" collapsed="false">
      <c r="A305" s="9" t="s">
        <v>2553</v>
      </c>
      <c r="B305" s="9" t="s">
        <v>2560</v>
      </c>
      <c r="C305" s="10" t="s">
        <v>2561</v>
      </c>
      <c r="D305" s="9" t="s">
        <v>2033</v>
      </c>
    </row>
    <row r="306" customFormat="false" ht="25.35" hidden="false" customHeight="false" outlineLevel="0" collapsed="false">
      <c r="A306" s="9" t="s">
        <v>2553</v>
      </c>
      <c r="B306" s="9" t="s">
        <v>2562</v>
      </c>
      <c r="C306" s="10" t="s">
        <v>2563</v>
      </c>
      <c r="D306" s="9" t="s">
        <v>2033</v>
      </c>
    </row>
    <row r="307" customFormat="false" ht="25.35" hidden="false" customHeight="false" outlineLevel="0" collapsed="false">
      <c r="A307" s="9" t="s">
        <v>2553</v>
      </c>
      <c r="B307" s="9" t="s">
        <v>2564</v>
      </c>
      <c r="C307" s="10" t="s">
        <v>2565</v>
      </c>
      <c r="D307" s="9" t="s">
        <v>2033</v>
      </c>
    </row>
    <row r="308" customFormat="false" ht="25.35" hidden="false" customHeight="false" outlineLevel="0" collapsed="false">
      <c r="A308" s="9" t="s">
        <v>2553</v>
      </c>
      <c r="B308" s="9" t="s">
        <v>2566</v>
      </c>
      <c r="C308" s="10" t="s">
        <v>2567</v>
      </c>
      <c r="D308" s="9" t="s">
        <v>2033</v>
      </c>
    </row>
    <row r="309" customFormat="false" ht="25.35" hidden="false" customHeight="false" outlineLevel="0" collapsed="false">
      <c r="A309" s="9" t="s">
        <v>2553</v>
      </c>
      <c r="B309" s="9" t="s">
        <v>2568</v>
      </c>
      <c r="C309" s="10" t="s">
        <v>2569</v>
      </c>
      <c r="D309" s="9" t="s">
        <v>2033</v>
      </c>
    </row>
    <row r="310" customFormat="false" ht="25.35" hidden="false" customHeight="false" outlineLevel="0" collapsed="false">
      <c r="A310" s="9" t="s">
        <v>2553</v>
      </c>
      <c r="B310" s="9" t="s">
        <v>2570</v>
      </c>
      <c r="C310" s="10" t="s">
        <v>2571</v>
      </c>
      <c r="D310" s="9" t="s">
        <v>546</v>
      </c>
    </row>
    <row r="311" customFormat="false" ht="25.35" hidden="false" customHeight="false" outlineLevel="0" collapsed="false">
      <c r="A311" s="9" t="s">
        <v>2553</v>
      </c>
      <c r="B311" s="9" t="s">
        <v>2572</v>
      </c>
      <c r="C311" s="10" t="s">
        <v>2573</v>
      </c>
      <c r="D311" s="9" t="s">
        <v>546</v>
      </c>
    </row>
    <row r="312" customFormat="false" ht="25.35" hidden="false" customHeight="false" outlineLevel="0" collapsed="false">
      <c r="A312" s="9" t="s">
        <v>2553</v>
      </c>
      <c r="B312" s="9" t="s">
        <v>2574</v>
      </c>
      <c r="C312" s="10" t="s">
        <v>2575</v>
      </c>
      <c r="D312" s="9" t="s">
        <v>810</v>
      </c>
    </row>
    <row r="313" customFormat="false" ht="25.35" hidden="false" customHeight="false" outlineLevel="0" collapsed="false">
      <c r="A313" s="9" t="s">
        <v>2553</v>
      </c>
      <c r="B313" s="9" t="s">
        <v>2576</v>
      </c>
      <c r="C313" s="10" t="s">
        <v>2577</v>
      </c>
      <c r="D313" s="9" t="s">
        <v>810</v>
      </c>
    </row>
    <row r="314" customFormat="false" ht="25.35" hidden="false" customHeight="false" outlineLevel="0" collapsed="false">
      <c r="A314" s="9" t="s">
        <v>2553</v>
      </c>
      <c r="B314" s="9" t="s">
        <v>2578</v>
      </c>
      <c r="C314" s="10" t="s">
        <v>2579</v>
      </c>
      <c r="D314" s="9" t="s">
        <v>810</v>
      </c>
    </row>
    <row r="315" customFormat="false" ht="25.35" hidden="false" customHeight="false" outlineLevel="0" collapsed="false">
      <c r="A315" s="9" t="s">
        <v>2553</v>
      </c>
      <c r="B315" s="9" t="s">
        <v>2580</v>
      </c>
      <c r="C315" s="10" t="s">
        <v>2581</v>
      </c>
      <c r="D315" s="9" t="s">
        <v>810</v>
      </c>
    </row>
    <row r="316" customFormat="false" ht="25.35" hidden="false" customHeight="false" outlineLevel="0" collapsed="false">
      <c r="A316" s="9" t="s">
        <v>2553</v>
      </c>
      <c r="B316" s="9" t="s">
        <v>2582</v>
      </c>
      <c r="C316" s="10" t="s">
        <v>2583</v>
      </c>
      <c r="D316" s="9" t="s">
        <v>93</v>
      </c>
    </row>
    <row r="317" customFormat="false" ht="25.35" hidden="false" customHeight="false" outlineLevel="0" collapsed="false">
      <c r="A317" s="9" t="s">
        <v>2553</v>
      </c>
      <c r="B317" s="9" t="s">
        <v>2584</v>
      </c>
      <c r="C317" s="10" t="s">
        <v>2585</v>
      </c>
      <c r="D317" s="9" t="s">
        <v>93</v>
      </c>
    </row>
    <row r="318" customFormat="false" ht="25.35" hidden="false" customHeight="false" outlineLevel="0" collapsed="false">
      <c r="A318" s="9" t="s">
        <v>2553</v>
      </c>
      <c r="B318" s="9" t="s">
        <v>2586</v>
      </c>
      <c r="C318" s="10" t="s">
        <v>2587</v>
      </c>
      <c r="D318" s="9" t="s">
        <v>968</v>
      </c>
    </row>
    <row r="319" customFormat="false" ht="25.35" hidden="false" customHeight="false" outlineLevel="0" collapsed="false">
      <c r="A319" s="9" t="s">
        <v>2553</v>
      </c>
      <c r="B319" s="9" t="s">
        <v>2588</v>
      </c>
      <c r="C319" s="10" t="s">
        <v>2589</v>
      </c>
      <c r="D319" s="9" t="s">
        <v>968</v>
      </c>
    </row>
    <row r="320" customFormat="false" ht="25.35" hidden="false" customHeight="false" outlineLevel="0" collapsed="false">
      <c r="A320" s="9" t="s">
        <v>2553</v>
      </c>
      <c r="B320" s="9" t="s">
        <v>2590</v>
      </c>
      <c r="C320" s="10" t="s">
        <v>2591</v>
      </c>
      <c r="D320" s="9" t="s">
        <v>968</v>
      </c>
    </row>
    <row r="321" customFormat="false" ht="25.35" hidden="false" customHeight="false" outlineLevel="0" collapsed="false">
      <c r="A321" s="9" t="s">
        <v>2553</v>
      </c>
      <c r="B321" s="9" t="s">
        <v>2592</v>
      </c>
      <c r="C321" s="10" t="s">
        <v>2593</v>
      </c>
      <c r="D321" s="9" t="s">
        <v>968</v>
      </c>
    </row>
    <row r="322" customFormat="false" ht="25.35" hidden="false" customHeight="false" outlineLevel="0" collapsed="false">
      <c r="A322" s="9" t="s">
        <v>2553</v>
      </c>
      <c r="B322" s="9" t="s">
        <v>2594</v>
      </c>
      <c r="C322" s="10" t="s">
        <v>2595</v>
      </c>
      <c r="D322" s="9" t="s">
        <v>968</v>
      </c>
    </row>
    <row r="323" customFormat="false" ht="25.35" hidden="false" customHeight="false" outlineLevel="0" collapsed="false">
      <c r="A323" s="9" t="s">
        <v>2553</v>
      </c>
      <c r="B323" s="9" t="s">
        <v>2596</v>
      </c>
      <c r="C323" s="10" t="s">
        <v>2597</v>
      </c>
      <c r="D323" s="9" t="s">
        <v>968</v>
      </c>
    </row>
    <row r="324" customFormat="false" ht="26.85" hidden="false" customHeight="false" outlineLevel="0" collapsed="false">
      <c r="A324" s="9" t="s">
        <v>2553</v>
      </c>
      <c r="B324" s="9" t="s">
        <v>2598</v>
      </c>
      <c r="C324" s="10" t="s">
        <v>2599</v>
      </c>
      <c r="D324" s="9" t="s">
        <v>968</v>
      </c>
    </row>
    <row r="325" customFormat="false" ht="25.35" hidden="false" customHeight="false" outlineLevel="0" collapsed="false">
      <c r="A325" s="9" t="s">
        <v>2553</v>
      </c>
      <c r="B325" s="9" t="s">
        <v>2600</v>
      </c>
      <c r="C325" s="10" t="s">
        <v>2601</v>
      </c>
      <c r="D325" s="9" t="s">
        <v>1288</v>
      </c>
    </row>
    <row r="326" customFormat="false" ht="25.35" hidden="false" customHeight="false" outlineLevel="0" collapsed="false">
      <c r="A326" s="9" t="s">
        <v>2553</v>
      </c>
      <c r="B326" s="9" t="s">
        <v>2602</v>
      </c>
      <c r="C326" s="10" t="s">
        <v>2603</v>
      </c>
      <c r="D326" s="9" t="s">
        <v>1288</v>
      </c>
    </row>
    <row r="327" customFormat="false" ht="25.35" hidden="false" customHeight="false" outlineLevel="0" collapsed="false">
      <c r="A327" s="9" t="s">
        <v>2553</v>
      </c>
      <c r="B327" s="9" t="s">
        <v>2604</v>
      </c>
      <c r="C327" s="10" t="s">
        <v>2605</v>
      </c>
      <c r="D327" s="9" t="s">
        <v>1288</v>
      </c>
    </row>
    <row r="328" customFormat="false" ht="25.35" hidden="false" customHeight="false" outlineLevel="0" collapsed="false">
      <c r="A328" s="9" t="s">
        <v>2553</v>
      </c>
      <c r="B328" s="9" t="s">
        <v>2606</v>
      </c>
      <c r="C328" s="10" t="s">
        <v>2607</v>
      </c>
      <c r="D328" s="9" t="s">
        <v>1288</v>
      </c>
    </row>
    <row r="329" customFormat="false" ht="25.35" hidden="false" customHeight="false" outlineLevel="0" collapsed="false">
      <c r="A329" s="9" t="s">
        <v>2553</v>
      </c>
      <c r="B329" s="9" t="s">
        <v>2608</v>
      </c>
      <c r="C329" s="10" t="s">
        <v>2609</v>
      </c>
      <c r="D329" s="9" t="s">
        <v>1288</v>
      </c>
    </row>
    <row r="330" customFormat="false" ht="25.35" hidden="false" customHeight="false" outlineLevel="0" collapsed="false">
      <c r="A330" s="9" t="s">
        <v>2553</v>
      </c>
      <c r="B330" s="9" t="s">
        <v>2610</v>
      </c>
      <c r="C330" s="10" t="s">
        <v>2611</v>
      </c>
      <c r="D330" s="9" t="s">
        <v>1288</v>
      </c>
    </row>
    <row r="331" customFormat="false" ht="25.35" hidden="false" customHeight="false" outlineLevel="0" collapsed="false">
      <c r="A331" s="9" t="s">
        <v>2553</v>
      </c>
      <c r="B331" s="9" t="s">
        <v>2612</v>
      </c>
      <c r="C331" s="10" t="s">
        <v>2613</v>
      </c>
      <c r="D331" s="9" t="s">
        <v>1288</v>
      </c>
    </row>
    <row r="332" customFormat="false" ht="25.35" hidden="false" customHeight="false" outlineLevel="0" collapsed="false">
      <c r="A332" s="9" t="s">
        <v>2553</v>
      </c>
      <c r="B332" s="9" t="s">
        <v>2614</v>
      </c>
      <c r="C332" s="10" t="s">
        <v>2615</v>
      </c>
      <c r="D332" s="9" t="s">
        <v>1288</v>
      </c>
    </row>
    <row r="333" customFormat="false" ht="25.35" hidden="false" customHeight="false" outlineLevel="0" collapsed="false">
      <c r="A333" s="9" t="s">
        <v>2553</v>
      </c>
      <c r="B333" s="9" t="s">
        <v>2616</v>
      </c>
      <c r="C333" s="10" t="s">
        <v>2617</v>
      </c>
      <c r="D333" s="9" t="s">
        <v>1288</v>
      </c>
    </row>
    <row r="334" customFormat="false" ht="25.35" hidden="false" customHeight="false" outlineLevel="0" collapsed="false">
      <c r="A334" s="9" t="s">
        <v>2553</v>
      </c>
      <c r="B334" s="9" t="s">
        <v>2618</v>
      </c>
      <c r="C334" s="10" t="s">
        <v>2619</v>
      </c>
      <c r="D334" s="9" t="s">
        <v>1288</v>
      </c>
    </row>
    <row r="335" customFormat="false" ht="25.35" hidden="false" customHeight="false" outlineLevel="0" collapsed="false">
      <c r="A335" s="9" t="s">
        <v>2553</v>
      </c>
      <c r="B335" s="9" t="s">
        <v>2620</v>
      </c>
      <c r="C335" s="10" t="s">
        <v>2621</v>
      </c>
      <c r="D335" s="9" t="s">
        <v>1288</v>
      </c>
    </row>
    <row r="336" customFormat="false" ht="25.35" hidden="false" customHeight="false" outlineLevel="0" collapsed="false">
      <c r="A336" s="9" t="s">
        <v>2553</v>
      </c>
      <c r="B336" s="9" t="s">
        <v>2622</v>
      </c>
      <c r="C336" s="10" t="s">
        <v>2623</v>
      </c>
      <c r="D336" s="9" t="s">
        <v>1288</v>
      </c>
    </row>
    <row r="337" customFormat="false" ht="25.35" hidden="false" customHeight="false" outlineLevel="0" collapsed="false">
      <c r="A337" s="9" t="s">
        <v>2553</v>
      </c>
      <c r="B337" s="9" t="s">
        <v>2624</v>
      </c>
      <c r="C337" s="10" t="s">
        <v>2625</v>
      </c>
      <c r="D337" s="9" t="s">
        <v>1288</v>
      </c>
    </row>
    <row r="338" customFormat="false" ht="25.35" hidden="false" customHeight="false" outlineLevel="0" collapsed="false">
      <c r="A338" s="9" t="s">
        <v>2553</v>
      </c>
      <c r="B338" s="9" t="s">
        <v>2626</v>
      </c>
      <c r="C338" s="10" t="s">
        <v>2627</v>
      </c>
      <c r="D338" s="9" t="s">
        <v>2044</v>
      </c>
    </row>
    <row r="339" customFormat="false" ht="25.35" hidden="false" customHeight="false" outlineLevel="0" collapsed="false">
      <c r="A339" s="9" t="s">
        <v>2553</v>
      </c>
      <c r="B339" s="9" t="s">
        <v>2628</v>
      </c>
      <c r="C339" s="10" t="s">
        <v>2629</v>
      </c>
      <c r="D339" s="9" t="s">
        <v>1969</v>
      </c>
    </row>
    <row r="340" customFormat="false" ht="15" hidden="false" customHeight="false" outlineLevel="0" collapsed="false">
      <c r="A340" s="9" t="s">
        <v>2630</v>
      </c>
      <c r="B340" s="9" t="s">
        <v>2631</v>
      </c>
      <c r="C340" s="10" t="s">
        <v>2632</v>
      </c>
      <c r="D340" s="9" t="s">
        <v>93</v>
      </c>
    </row>
    <row r="341" customFormat="false" ht="15" hidden="false" customHeight="false" outlineLevel="0" collapsed="false">
      <c r="A341" s="9" t="s">
        <v>2630</v>
      </c>
      <c r="B341" s="9" t="s">
        <v>2633</v>
      </c>
      <c r="C341" s="10" t="s">
        <v>2634</v>
      </c>
      <c r="D341" s="9" t="s">
        <v>93</v>
      </c>
    </row>
    <row r="342" customFormat="false" ht="15" hidden="false" customHeight="false" outlineLevel="0" collapsed="false">
      <c r="A342" s="9" t="s">
        <v>2630</v>
      </c>
      <c r="B342" s="9" t="s">
        <v>2635</v>
      </c>
      <c r="C342" s="10" t="s">
        <v>2636</v>
      </c>
      <c r="D342" s="9" t="s">
        <v>93</v>
      </c>
    </row>
    <row r="343" customFormat="false" ht="15" hidden="false" customHeight="false" outlineLevel="0" collapsed="false">
      <c r="A343" s="9" t="s">
        <v>2630</v>
      </c>
      <c r="B343" s="9" t="s">
        <v>2637</v>
      </c>
      <c r="C343" s="10" t="s">
        <v>2638</v>
      </c>
      <c r="D343" s="9" t="s">
        <v>93</v>
      </c>
    </row>
    <row r="344" customFormat="false" ht="15" hidden="false" customHeight="false" outlineLevel="0" collapsed="false">
      <c r="A344" s="9" t="s">
        <v>2639</v>
      </c>
      <c r="B344" s="9" t="s">
        <v>2640</v>
      </c>
      <c r="C344" s="10" t="s">
        <v>2641</v>
      </c>
      <c r="D344" s="9" t="s">
        <v>1288</v>
      </c>
    </row>
    <row r="345" customFormat="false" ht="15" hidden="false" customHeight="false" outlineLevel="0" collapsed="false">
      <c r="A345" s="9" t="s">
        <v>2639</v>
      </c>
      <c r="B345" s="9" t="s">
        <v>2642</v>
      </c>
      <c r="C345" s="10" t="s">
        <v>2643</v>
      </c>
      <c r="D345" s="9" t="s">
        <v>1288</v>
      </c>
    </row>
    <row r="346" customFormat="false" ht="15" hidden="false" customHeight="false" outlineLevel="0" collapsed="false">
      <c r="A346" s="9" t="s">
        <v>2639</v>
      </c>
      <c r="B346" s="9" t="s">
        <v>2644</v>
      </c>
      <c r="C346" s="10" t="s">
        <v>2645</v>
      </c>
      <c r="D346" s="9" t="s">
        <v>93</v>
      </c>
    </row>
    <row r="347" customFormat="false" ht="15" hidden="false" customHeight="false" outlineLevel="0" collapsed="false">
      <c r="A347" s="9" t="s">
        <v>2639</v>
      </c>
      <c r="B347" s="9" t="s">
        <v>2646</v>
      </c>
      <c r="C347" s="10" t="s">
        <v>2647</v>
      </c>
      <c r="D347" s="9" t="s">
        <v>1288</v>
      </c>
    </row>
    <row r="348" customFormat="false" ht="15" hidden="false" customHeight="false" outlineLevel="0" collapsed="false">
      <c r="A348" s="9" t="s">
        <v>2639</v>
      </c>
      <c r="B348" s="9" t="s">
        <v>2648</v>
      </c>
      <c r="C348" s="10" t="s">
        <v>2649</v>
      </c>
      <c r="D348" s="9" t="s">
        <v>1288</v>
      </c>
    </row>
    <row r="349" customFormat="false" ht="15" hidden="false" customHeight="false" outlineLevel="0" collapsed="false">
      <c r="A349" s="9" t="s">
        <v>2639</v>
      </c>
      <c r="B349" s="9" t="s">
        <v>2650</v>
      </c>
      <c r="C349" s="10" t="s">
        <v>2651</v>
      </c>
      <c r="D349" s="9" t="s">
        <v>2044</v>
      </c>
    </row>
    <row r="350" customFormat="false" ht="15" hidden="false" customHeight="false" outlineLevel="0" collapsed="false">
      <c r="A350" s="9" t="s">
        <v>2639</v>
      </c>
      <c r="B350" s="9" t="s">
        <v>2652</v>
      </c>
      <c r="C350" s="10" t="s">
        <v>2653</v>
      </c>
      <c r="D350" s="9" t="s">
        <v>1969</v>
      </c>
    </row>
    <row r="351" customFormat="false" ht="15" hidden="false" customHeight="false" outlineLevel="0" collapsed="false">
      <c r="A351" s="9" t="s">
        <v>2639</v>
      </c>
      <c r="B351" s="9" t="s">
        <v>2654</v>
      </c>
      <c r="C351" s="10" t="s">
        <v>2655</v>
      </c>
      <c r="D351" s="9" t="s">
        <v>1969</v>
      </c>
    </row>
    <row r="352" customFormat="false" ht="26.85" hidden="false" customHeight="false" outlineLevel="0" collapsed="false">
      <c r="A352" s="9" t="s">
        <v>2639</v>
      </c>
      <c r="B352" s="9" t="s">
        <v>2656</v>
      </c>
      <c r="C352" s="10" t="s">
        <v>2657</v>
      </c>
      <c r="D352" s="9" t="s">
        <v>2081</v>
      </c>
    </row>
    <row r="353" customFormat="false" ht="26.85" hidden="false" customHeight="false" outlineLevel="0" collapsed="false">
      <c r="A353" s="9" t="s">
        <v>2639</v>
      </c>
      <c r="B353" s="9" t="s">
        <v>2658</v>
      </c>
      <c r="C353" s="10" t="s">
        <v>2659</v>
      </c>
      <c r="D353" s="9" t="s">
        <v>2081</v>
      </c>
    </row>
    <row r="354" customFormat="false" ht="15" hidden="false" customHeight="false" outlineLevel="0" collapsed="false">
      <c r="A354" s="9" t="s">
        <v>2639</v>
      </c>
      <c r="B354" s="9" t="s">
        <v>2660</v>
      </c>
      <c r="C354" s="10" t="s">
        <v>2661</v>
      </c>
      <c r="D354" s="9" t="s">
        <v>2081</v>
      </c>
    </row>
    <row r="355" customFormat="false" ht="15" hidden="false" customHeight="false" outlineLevel="0" collapsed="false">
      <c r="A355" s="9" t="s">
        <v>2662</v>
      </c>
      <c r="B355" s="9" t="s">
        <v>2663</v>
      </c>
      <c r="C355" s="10" t="s">
        <v>2664</v>
      </c>
      <c r="D355" s="9" t="s">
        <v>968</v>
      </c>
    </row>
    <row r="356" customFormat="false" ht="15" hidden="false" customHeight="false" outlineLevel="0" collapsed="false">
      <c r="A356" s="9" t="s">
        <v>2665</v>
      </c>
      <c r="B356" s="9" t="s">
        <v>2666</v>
      </c>
      <c r="C356" s="10" t="s">
        <v>2667</v>
      </c>
      <c r="D356" s="9" t="s">
        <v>546</v>
      </c>
    </row>
    <row r="357" customFormat="false" ht="15" hidden="false" customHeight="false" outlineLevel="0" collapsed="false">
      <c r="A357" s="9" t="s">
        <v>2665</v>
      </c>
      <c r="B357" s="9" t="s">
        <v>2668</v>
      </c>
      <c r="C357" s="10" t="s">
        <v>2669</v>
      </c>
      <c r="D357" s="9" t="s">
        <v>546</v>
      </c>
    </row>
    <row r="358" customFormat="false" ht="15" hidden="false" customHeight="false" outlineLevel="0" collapsed="false">
      <c r="A358" s="9" t="s">
        <v>2665</v>
      </c>
      <c r="B358" s="9" t="s">
        <v>2670</v>
      </c>
      <c r="C358" s="10" t="s">
        <v>2671</v>
      </c>
      <c r="D358" s="9" t="s">
        <v>546</v>
      </c>
    </row>
  </sheetData>
  <autoFilter ref="A2:D358"/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3" min="3" style="0" width="60"/>
    <col collapsed="false" customWidth="true" hidden="false" outlineLevel="0" max="5" min="4" style="0" width="9"/>
  </cols>
  <sheetData>
    <row r="1" customFormat="false" ht="30" hidden="false" customHeight="true" outlineLevel="0" collapsed="false">
      <c r="A1" s="12" t="s">
        <v>2672</v>
      </c>
      <c r="B1" s="12"/>
      <c r="C1" s="12"/>
      <c r="D1" s="12"/>
      <c r="E1" s="12"/>
    </row>
    <row r="2" customFormat="false" ht="15" hidden="false" customHeight="false" outlineLevel="0" collapsed="false">
      <c r="A2" s="8" t="s">
        <v>2673</v>
      </c>
      <c r="B2" s="11" t="s">
        <v>1954</v>
      </c>
      <c r="C2" s="8" t="s">
        <v>2674</v>
      </c>
      <c r="D2" s="11" t="s">
        <v>2675</v>
      </c>
      <c r="E2" s="11" t="s">
        <v>2676</v>
      </c>
    </row>
    <row r="3" customFormat="false" ht="15" hidden="false" customHeight="false" outlineLevel="0" collapsed="false">
      <c r="A3" s="9" t="s">
        <v>1975</v>
      </c>
      <c r="B3" s="10" t="s">
        <v>1977</v>
      </c>
      <c r="C3" s="9" t="s">
        <v>2677</v>
      </c>
      <c r="D3" s="9" t="s">
        <v>2678</v>
      </c>
      <c r="E3" s="9" t="s">
        <v>2678</v>
      </c>
    </row>
    <row r="4" customFormat="false" ht="15" hidden="false" customHeight="false" outlineLevel="0" collapsed="false">
      <c r="A4" s="9" t="s">
        <v>1975</v>
      </c>
      <c r="B4" s="10" t="s">
        <v>1979</v>
      </c>
      <c r="C4" s="9" t="s">
        <v>2679</v>
      </c>
      <c r="D4" s="9" t="s">
        <v>2678</v>
      </c>
      <c r="E4" s="9" t="s">
        <v>2678</v>
      </c>
    </row>
    <row r="5" customFormat="false" ht="15" hidden="false" customHeight="false" outlineLevel="0" collapsed="false">
      <c r="A5" s="9" t="s">
        <v>1975</v>
      </c>
      <c r="B5" s="10" t="s">
        <v>1981</v>
      </c>
      <c r="C5" s="9" t="s">
        <v>2680</v>
      </c>
      <c r="D5" s="9" t="s">
        <v>2678</v>
      </c>
      <c r="E5" s="9" t="s">
        <v>2678</v>
      </c>
    </row>
    <row r="6" customFormat="false" ht="15" hidden="false" customHeight="false" outlineLevel="0" collapsed="false">
      <c r="A6" s="9" t="s">
        <v>1975</v>
      </c>
      <c r="B6" s="10" t="s">
        <v>1983</v>
      </c>
      <c r="C6" s="9" t="s">
        <v>1982</v>
      </c>
      <c r="D6" s="9" t="s">
        <v>2678</v>
      </c>
      <c r="E6" s="9" t="s">
        <v>2678</v>
      </c>
    </row>
    <row r="7" customFormat="false" ht="15" hidden="false" customHeight="false" outlineLevel="0" collapsed="false">
      <c r="A7" s="9" t="s">
        <v>1975</v>
      </c>
      <c r="B7" s="10" t="s">
        <v>1985</v>
      </c>
      <c r="C7" s="9" t="s">
        <v>2681</v>
      </c>
      <c r="D7" s="9" t="s">
        <v>2678</v>
      </c>
      <c r="E7" s="9" t="s">
        <v>2678</v>
      </c>
    </row>
    <row r="8" customFormat="false" ht="15" hidden="false" customHeight="false" outlineLevel="0" collapsed="false">
      <c r="A8" s="9" t="s">
        <v>1975</v>
      </c>
      <c r="B8" s="10" t="s">
        <v>1987</v>
      </c>
      <c r="C8" s="9" t="s">
        <v>1986</v>
      </c>
      <c r="D8" s="9" t="s">
        <v>2678</v>
      </c>
      <c r="E8" s="9" t="s">
        <v>2678</v>
      </c>
    </row>
    <row r="9" customFormat="false" ht="15" hidden="false" customHeight="false" outlineLevel="0" collapsed="false">
      <c r="A9" s="9" t="s">
        <v>1975</v>
      </c>
      <c r="B9" s="10" t="s">
        <v>1989</v>
      </c>
      <c r="C9" s="9" t="s">
        <v>1988</v>
      </c>
      <c r="D9" s="9" t="s">
        <v>2678</v>
      </c>
      <c r="E9" s="9" t="s">
        <v>2678</v>
      </c>
    </row>
    <row r="10" customFormat="false" ht="15" hidden="false" customHeight="false" outlineLevel="0" collapsed="false">
      <c r="A10" s="9" t="s">
        <v>1975</v>
      </c>
      <c r="B10" s="10" t="s">
        <v>1991</v>
      </c>
      <c r="C10" s="9" t="s">
        <v>1990</v>
      </c>
      <c r="D10" s="9" t="s">
        <v>2678</v>
      </c>
      <c r="E10" s="9" t="s">
        <v>2678</v>
      </c>
    </row>
    <row r="11" customFormat="false" ht="15" hidden="false" customHeight="false" outlineLevel="0" collapsed="false">
      <c r="A11" s="9" t="s">
        <v>1975</v>
      </c>
      <c r="B11" s="10" t="s">
        <v>1993</v>
      </c>
      <c r="C11" s="9" t="s">
        <v>1992</v>
      </c>
      <c r="D11" s="9" t="s">
        <v>2678</v>
      </c>
      <c r="E11" s="9" t="s">
        <v>2678</v>
      </c>
    </row>
    <row r="12" customFormat="false" ht="15" hidden="false" customHeight="false" outlineLevel="0" collapsed="false">
      <c r="A12" s="9" t="s">
        <v>1975</v>
      </c>
      <c r="B12" s="10" t="s">
        <v>1995</v>
      </c>
      <c r="C12" s="9" t="s">
        <v>1994</v>
      </c>
      <c r="D12" s="9" t="s">
        <v>2678</v>
      </c>
      <c r="E12" s="9" t="s">
        <v>2678</v>
      </c>
    </row>
    <row r="13" customFormat="false" ht="15" hidden="false" customHeight="false" outlineLevel="0" collapsed="false">
      <c r="A13" s="9" t="s">
        <v>1956</v>
      </c>
      <c r="B13" s="10" t="s">
        <v>2682</v>
      </c>
      <c r="C13" s="9" t="s">
        <v>2683</v>
      </c>
      <c r="D13" s="9" t="s">
        <v>2678</v>
      </c>
      <c r="E13" s="9" t="s">
        <v>2678</v>
      </c>
    </row>
    <row r="14" customFormat="false" ht="15" hidden="false" customHeight="false" outlineLevel="0" collapsed="false">
      <c r="A14" s="9" t="s">
        <v>1956</v>
      </c>
      <c r="B14" s="10" t="s">
        <v>2684</v>
      </c>
      <c r="C14" s="9" t="s">
        <v>2685</v>
      </c>
      <c r="D14" s="9" t="s">
        <v>2678</v>
      </c>
      <c r="E14" s="9" t="s">
        <v>2678</v>
      </c>
    </row>
    <row r="15" customFormat="false" ht="15" hidden="false" customHeight="false" outlineLevel="0" collapsed="false">
      <c r="A15" s="9" t="s">
        <v>1956</v>
      </c>
      <c r="B15" s="10" t="s">
        <v>2686</v>
      </c>
      <c r="C15" s="9" t="s">
        <v>2687</v>
      </c>
      <c r="D15" s="9" t="s">
        <v>2678</v>
      </c>
      <c r="E15" s="9" t="s">
        <v>2678</v>
      </c>
    </row>
    <row r="16" customFormat="false" ht="15" hidden="false" customHeight="false" outlineLevel="0" collapsed="false">
      <c r="A16" s="9" t="s">
        <v>1956</v>
      </c>
      <c r="B16" s="10" t="s">
        <v>2688</v>
      </c>
      <c r="C16" s="9" t="s">
        <v>2689</v>
      </c>
      <c r="D16" s="9" t="s">
        <v>2678</v>
      </c>
      <c r="E16" s="9" t="s">
        <v>2678</v>
      </c>
    </row>
    <row r="17" customFormat="false" ht="15" hidden="false" customHeight="false" outlineLevel="0" collapsed="false">
      <c r="A17" s="9" t="s">
        <v>1956</v>
      </c>
      <c r="B17" s="10" t="s">
        <v>2690</v>
      </c>
      <c r="C17" s="9" t="s">
        <v>2691</v>
      </c>
      <c r="D17" s="9" t="s">
        <v>2678</v>
      </c>
      <c r="E17" s="9" t="s">
        <v>2678</v>
      </c>
    </row>
    <row r="18" customFormat="false" ht="15" hidden="false" customHeight="false" outlineLevel="0" collapsed="false">
      <c r="A18" s="9" t="s">
        <v>1956</v>
      </c>
      <c r="B18" s="10" t="s">
        <v>2692</v>
      </c>
      <c r="C18" s="9" t="s">
        <v>2693</v>
      </c>
      <c r="D18" s="9" t="s">
        <v>2678</v>
      </c>
      <c r="E18" s="9" t="s">
        <v>2678</v>
      </c>
    </row>
    <row r="19" customFormat="false" ht="15" hidden="false" customHeight="false" outlineLevel="0" collapsed="false">
      <c r="A19" s="9" t="s">
        <v>1956</v>
      </c>
      <c r="B19" s="10" t="s">
        <v>2694</v>
      </c>
      <c r="C19" s="9" t="s">
        <v>2695</v>
      </c>
      <c r="D19" s="9" t="s">
        <v>2678</v>
      </c>
      <c r="E19" s="9" t="s">
        <v>2678</v>
      </c>
    </row>
    <row r="20" customFormat="false" ht="15" hidden="false" customHeight="false" outlineLevel="0" collapsed="false">
      <c r="A20" s="9" t="s">
        <v>1956</v>
      </c>
      <c r="B20" s="10" t="s">
        <v>2696</v>
      </c>
      <c r="C20" s="9" t="s">
        <v>2697</v>
      </c>
      <c r="D20" s="9" t="s">
        <v>2678</v>
      </c>
      <c r="E20" s="9" t="s">
        <v>2678</v>
      </c>
    </row>
    <row r="21" customFormat="false" ht="15" hidden="false" customHeight="false" outlineLevel="0" collapsed="false">
      <c r="A21" s="9" t="s">
        <v>1956</v>
      </c>
      <c r="B21" s="10" t="s">
        <v>2698</v>
      </c>
      <c r="C21" s="9" t="s">
        <v>2699</v>
      </c>
      <c r="D21" s="9" t="s">
        <v>2678</v>
      </c>
      <c r="E21" s="9" t="s">
        <v>2678</v>
      </c>
    </row>
    <row r="22" customFormat="false" ht="15" hidden="false" customHeight="false" outlineLevel="0" collapsed="false">
      <c r="A22" s="9" t="s">
        <v>1956</v>
      </c>
      <c r="B22" s="10" t="s">
        <v>2700</v>
      </c>
      <c r="C22" s="9" t="s">
        <v>2701</v>
      </c>
      <c r="D22" s="9" t="s">
        <v>2678</v>
      </c>
      <c r="E22" s="9" t="s">
        <v>2678</v>
      </c>
    </row>
    <row r="23" customFormat="false" ht="15" hidden="false" customHeight="false" outlineLevel="0" collapsed="false">
      <c r="A23" s="9" t="s">
        <v>1956</v>
      </c>
      <c r="B23" s="10" t="s">
        <v>2702</v>
      </c>
      <c r="C23" s="9" t="s">
        <v>2703</v>
      </c>
      <c r="D23" s="9" t="s">
        <v>2678</v>
      </c>
      <c r="E23" s="9" t="s">
        <v>2678</v>
      </c>
    </row>
    <row r="24" customFormat="false" ht="15" hidden="false" customHeight="false" outlineLevel="0" collapsed="false">
      <c r="A24" s="9" t="s">
        <v>1956</v>
      </c>
      <c r="B24" s="10" t="s">
        <v>2704</v>
      </c>
      <c r="C24" s="9" t="s">
        <v>2705</v>
      </c>
      <c r="D24" s="9" t="s">
        <v>2678</v>
      </c>
      <c r="E24" s="9" t="s">
        <v>2678</v>
      </c>
    </row>
    <row r="25" customFormat="false" ht="15" hidden="false" customHeight="false" outlineLevel="0" collapsed="false">
      <c r="A25" s="9" t="s">
        <v>1956</v>
      </c>
      <c r="B25" s="10" t="s">
        <v>2706</v>
      </c>
      <c r="C25" s="9" t="s">
        <v>2707</v>
      </c>
      <c r="D25" s="9" t="s">
        <v>2678</v>
      </c>
      <c r="E25" s="9" t="s">
        <v>2678</v>
      </c>
    </row>
    <row r="26" customFormat="false" ht="15" hidden="false" customHeight="false" outlineLevel="0" collapsed="false">
      <c r="A26" s="9" t="s">
        <v>1956</v>
      </c>
      <c r="B26" s="10" t="s">
        <v>2708</v>
      </c>
      <c r="C26" s="9" t="s">
        <v>2709</v>
      </c>
      <c r="D26" s="9" t="s">
        <v>2678</v>
      </c>
      <c r="E26" s="9" t="s">
        <v>2678</v>
      </c>
    </row>
    <row r="27" customFormat="false" ht="15" hidden="false" customHeight="false" outlineLevel="0" collapsed="false">
      <c r="A27" s="9" t="s">
        <v>1956</v>
      </c>
      <c r="B27" s="10" t="s">
        <v>2710</v>
      </c>
      <c r="C27" s="9" t="s">
        <v>2711</v>
      </c>
      <c r="D27" s="9" t="s">
        <v>2678</v>
      </c>
      <c r="E27" s="9" t="s">
        <v>2678</v>
      </c>
    </row>
    <row r="28" customFormat="false" ht="15" hidden="false" customHeight="false" outlineLevel="0" collapsed="false">
      <c r="A28" s="9" t="s">
        <v>1956</v>
      </c>
      <c r="B28" s="10" t="s">
        <v>2712</v>
      </c>
      <c r="C28" s="9" t="s">
        <v>2713</v>
      </c>
      <c r="D28" s="9" t="s">
        <v>2678</v>
      </c>
      <c r="E28" s="9" t="s">
        <v>2678</v>
      </c>
    </row>
    <row r="29" customFormat="false" ht="15" hidden="false" customHeight="false" outlineLevel="0" collapsed="false">
      <c r="A29" s="9" t="s">
        <v>1956</v>
      </c>
      <c r="B29" s="10" t="s">
        <v>2714</v>
      </c>
      <c r="C29" s="9" t="s">
        <v>2715</v>
      </c>
      <c r="D29" s="9" t="s">
        <v>2678</v>
      </c>
      <c r="E29" s="9" t="s">
        <v>2678</v>
      </c>
    </row>
    <row r="30" customFormat="false" ht="15" hidden="false" customHeight="false" outlineLevel="0" collapsed="false">
      <c r="A30" s="9" t="s">
        <v>1956</v>
      </c>
      <c r="B30" s="10" t="s">
        <v>2716</v>
      </c>
      <c r="C30" s="9" t="s">
        <v>2717</v>
      </c>
      <c r="D30" s="9" t="s">
        <v>2678</v>
      </c>
      <c r="E30" s="9" t="s">
        <v>2678</v>
      </c>
    </row>
    <row r="31" customFormat="false" ht="15" hidden="false" customHeight="false" outlineLevel="0" collapsed="false">
      <c r="A31" s="9" t="s">
        <v>1956</v>
      </c>
      <c r="B31" s="10" t="s">
        <v>2718</v>
      </c>
      <c r="C31" s="9" t="s">
        <v>2719</v>
      </c>
      <c r="D31" s="9" t="s">
        <v>2678</v>
      </c>
      <c r="E31" s="9" t="s">
        <v>2678</v>
      </c>
    </row>
    <row r="32" customFormat="false" ht="15" hidden="false" customHeight="false" outlineLevel="0" collapsed="false">
      <c r="A32" s="9" t="s">
        <v>1956</v>
      </c>
      <c r="B32" s="10" t="s">
        <v>2720</v>
      </c>
      <c r="C32" s="9" t="s">
        <v>2721</v>
      </c>
      <c r="D32" s="9" t="s">
        <v>2678</v>
      </c>
      <c r="E32" s="9" t="s">
        <v>2678</v>
      </c>
    </row>
    <row r="33" customFormat="false" ht="15" hidden="false" customHeight="false" outlineLevel="0" collapsed="false">
      <c r="A33" s="9" t="s">
        <v>1956</v>
      </c>
      <c r="B33" s="10" t="s">
        <v>2722</v>
      </c>
      <c r="C33" s="9" t="s">
        <v>2723</v>
      </c>
      <c r="D33" s="9" t="s">
        <v>2678</v>
      </c>
      <c r="E33" s="9" t="s">
        <v>2678</v>
      </c>
    </row>
    <row r="34" customFormat="false" ht="15" hidden="false" customHeight="false" outlineLevel="0" collapsed="false">
      <c r="A34" s="9" t="s">
        <v>1956</v>
      </c>
      <c r="B34" s="10" t="s">
        <v>2724</v>
      </c>
      <c r="C34" s="9" t="s">
        <v>2725</v>
      </c>
      <c r="D34" s="9" t="s">
        <v>2678</v>
      </c>
      <c r="E34" s="9" t="s">
        <v>2678</v>
      </c>
    </row>
    <row r="35" customFormat="false" ht="15" hidden="false" customHeight="false" outlineLevel="0" collapsed="false">
      <c r="A35" s="9" t="s">
        <v>1956</v>
      </c>
      <c r="B35" s="10" t="s">
        <v>2726</v>
      </c>
      <c r="C35" s="9" t="s">
        <v>2727</v>
      </c>
      <c r="D35" s="9" t="s">
        <v>2678</v>
      </c>
      <c r="E35" s="9" t="s">
        <v>2678</v>
      </c>
    </row>
    <row r="36" customFormat="false" ht="15" hidden="false" customHeight="false" outlineLevel="0" collapsed="false">
      <c r="A36" s="9" t="s">
        <v>1956</v>
      </c>
      <c r="B36" s="10" t="s">
        <v>2728</v>
      </c>
      <c r="C36" s="9" t="s">
        <v>2729</v>
      </c>
      <c r="D36" s="9" t="s">
        <v>2678</v>
      </c>
      <c r="E36" s="9" t="s">
        <v>2678</v>
      </c>
    </row>
    <row r="37" customFormat="false" ht="15" hidden="false" customHeight="false" outlineLevel="0" collapsed="false">
      <c r="A37" s="9" t="s">
        <v>1956</v>
      </c>
      <c r="B37" s="10" t="s">
        <v>2730</v>
      </c>
      <c r="C37" s="9" t="s">
        <v>2731</v>
      </c>
      <c r="D37" s="9" t="s">
        <v>2678</v>
      </c>
      <c r="E37" s="9" t="s">
        <v>2678</v>
      </c>
    </row>
    <row r="38" customFormat="false" ht="15" hidden="false" customHeight="false" outlineLevel="0" collapsed="false">
      <c r="A38" s="9" t="s">
        <v>1956</v>
      </c>
      <c r="B38" s="10" t="s">
        <v>2732</v>
      </c>
      <c r="C38" s="9" t="s">
        <v>2733</v>
      </c>
      <c r="D38" s="9" t="s">
        <v>2678</v>
      </c>
      <c r="E38" s="9" t="s">
        <v>2678</v>
      </c>
    </row>
    <row r="39" customFormat="false" ht="15" hidden="false" customHeight="false" outlineLevel="0" collapsed="false">
      <c r="A39" s="9" t="s">
        <v>1956</v>
      </c>
      <c r="B39" s="10" t="s">
        <v>2734</v>
      </c>
      <c r="C39" s="9" t="s">
        <v>2735</v>
      </c>
      <c r="D39" s="9" t="s">
        <v>2678</v>
      </c>
      <c r="E39" s="9" t="s">
        <v>2678</v>
      </c>
    </row>
    <row r="40" customFormat="false" ht="15" hidden="false" customHeight="false" outlineLevel="0" collapsed="false">
      <c r="A40" s="9" t="s">
        <v>1956</v>
      </c>
      <c r="B40" s="10" t="s">
        <v>2736</v>
      </c>
      <c r="C40" s="9" t="s">
        <v>2737</v>
      </c>
      <c r="D40" s="9" t="s">
        <v>2678</v>
      </c>
      <c r="E40" s="9" t="s">
        <v>2678</v>
      </c>
    </row>
    <row r="41" customFormat="false" ht="15" hidden="false" customHeight="false" outlineLevel="0" collapsed="false">
      <c r="A41" s="9" t="s">
        <v>1956</v>
      </c>
      <c r="B41" s="10" t="s">
        <v>2738</v>
      </c>
      <c r="C41" s="9" t="s">
        <v>2739</v>
      </c>
      <c r="D41" s="9" t="s">
        <v>2678</v>
      </c>
      <c r="E41" s="9" t="s">
        <v>2678</v>
      </c>
    </row>
    <row r="42" customFormat="false" ht="15" hidden="false" customHeight="false" outlineLevel="0" collapsed="false">
      <c r="A42" s="9" t="s">
        <v>1956</v>
      </c>
      <c r="B42" s="10" t="s">
        <v>2740</v>
      </c>
      <c r="C42" s="9" t="s">
        <v>2741</v>
      </c>
      <c r="D42" s="9" t="s">
        <v>2678</v>
      </c>
      <c r="E42" s="9" t="s">
        <v>2678</v>
      </c>
    </row>
    <row r="43" customFormat="false" ht="15" hidden="false" customHeight="false" outlineLevel="0" collapsed="false">
      <c r="A43" s="9" t="s">
        <v>1956</v>
      </c>
      <c r="B43" s="10" t="s">
        <v>2742</v>
      </c>
      <c r="C43" s="9" t="s">
        <v>2743</v>
      </c>
      <c r="D43" s="9" t="s">
        <v>2678</v>
      </c>
      <c r="E43" s="9" t="s">
        <v>2678</v>
      </c>
    </row>
    <row r="44" customFormat="false" ht="15" hidden="false" customHeight="false" outlineLevel="0" collapsed="false">
      <c r="A44" s="9" t="s">
        <v>1956</v>
      </c>
      <c r="B44" s="10" t="s">
        <v>2744</v>
      </c>
      <c r="C44" s="9" t="s">
        <v>2745</v>
      </c>
      <c r="D44" s="9" t="s">
        <v>2678</v>
      </c>
      <c r="E44" s="9" t="s">
        <v>2678</v>
      </c>
    </row>
    <row r="45" customFormat="false" ht="15" hidden="false" customHeight="false" outlineLevel="0" collapsed="false">
      <c r="A45" s="9" t="s">
        <v>1956</v>
      </c>
      <c r="B45" s="10" t="s">
        <v>2746</v>
      </c>
      <c r="C45" s="9" t="s">
        <v>2747</v>
      </c>
      <c r="D45" s="9" t="s">
        <v>2678</v>
      </c>
      <c r="E45" s="9" t="s">
        <v>2678</v>
      </c>
    </row>
    <row r="46" customFormat="false" ht="15" hidden="false" customHeight="false" outlineLevel="0" collapsed="false">
      <c r="A46" s="9" t="s">
        <v>1956</v>
      </c>
      <c r="B46" s="10" t="s">
        <v>2748</v>
      </c>
      <c r="C46" s="10" t="s">
        <v>2749</v>
      </c>
      <c r="D46" s="9" t="s">
        <v>2678</v>
      </c>
      <c r="E46" s="9" t="s">
        <v>2678</v>
      </c>
    </row>
    <row r="47" customFormat="false" ht="15" hidden="false" customHeight="false" outlineLevel="0" collapsed="false">
      <c r="A47" s="9" t="s">
        <v>1956</v>
      </c>
      <c r="B47" s="10" t="s">
        <v>2750</v>
      </c>
      <c r="C47" s="9" t="s">
        <v>2751</v>
      </c>
      <c r="D47" s="9" t="s">
        <v>2678</v>
      </c>
      <c r="E47" s="9" t="s">
        <v>2678</v>
      </c>
    </row>
    <row r="48" customFormat="false" ht="15" hidden="false" customHeight="false" outlineLevel="0" collapsed="false">
      <c r="A48" s="9" t="s">
        <v>1956</v>
      </c>
      <c r="B48" s="10" t="s">
        <v>2752</v>
      </c>
      <c r="C48" s="9" t="s">
        <v>2753</v>
      </c>
      <c r="D48" s="9" t="s">
        <v>2678</v>
      </c>
      <c r="E48" s="9" t="s">
        <v>2678</v>
      </c>
    </row>
    <row r="49" customFormat="false" ht="15" hidden="false" customHeight="false" outlineLevel="0" collapsed="false">
      <c r="A49" s="9" t="s">
        <v>1956</v>
      </c>
      <c r="B49" s="10" t="s">
        <v>2754</v>
      </c>
      <c r="C49" s="9" t="s">
        <v>2755</v>
      </c>
      <c r="D49" s="9" t="s">
        <v>2678</v>
      </c>
      <c r="E49" s="9" t="s">
        <v>2678</v>
      </c>
    </row>
    <row r="50" customFormat="false" ht="15" hidden="false" customHeight="false" outlineLevel="0" collapsed="false">
      <c r="A50" s="9" t="s">
        <v>1956</v>
      </c>
      <c r="B50" s="10" t="s">
        <v>2756</v>
      </c>
      <c r="C50" s="9" t="s">
        <v>2757</v>
      </c>
      <c r="D50" s="9" t="s">
        <v>2678</v>
      </c>
      <c r="E50" s="9" t="s">
        <v>2678</v>
      </c>
    </row>
    <row r="51" customFormat="false" ht="15" hidden="false" customHeight="false" outlineLevel="0" collapsed="false">
      <c r="A51" s="9" t="s">
        <v>1956</v>
      </c>
      <c r="B51" s="10" t="s">
        <v>2758</v>
      </c>
      <c r="C51" s="9" t="s">
        <v>2759</v>
      </c>
      <c r="D51" s="9" t="s">
        <v>2678</v>
      </c>
      <c r="E51" s="9" t="s">
        <v>2678</v>
      </c>
    </row>
    <row r="52" customFormat="false" ht="15" hidden="false" customHeight="false" outlineLevel="0" collapsed="false">
      <c r="A52" s="9" t="s">
        <v>1956</v>
      </c>
      <c r="B52" s="10" t="s">
        <v>2760</v>
      </c>
      <c r="C52" s="9" t="s">
        <v>2761</v>
      </c>
      <c r="D52" s="9" t="s">
        <v>2678</v>
      </c>
      <c r="E52" s="9" t="s">
        <v>2678</v>
      </c>
    </row>
    <row r="53" customFormat="false" ht="15" hidden="false" customHeight="false" outlineLevel="0" collapsed="false">
      <c r="A53" s="9" t="s">
        <v>1956</v>
      </c>
      <c r="B53" s="10" t="s">
        <v>2762</v>
      </c>
      <c r="C53" s="9" t="s">
        <v>2763</v>
      </c>
      <c r="D53" s="9" t="s">
        <v>2678</v>
      </c>
      <c r="E53" s="9" t="s">
        <v>2678</v>
      </c>
    </row>
    <row r="54" customFormat="false" ht="15" hidden="false" customHeight="false" outlineLevel="0" collapsed="false">
      <c r="A54" s="9" t="s">
        <v>1956</v>
      </c>
      <c r="B54" s="10" t="s">
        <v>2764</v>
      </c>
      <c r="C54" s="9" t="s">
        <v>2765</v>
      </c>
      <c r="D54" s="9" t="s">
        <v>2678</v>
      </c>
      <c r="E54" s="9" t="s">
        <v>2678</v>
      </c>
    </row>
    <row r="55" customFormat="false" ht="15" hidden="false" customHeight="false" outlineLevel="0" collapsed="false">
      <c r="A55" s="9" t="s">
        <v>1956</v>
      </c>
      <c r="B55" s="10" t="s">
        <v>2766</v>
      </c>
      <c r="C55" s="9" t="s">
        <v>2767</v>
      </c>
      <c r="D55" s="9" t="s">
        <v>2678</v>
      </c>
      <c r="E55" s="9" t="s">
        <v>2678</v>
      </c>
    </row>
    <row r="56" customFormat="false" ht="15" hidden="false" customHeight="false" outlineLevel="0" collapsed="false">
      <c r="A56" s="9" t="s">
        <v>1956</v>
      </c>
      <c r="B56" s="10" t="s">
        <v>2768</v>
      </c>
      <c r="C56" s="9" t="s">
        <v>2769</v>
      </c>
      <c r="D56" s="9" t="s">
        <v>2678</v>
      </c>
      <c r="E56" s="9" t="s">
        <v>2678</v>
      </c>
    </row>
    <row r="57" customFormat="false" ht="15" hidden="false" customHeight="false" outlineLevel="0" collapsed="false">
      <c r="A57" s="9" t="s">
        <v>1956</v>
      </c>
      <c r="B57" s="10" t="s">
        <v>2770</v>
      </c>
      <c r="C57" s="9" t="s">
        <v>2771</v>
      </c>
      <c r="D57" s="9" t="s">
        <v>2678</v>
      </c>
      <c r="E57" s="9" t="s">
        <v>2678</v>
      </c>
    </row>
    <row r="58" customFormat="false" ht="15" hidden="false" customHeight="false" outlineLevel="0" collapsed="false">
      <c r="A58" s="9" t="s">
        <v>1956</v>
      </c>
      <c r="B58" s="10" t="s">
        <v>2772</v>
      </c>
      <c r="C58" s="9" t="s">
        <v>1973</v>
      </c>
      <c r="D58" s="9" t="s">
        <v>2678</v>
      </c>
      <c r="E58" s="9" t="s">
        <v>2678</v>
      </c>
    </row>
    <row r="59" customFormat="false" ht="15" hidden="false" customHeight="false" outlineLevel="0" collapsed="false">
      <c r="A59" s="9" t="s">
        <v>2773</v>
      </c>
      <c r="B59" s="10" t="s">
        <v>1998</v>
      </c>
      <c r="C59" s="9" t="s">
        <v>1997</v>
      </c>
      <c r="D59" s="9" t="s">
        <v>2678</v>
      </c>
      <c r="E59" s="9" t="s">
        <v>2678</v>
      </c>
    </row>
    <row r="60" customFormat="false" ht="15" hidden="false" customHeight="false" outlineLevel="0" collapsed="false">
      <c r="A60" s="9" t="s">
        <v>2773</v>
      </c>
      <c r="B60" s="10" t="s">
        <v>2774</v>
      </c>
      <c r="C60" s="9" t="s">
        <v>2775</v>
      </c>
      <c r="D60" s="9" t="s">
        <v>2678</v>
      </c>
      <c r="E60" s="9" t="s">
        <v>2678</v>
      </c>
    </row>
    <row r="61" customFormat="false" ht="15" hidden="false" customHeight="false" outlineLevel="0" collapsed="false">
      <c r="A61" s="9" t="s">
        <v>2773</v>
      </c>
      <c r="B61" s="10" t="s">
        <v>2776</v>
      </c>
      <c r="C61" s="9" t="s">
        <v>2775</v>
      </c>
      <c r="D61" s="9" t="s">
        <v>2678</v>
      </c>
      <c r="E61" s="9" t="s">
        <v>2678</v>
      </c>
    </row>
    <row r="62" customFormat="false" ht="15" hidden="false" customHeight="false" outlineLevel="0" collapsed="false">
      <c r="A62" s="9" t="s">
        <v>2773</v>
      </c>
      <c r="B62" s="10" t="s">
        <v>2777</v>
      </c>
      <c r="C62" s="9" t="s">
        <v>2775</v>
      </c>
      <c r="D62" s="9" t="s">
        <v>2678</v>
      </c>
      <c r="E62" s="9" t="s">
        <v>2678</v>
      </c>
    </row>
    <row r="63" customFormat="false" ht="15" hidden="false" customHeight="false" outlineLevel="0" collapsed="false">
      <c r="A63" s="9" t="s">
        <v>2773</v>
      </c>
      <c r="B63" s="10" t="s">
        <v>2778</v>
      </c>
      <c r="C63" s="9" t="s">
        <v>2775</v>
      </c>
      <c r="D63" s="9" t="s">
        <v>2678</v>
      </c>
      <c r="E63" s="9" t="s">
        <v>2678</v>
      </c>
    </row>
    <row r="64" customFormat="false" ht="15" hidden="false" customHeight="false" outlineLevel="0" collapsed="false">
      <c r="A64" s="9" t="s">
        <v>2773</v>
      </c>
      <c r="B64" s="10" t="s">
        <v>2779</v>
      </c>
      <c r="C64" s="9" t="s">
        <v>2780</v>
      </c>
      <c r="D64" s="9" t="s">
        <v>2678</v>
      </c>
      <c r="E64" s="9" t="s">
        <v>2678</v>
      </c>
    </row>
    <row r="65" customFormat="false" ht="15" hidden="false" customHeight="false" outlineLevel="0" collapsed="false">
      <c r="A65" s="9" t="s">
        <v>2773</v>
      </c>
      <c r="B65" s="10" t="s">
        <v>2781</v>
      </c>
      <c r="C65" s="9" t="s">
        <v>2782</v>
      </c>
      <c r="D65" s="9" t="s">
        <v>2678</v>
      </c>
      <c r="E65" s="9" t="s">
        <v>2678</v>
      </c>
    </row>
    <row r="66" customFormat="false" ht="15" hidden="false" customHeight="false" outlineLevel="0" collapsed="false">
      <c r="A66" s="9" t="s">
        <v>2773</v>
      </c>
      <c r="B66" s="10" t="s">
        <v>2783</v>
      </c>
      <c r="C66" s="9" t="s">
        <v>2784</v>
      </c>
      <c r="D66" s="9" t="s">
        <v>2678</v>
      </c>
      <c r="E66" s="9" t="s">
        <v>2678</v>
      </c>
    </row>
    <row r="67" customFormat="false" ht="15" hidden="false" customHeight="false" outlineLevel="0" collapsed="false">
      <c r="A67" s="9" t="s">
        <v>2773</v>
      </c>
      <c r="B67" s="10" t="s">
        <v>2785</v>
      </c>
      <c r="C67" s="9" t="s">
        <v>2001</v>
      </c>
      <c r="D67" s="9" t="s">
        <v>2678</v>
      </c>
      <c r="E67" s="9" t="s">
        <v>2678</v>
      </c>
    </row>
    <row r="68" customFormat="false" ht="15" hidden="false" customHeight="false" outlineLevel="0" collapsed="false">
      <c r="A68" s="9" t="s">
        <v>2773</v>
      </c>
      <c r="B68" s="10" t="s">
        <v>2786</v>
      </c>
      <c r="C68" s="9" t="s">
        <v>2001</v>
      </c>
      <c r="D68" s="9" t="s">
        <v>2678</v>
      </c>
      <c r="E68" s="9" t="s">
        <v>2678</v>
      </c>
    </row>
    <row r="69" customFormat="false" ht="15" hidden="false" customHeight="false" outlineLevel="0" collapsed="false">
      <c r="A69" s="9" t="s">
        <v>2773</v>
      </c>
      <c r="B69" s="10" t="s">
        <v>2787</v>
      </c>
      <c r="C69" s="9" t="s">
        <v>2788</v>
      </c>
      <c r="D69" s="9" t="s">
        <v>2678</v>
      </c>
      <c r="E69" s="9" t="s">
        <v>2678</v>
      </c>
    </row>
    <row r="70" customFormat="false" ht="15" hidden="false" customHeight="false" outlineLevel="0" collapsed="false">
      <c r="A70" s="9" t="s">
        <v>2773</v>
      </c>
      <c r="B70" s="10" t="s">
        <v>2789</v>
      </c>
      <c r="C70" s="9" t="s">
        <v>2790</v>
      </c>
      <c r="D70" s="9" t="s">
        <v>2678</v>
      </c>
      <c r="E70" s="9" t="s">
        <v>2678</v>
      </c>
    </row>
    <row r="71" customFormat="false" ht="15" hidden="false" customHeight="false" outlineLevel="0" collapsed="false">
      <c r="A71" s="9" t="s">
        <v>2773</v>
      </c>
      <c r="B71" s="10" t="s">
        <v>2791</v>
      </c>
      <c r="C71" s="9" t="s">
        <v>2792</v>
      </c>
      <c r="D71" s="9" t="s">
        <v>2678</v>
      </c>
      <c r="E71" s="9" t="s">
        <v>2678</v>
      </c>
    </row>
    <row r="72" customFormat="false" ht="15" hidden="false" customHeight="false" outlineLevel="0" collapsed="false">
      <c r="A72" s="9" t="s">
        <v>2773</v>
      </c>
      <c r="B72" s="10" t="s">
        <v>2793</v>
      </c>
      <c r="C72" s="9" t="s">
        <v>2792</v>
      </c>
      <c r="D72" s="9" t="s">
        <v>2678</v>
      </c>
      <c r="E72" s="9" t="s">
        <v>2678</v>
      </c>
    </row>
    <row r="73" customFormat="false" ht="15" hidden="false" customHeight="false" outlineLevel="0" collapsed="false">
      <c r="A73" s="9" t="s">
        <v>2773</v>
      </c>
      <c r="B73" s="10" t="s">
        <v>2794</v>
      </c>
      <c r="C73" s="9" t="s">
        <v>2792</v>
      </c>
      <c r="D73" s="9" t="s">
        <v>2678</v>
      </c>
      <c r="E73" s="9" t="s">
        <v>2678</v>
      </c>
    </row>
    <row r="74" customFormat="false" ht="15" hidden="false" customHeight="false" outlineLevel="0" collapsed="false">
      <c r="A74" s="9" t="s">
        <v>2773</v>
      </c>
      <c r="B74" s="10" t="s">
        <v>2795</v>
      </c>
      <c r="C74" s="9" t="s">
        <v>2796</v>
      </c>
      <c r="D74" s="9" t="s">
        <v>2678</v>
      </c>
      <c r="E74" s="9" t="s">
        <v>2678</v>
      </c>
    </row>
    <row r="75" customFormat="false" ht="15" hidden="false" customHeight="false" outlineLevel="0" collapsed="false">
      <c r="A75" s="9" t="s">
        <v>2773</v>
      </c>
      <c r="B75" s="10" t="s">
        <v>2797</v>
      </c>
      <c r="C75" s="9" t="s">
        <v>2792</v>
      </c>
      <c r="D75" s="9" t="s">
        <v>2678</v>
      </c>
      <c r="E75" s="9" t="s">
        <v>2678</v>
      </c>
    </row>
    <row r="76" customFormat="false" ht="15" hidden="false" customHeight="false" outlineLevel="0" collapsed="false">
      <c r="A76" s="9" t="s">
        <v>2773</v>
      </c>
      <c r="B76" s="10" t="s">
        <v>2798</v>
      </c>
      <c r="C76" s="9" t="s">
        <v>2792</v>
      </c>
      <c r="D76" s="9" t="s">
        <v>2678</v>
      </c>
      <c r="E76" s="9" t="s">
        <v>2678</v>
      </c>
    </row>
    <row r="77" customFormat="false" ht="15" hidden="false" customHeight="false" outlineLevel="0" collapsed="false">
      <c r="A77" s="9" t="s">
        <v>2773</v>
      </c>
      <c r="B77" s="10" t="s">
        <v>2799</v>
      </c>
      <c r="C77" s="9" t="s">
        <v>2800</v>
      </c>
      <c r="D77" s="9" t="s">
        <v>2678</v>
      </c>
      <c r="E77" s="9" t="s">
        <v>2678</v>
      </c>
    </row>
    <row r="78" customFormat="false" ht="15" hidden="false" customHeight="false" outlineLevel="0" collapsed="false">
      <c r="A78" s="9" t="s">
        <v>2773</v>
      </c>
      <c r="B78" s="10" t="s">
        <v>2801</v>
      </c>
      <c r="C78" s="9" t="s">
        <v>2802</v>
      </c>
      <c r="D78" s="9" t="s">
        <v>2678</v>
      </c>
      <c r="E78" s="9" t="s">
        <v>2678</v>
      </c>
    </row>
    <row r="79" customFormat="false" ht="15" hidden="false" customHeight="false" outlineLevel="0" collapsed="false">
      <c r="A79" s="9" t="s">
        <v>2773</v>
      </c>
      <c r="B79" s="10" t="s">
        <v>2803</v>
      </c>
      <c r="C79" s="9" t="s">
        <v>2005</v>
      </c>
      <c r="D79" s="9" t="s">
        <v>2678</v>
      </c>
      <c r="E79" s="9" t="s">
        <v>2678</v>
      </c>
    </row>
    <row r="80" customFormat="false" ht="15" hidden="false" customHeight="false" outlineLevel="0" collapsed="false">
      <c r="A80" s="9" t="s">
        <v>2773</v>
      </c>
      <c r="B80" s="10" t="s">
        <v>2804</v>
      </c>
      <c r="C80" s="9" t="s">
        <v>2007</v>
      </c>
      <c r="D80" s="9" t="s">
        <v>2678</v>
      </c>
      <c r="E80" s="9" t="s">
        <v>2678</v>
      </c>
    </row>
    <row r="81" customFormat="false" ht="15" hidden="false" customHeight="false" outlineLevel="0" collapsed="false">
      <c r="A81" s="9" t="s">
        <v>2773</v>
      </c>
      <c r="B81" s="10" t="s">
        <v>2010</v>
      </c>
      <c r="C81" s="9" t="s">
        <v>2009</v>
      </c>
      <c r="D81" s="9" t="s">
        <v>2678</v>
      </c>
      <c r="E81" s="9" t="s">
        <v>2678</v>
      </c>
    </row>
    <row r="82" customFormat="false" ht="15" hidden="false" customHeight="false" outlineLevel="0" collapsed="false">
      <c r="A82" s="9" t="s">
        <v>2773</v>
      </c>
      <c r="B82" s="10" t="s">
        <v>2012</v>
      </c>
      <c r="C82" s="9" t="s">
        <v>2011</v>
      </c>
      <c r="D82" s="9" t="s">
        <v>2678</v>
      </c>
      <c r="E82" s="9" t="s">
        <v>2678</v>
      </c>
    </row>
    <row r="83" customFormat="false" ht="15" hidden="false" customHeight="false" outlineLevel="0" collapsed="false">
      <c r="A83" s="9" t="s">
        <v>2773</v>
      </c>
      <c r="B83" s="10" t="s">
        <v>2014</v>
      </c>
      <c r="C83" s="9" t="s">
        <v>2013</v>
      </c>
      <c r="D83" s="9" t="s">
        <v>2678</v>
      </c>
      <c r="E83" s="9" t="s">
        <v>2678</v>
      </c>
    </row>
    <row r="84" customFormat="false" ht="15" hidden="false" customHeight="false" outlineLevel="0" collapsed="false">
      <c r="A84" s="9" t="s">
        <v>2773</v>
      </c>
      <c r="B84" s="10" t="s">
        <v>2016</v>
      </c>
      <c r="C84" s="9" t="s">
        <v>2015</v>
      </c>
      <c r="D84" s="9" t="s">
        <v>2678</v>
      </c>
      <c r="E84" s="9" t="s">
        <v>2678</v>
      </c>
    </row>
    <row r="85" customFormat="false" ht="15" hidden="false" customHeight="false" outlineLevel="0" collapsed="false">
      <c r="A85" s="9" t="s">
        <v>2773</v>
      </c>
      <c r="B85" s="10" t="s">
        <v>2018</v>
      </c>
      <c r="C85" s="9" t="s">
        <v>2017</v>
      </c>
      <c r="D85" s="9" t="s">
        <v>2678</v>
      </c>
      <c r="E85" s="9" t="s">
        <v>2678</v>
      </c>
    </row>
    <row r="86" customFormat="false" ht="15" hidden="false" customHeight="false" outlineLevel="0" collapsed="false">
      <c r="A86" s="9" t="s">
        <v>2773</v>
      </c>
      <c r="B86" s="10" t="s">
        <v>2020</v>
      </c>
      <c r="C86" s="9" t="s">
        <v>2805</v>
      </c>
      <c r="D86" s="9" t="s">
        <v>2678</v>
      </c>
      <c r="E86" s="9" t="s">
        <v>2678</v>
      </c>
    </row>
    <row r="87" customFormat="false" ht="15" hidden="false" customHeight="false" outlineLevel="0" collapsed="false">
      <c r="A87" s="9" t="s">
        <v>2773</v>
      </c>
      <c r="B87" s="10" t="s">
        <v>2022</v>
      </c>
      <c r="C87" s="10" t="s">
        <v>2021</v>
      </c>
      <c r="D87" s="9" t="s">
        <v>2678</v>
      </c>
      <c r="E87" s="9" t="s">
        <v>2678</v>
      </c>
    </row>
    <row r="88" customFormat="false" ht="15" hidden="false" customHeight="false" outlineLevel="0" collapsed="false">
      <c r="A88" s="9" t="s">
        <v>2773</v>
      </c>
      <c r="B88" s="10" t="s">
        <v>2024</v>
      </c>
      <c r="C88" s="10" t="s">
        <v>2023</v>
      </c>
      <c r="D88" s="9" t="s">
        <v>2678</v>
      </c>
      <c r="E88" s="9" t="s">
        <v>2678</v>
      </c>
    </row>
    <row r="89" customFormat="false" ht="15" hidden="false" customHeight="false" outlineLevel="0" collapsed="false">
      <c r="A89" s="9" t="s">
        <v>2773</v>
      </c>
      <c r="B89" s="10" t="s">
        <v>2026</v>
      </c>
      <c r="C89" s="9" t="s">
        <v>2806</v>
      </c>
      <c r="D89" s="9" t="s">
        <v>2678</v>
      </c>
      <c r="E89" s="9" t="s">
        <v>2678</v>
      </c>
    </row>
    <row r="90" customFormat="false" ht="15" hidden="false" customHeight="false" outlineLevel="0" collapsed="false">
      <c r="A90" s="9" t="s">
        <v>2773</v>
      </c>
      <c r="B90" s="10" t="s">
        <v>2028</v>
      </c>
      <c r="C90" s="9" t="s">
        <v>2027</v>
      </c>
      <c r="D90" s="9" t="s">
        <v>2678</v>
      </c>
      <c r="E90" s="9" t="s">
        <v>2678</v>
      </c>
    </row>
    <row r="91" customFormat="false" ht="15" hidden="false" customHeight="false" outlineLevel="0" collapsed="false">
      <c r="A91" s="9" t="s">
        <v>2773</v>
      </c>
      <c r="B91" s="10" t="s">
        <v>2030</v>
      </c>
      <c r="C91" s="9" t="s">
        <v>2029</v>
      </c>
      <c r="D91" s="9" t="s">
        <v>2678</v>
      </c>
      <c r="E91" s="9" t="s">
        <v>2678</v>
      </c>
    </row>
    <row r="92" customFormat="false" ht="15" hidden="false" customHeight="false" outlineLevel="0" collapsed="false">
      <c r="A92" s="9" t="s">
        <v>2773</v>
      </c>
      <c r="B92" s="10" t="s">
        <v>2807</v>
      </c>
      <c r="C92" s="9" t="s">
        <v>2808</v>
      </c>
      <c r="D92" s="9" t="s">
        <v>2678</v>
      </c>
      <c r="E92" s="9" t="s">
        <v>2678</v>
      </c>
    </row>
    <row r="93" customFormat="false" ht="15" hidden="false" customHeight="false" outlineLevel="0" collapsed="false">
      <c r="A93" s="9" t="s">
        <v>2773</v>
      </c>
      <c r="B93" s="10" t="s">
        <v>2809</v>
      </c>
      <c r="C93" s="9" t="s">
        <v>2810</v>
      </c>
      <c r="D93" s="9" t="s">
        <v>2678</v>
      </c>
      <c r="E93" s="9" t="s">
        <v>2678</v>
      </c>
    </row>
    <row r="94" customFormat="false" ht="15" hidden="false" customHeight="false" outlineLevel="0" collapsed="false">
      <c r="A94" s="9" t="s">
        <v>2773</v>
      </c>
      <c r="B94" s="10" t="s">
        <v>2811</v>
      </c>
      <c r="C94" s="9" t="s">
        <v>2812</v>
      </c>
      <c r="D94" s="9" t="s">
        <v>2678</v>
      </c>
      <c r="E94" s="9" t="s">
        <v>2678</v>
      </c>
    </row>
    <row r="95" customFormat="false" ht="25.35" hidden="false" customHeight="false" outlineLevel="0" collapsed="false">
      <c r="A95" s="9" t="s">
        <v>2773</v>
      </c>
      <c r="B95" s="10" t="s">
        <v>2813</v>
      </c>
      <c r="C95" s="9" t="s">
        <v>2814</v>
      </c>
      <c r="D95" s="9" t="s">
        <v>2678</v>
      </c>
      <c r="E95" s="9" t="s">
        <v>2678</v>
      </c>
    </row>
    <row r="96" customFormat="false" ht="15" hidden="false" customHeight="false" outlineLevel="0" collapsed="false">
      <c r="A96" s="9" t="s">
        <v>2773</v>
      </c>
      <c r="B96" s="10" t="s">
        <v>2815</v>
      </c>
      <c r="C96" s="9" t="s">
        <v>2816</v>
      </c>
      <c r="D96" s="9" t="s">
        <v>2678</v>
      </c>
      <c r="E96" s="9" t="s">
        <v>2678</v>
      </c>
    </row>
    <row r="97" customFormat="false" ht="15" hidden="false" customHeight="false" outlineLevel="0" collapsed="false">
      <c r="A97" s="9" t="s">
        <v>2773</v>
      </c>
      <c r="B97" s="10" t="s">
        <v>2817</v>
      </c>
      <c r="C97" s="9" t="s">
        <v>2818</v>
      </c>
      <c r="D97" s="9" t="s">
        <v>2678</v>
      </c>
      <c r="E97" s="9" t="s">
        <v>2678</v>
      </c>
    </row>
    <row r="98" customFormat="false" ht="15" hidden="false" customHeight="false" outlineLevel="0" collapsed="false">
      <c r="A98" s="9" t="s">
        <v>2773</v>
      </c>
      <c r="B98" s="10" t="s">
        <v>2046</v>
      </c>
      <c r="C98" s="9" t="s">
        <v>2819</v>
      </c>
      <c r="D98" s="9" t="s">
        <v>2678</v>
      </c>
      <c r="E98" s="9" t="s">
        <v>2678</v>
      </c>
    </row>
    <row r="99" customFormat="false" ht="15" hidden="false" customHeight="false" outlineLevel="0" collapsed="false">
      <c r="A99" s="9" t="s">
        <v>2773</v>
      </c>
      <c r="B99" s="10" t="s">
        <v>2048</v>
      </c>
      <c r="C99" s="9" t="s">
        <v>2047</v>
      </c>
      <c r="D99" s="9" t="s">
        <v>2678</v>
      </c>
      <c r="E99" s="9" t="s">
        <v>2678</v>
      </c>
    </row>
    <row r="100" customFormat="false" ht="15" hidden="false" customHeight="false" outlineLevel="0" collapsed="false">
      <c r="A100" s="9" t="s">
        <v>2773</v>
      </c>
      <c r="B100" s="10" t="s">
        <v>2050</v>
      </c>
      <c r="C100" s="9" t="s">
        <v>2820</v>
      </c>
      <c r="D100" s="9" t="s">
        <v>2678</v>
      </c>
      <c r="E100" s="9" t="s">
        <v>2678</v>
      </c>
    </row>
    <row r="101" customFormat="false" ht="15" hidden="false" customHeight="false" outlineLevel="0" collapsed="false">
      <c r="A101" s="9" t="s">
        <v>2773</v>
      </c>
      <c r="B101" s="10" t="s">
        <v>2052</v>
      </c>
      <c r="C101" s="9" t="s">
        <v>2051</v>
      </c>
      <c r="D101" s="9" t="s">
        <v>2678</v>
      </c>
      <c r="E101" s="9" t="s">
        <v>2678</v>
      </c>
    </row>
    <row r="102" customFormat="false" ht="15" hidden="false" customHeight="false" outlineLevel="0" collapsed="false">
      <c r="A102" s="9" t="s">
        <v>2773</v>
      </c>
      <c r="B102" s="10" t="s">
        <v>2054</v>
      </c>
      <c r="C102" s="9" t="s">
        <v>2053</v>
      </c>
      <c r="D102" s="9" t="s">
        <v>2678</v>
      </c>
      <c r="E102" s="9" t="s">
        <v>2678</v>
      </c>
    </row>
    <row r="103" customFormat="false" ht="15" hidden="false" customHeight="false" outlineLevel="0" collapsed="false">
      <c r="A103" s="9" t="s">
        <v>2773</v>
      </c>
      <c r="B103" s="10" t="s">
        <v>2056</v>
      </c>
      <c r="C103" s="9" t="s">
        <v>2055</v>
      </c>
      <c r="D103" s="9" t="s">
        <v>2678</v>
      </c>
      <c r="E103" s="9" t="s">
        <v>2678</v>
      </c>
    </row>
    <row r="104" customFormat="false" ht="15" hidden="false" customHeight="false" outlineLevel="0" collapsed="false">
      <c r="A104" s="9" t="s">
        <v>2773</v>
      </c>
      <c r="B104" s="10" t="s">
        <v>2058</v>
      </c>
      <c r="C104" s="9" t="s">
        <v>2057</v>
      </c>
      <c r="D104" s="9" t="s">
        <v>2678</v>
      </c>
      <c r="E104" s="9" t="s">
        <v>2678</v>
      </c>
    </row>
    <row r="105" customFormat="false" ht="15" hidden="false" customHeight="false" outlineLevel="0" collapsed="false">
      <c r="A105" s="9" t="s">
        <v>2773</v>
      </c>
      <c r="B105" s="10" t="s">
        <v>2060</v>
      </c>
      <c r="C105" s="9" t="s">
        <v>2059</v>
      </c>
      <c r="D105" s="9" t="s">
        <v>2678</v>
      </c>
      <c r="E105" s="9" t="s">
        <v>2678</v>
      </c>
    </row>
    <row r="106" customFormat="false" ht="15" hidden="false" customHeight="false" outlineLevel="0" collapsed="false">
      <c r="A106" s="9" t="s">
        <v>2773</v>
      </c>
      <c r="B106" s="10" t="s">
        <v>2062</v>
      </c>
      <c r="C106" s="9" t="s">
        <v>2061</v>
      </c>
      <c r="D106" s="9" t="s">
        <v>2678</v>
      </c>
      <c r="E106" s="9" t="s">
        <v>2678</v>
      </c>
    </row>
    <row r="107" customFormat="false" ht="15" hidden="false" customHeight="false" outlineLevel="0" collapsed="false">
      <c r="A107" s="9" t="s">
        <v>2773</v>
      </c>
      <c r="B107" s="10" t="s">
        <v>2821</v>
      </c>
      <c r="C107" s="9" t="s">
        <v>2822</v>
      </c>
      <c r="D107" s="9" t="s">
        <v>2678</v>
      </c>
      <c r="E107" s="9" t="s">
        <v>2678</v>
      </c>
    </row>
    <row r="108" customFormat="false" ht="15" hidden="false" customHeight="false" outlineLevel="0" collapsed="false">
      <c r="A108" s="9" t="s">
        <v>2773</v>
      </c>
      <c r="B108" s="10" t="s">
        <v>2823</v>
      </c>
      <c r="C108" s="9" t="s">
        <v>2824</v>
      </c>
      <c r="D108" s="9" t="s">
        <v>2678</v>
      </c>
      <c r="E108" s="9" t="s">
        <v>2678</v>
      </c>
    </row>
    <row r="109" customFormat="false" ht="15" hidden="false" customHeight="false" outlineLevel="0" collapsed="false">
      <c r="A109" s="9" t="s">
        <v>2773</v>
      </c>
      <c r="B109" s="10" t="s">
        <v>2825</v>
      </c>
      <c r="C109" s="9" t="s">
        <v>2826</v>
      </c>
      <c r="D109" s="9" t="s">
        <v>2678</v>
      </c>
      <c r="E109" s="9" t="s">
        <v>2678</v>
      </c>
    </row>
    <row r="110" customFormat="false" ht="15" hidden="false" customHeight="false" outlineLevel="0" collapsed="false">
      <c r="A110" s="9" t="s">
        <v>2773</v>
      </c>
      <c r="B110" s="10" t="s">
        <v>2827</v>
      </c>
      <c r="C110" s="9" t="s">
        <v>2828</v>
      </c>
      <c r="D110" s="9" t="s">
        <v>2678</v>
      </c>
      <c r="E110" s="9" t="s">
        <v>2678</v>
      </c>
    </row>
    <row r="111" customFormat="false" ht="15" hidden="false" customHeight="false" outlineLevel="0" collapsed="false">
      <c r="A111" s="9" t="s">
        <v>2773</v>
      </c>
      <c r="B111" s="10" t="s">
        <v>2829</v>
      </c>
      <c r="C111" s="9" t="s">
        <v>2830</v>
      </c>
      <c r="D111" s="9" t="s">
        <v>2678</v>
      </c>
      <c r="E111" s="9" t="s">
        <v>2678</v>
      </c>
    </row>
    <row r="112" customFormat="false" ht="15" hidden="false" customHeight="false" outlineLevel="0" collapsed="false">
      <c r="A112" s="9" t="s">
        <v>2773</v>
      </c>
      <c r="B112" s="10" t="s">
        <v>2066</v>
      </c>
      <c r="C112" s="9" t="s">
        <v>2065</v>
      </c>
      <c r="D112" s="9" t="s">
        <v>2678</v>
      </c>
      <c r="E112" s="9" t="s">
        <v>2678</v>
      </c>
    </row>
    <row r="113" customFormat="false" ht="15" hidden="false" customHeight="false" outlineLevel="0" collapsed="false">
      <c r="A113" s="9" t="s">
        <v>2773</v>
      </c>
      <c r="B113" s="10" t="s">
        <v>2831</v>
      </c>
      <c r="C113" s="9" t="s">
        <v>2832</v>
      </c>
      <c r="D113" s="9" t="s">
        <v>2678</v>
      </c>
      <c r="E113" s="9" t="s">
        <v>2678</v>
      </c>
    </row>
    <row r="114" customFormat="false" ht="15" hidden="false" customHeight="false" outlineLevel="0" collapsed="false">
      <c r="A114" s="9" t="s">
        <v>2773</v>
      </c>
      <c r="B114" s="10" t="s">
        <v>2833</v>
      </c>
      <c r="C114" s="9" t="s">
        <v>2834</v>
      </c>
      <c r="D114" s="9" t="s">
        <v>2678</v>
      </c>
      <c r="E114" s="9" t="s">
        <v>2678</v>
      </c>
    </row>
    <row r="115" customFormat="false" ht="15" hidden="false" customHeight="false" outlineLevel="0" collapsed="false">
      <c r="A115" s="9" t="s">
        <v>2773</v>
      </c>
      <c r="B115" s="10" t="s">
        <v>2835</v>
      </c>
      <c r="C115" s="9" t="s">
        <v>2836</v>
      </c>
      <c r="D115" s="9" t="s">
        <v>2678</v>
      </c>
      <c r="E115" s="9" t="s">
        <v>2678</v>
      </c>
    </row>
    <row r="116" customFormat="false" ht="15" hidden="false" customHeight="false" outlineLevel="0" collapsed="false">
      <c r="A116" s="9" t="s">
        <v>2773</v>
      </c>
      <c r="B116" s="10" t="s">
        <v>2837</v>
      </c>
      <c r="C116" s="9" t="s">
        <v>2838</v>
      </c>
      <c r="D116" s="9" t="s">
        <v>2678</v>
      </c>
      <c r="E116" s="9" t="s">
        <v>2678</v>
      </c>
    </row>
    <row r="117" customFormat="false" ht="15" hidden="false" customHeight="false" outlineLevel="0" collapsed="false">
      <c r="A117" s="9" t="s">
        <v>2773</v>
      </c>
      <c r="B117" s="10" t="s">
        <v>2839</v>
      </c>
      <c r="C117" s="9" t="s">
        <v>2840</v>
      </c>
      <c r="D117" s="9" t="s">
        <v>2678</v>
      </c>
      <c r="E117" s="9" t="s">
        <v>2678</v>
      </c>
    </row>
    <row r="118" customFormat="false" ht="15" hidden="false" customHeight="false" outlineLevel="0" collapsed="false">
      <c r="A118" s="9" t="s">
        <v>2773</v>
      </c>
      <c r="B118" s="10" t="s">
        <v>2841</v>
      </c>
      <c r="C118" s="9" t="s">
        <v>2842</v>
      </c>
      <c r="D118" s="9" t="s">
        <v>2678</v>
      </c>
      <c r="E118" s="9" t="s">
        <v>2678</v>
      </c>
    </row>
    <row r="119" customFormat="false" ht="15" hidden="false" customHeight="false" outlineLevel="0" collapsed="false">
      <c r="A119" s="9" t="s">
        <v>2773</v>
      </c>
      <c r="B119" s="10" t="s">
        <v>2843</v>
      </c>
      <c r="C119" s="9" t="s">
        <v>2844</v>
      </c>
      <c r="D119" s="9" t="s">
        <v>2678</v>
      </c>
      <c r="E119" s="9" t="s">
        <v>2678</v>
      </c>
    </row>
    <row r="120" customFormat="false" ht="15" hidden="false" customHeight="false" outlineLevel="0" collapsed="false">
      <c r="A120" s="9" t="s">
        <v>2773</v>
      </c>
      <c r="B120" s="10" t="s">
        <v>2845</v>
      </c>
      <c r="C120" s="9" t="s">
        <v>2844</v>
      </c>
      <c r="D120" s="9" t="s">
        <v>2678</v>
      </c>
      <c r="E120" s="9" t="s">
        <v>2678</v>
      </c>
    </row>
    <row r="121" customFormat="false" ht="15" hidden="false" customHeight="false" outlineLevel="0" collapsed="false">
      <c r="A121" s="9" t="s">
        <v>2773</v>
      </c>
      <c r="B121" s="10" t="s">
        <v>2846</v>
      </c>
      <c r="C121" s="9" t="s">
        <v>2847</v>
      </c>
      <c r="D121" s="9" t="s">
        <v>2678</v>
      </c>
      <c r="E121" s="9" t="s">
        <v>2678</v>
      </c>
    </row>
    <row r="122" customFormat="false" ht="15" hidden="false" customHeight="false" outlineLevel="0" collapsed="false">
      <c r="A122" s="9" t="s">
        <v>2773</v>
      </c>
      <c r="B122" s="10" t="s">
        <v>2848</v>
      </c>
      <c r="C122" s="9" t="s">
        <v>2847</v>
      </c>
      <c r="D122" s="9" t="s">
        <v>2678</v>
      </c>
      <c r="E122" s="9" t="s">
        <v>2678</v>
      </c>
    </row>
    <row r="123" customFormat="false" ht="15" hidden="false" customHeight="false" outlineLevel="0" collapsed="false">
      <c r="A123" s="9" t="s">
        <v>2773</v>
      </c>
      <c r="B123" s="10" t="s">
        <v>2849</v>
      </c>
      <c r="C123" s="9" t="s">
        <v>2850</v>
      </c>
      <c r="D123" s="9" t="s">
        <v>2678</v>
      </c>
      <c r="E123" s="9" t="s">
        <v>2678</v>
      </c>
    </row>
    <row r="124" customFormat="false" ht="15" hidden="false" customHeight="false" outlineLevel="0" collapsed="false">
      <c r="A124" s="9" t="s">
        <v>2773</v>
      </c>
      <c r="B124" s="10" t="s">
        <v>2851</v>
      </c>
      <c r="C124" s="9" t="s">
        <v>2852</v>
      </c>
      <c r="D124" s="9" t="s">
        <v>2678</v>
      </c>
      <c r="E124" s="9" t="s">
        <v>2678</v>
      </c>
    </row>
    <row r="125" customFormat="false" ht="15" hidden="false" customHeight="false" outlineLevel="0" collapsed="false">
      <c r="A125" s="9" t="s">
        <v>2773</v>
      </c>
      <c r="B125" s="10" t="s">
        <v>2853</v>
      </c>
      <c r="C125" s="9" t="s">
        <v>2854</v>
      </c>
      <c r="D125" s="9" t="s">
        <v>2678</v>
      </c>
      <c r="E125" s="9" t="s">
        <v>2678</v>
      </c>
    </row>
    <row r="126" customFormat="false" ht="15" hidden="false" customHeight="false" outlineLevel="0" collapsed="false">
      <c r="A126" s="9" t="s">
        <v>2773</v>
      </c>
      <c r="B126" s="10" t="s">
        <v>2855</v>
      </c>
      <c r="C126" s="9" t="s">
        <v>2856</v>
      </c>
      <c r="D126" s="9" t="s">
        <v>2678</v>
      </c>
      <c r="E126" s="9" t="s">
        <v>2678</v>
      </c>
    </row>
    <row r="127" customFormat="false" ht="15" hidden="false" customHeight="false" outlineLevel="0" collapsed="false">
      <c r="A127" s="9" t="s">
        <v>2773</v>
      </c>
      <c r="B127" s="10" t="s">
        <v>2857</v>
      </c>
      <c r="C127" s="9" t="s">
        <v>2858</v>
      </c>
      <c r="D127" s="9" t="s">
        <v>2678</v>
      </c>
      <c r="E127" s="9" t="s">
        <v>2678</v>
      </c>
    </row>
    <row r="128" customFormat="false" ht="15" hidden="false" customHeight="false" outlineLevel="0" collapsed="false">
      <c r="A128" s="9" t="s">
        <v>2773</v>
      </c>
      <c r="B128" s="10" t="s">
        <v>2085</v>
      </c>
      <c r="C128" s="9" t="s">
        <v>2084</v>
      </c>
      <c r="D128" s="9" t="s">
        <v>2678</v>
      </c>
      <c r="E128" s="9" t="s">
        <v>2678</v>
      </c>
    </row>
    <row r="129" customFormat="false" ht="15" hidden="false" customHeight="false" outlineLevel="0" collapsed="false">
      <c r="A129" s="9" t="s">
        <v>2773</v>
      </c>
      <c r="B129" s="10" t="s">
        <v>2087</v>
      </c>
      <c r="C129" s="9" t="s">
        <v>2086</v>
      </c>
      <c r="D129" s="9" t="s">
        <v>2678</v>
      </c>
      <c r="E129" s="9" t="s">
        <v>2678</v>
      </c>
    </row>
    <row r="130" customFormat="false" ht="15" hidden="false" customHeight="false" outlineLevel="0" collapsed="false">
      <c r="A130" s="9" t="s">
        <v>2773</v>
      </c>
      <c r="B130" s="10" t="s">
        <v>2089</v>
      </c>
      <c r="C130" s="9" t="s">
        <v>2088</v>
      </c>
      <c r="D130" s="9" t="s">
        <v>2678</v>
      </c>
      <c r="E130" s="9" t="s">
        <v>2678</v>
      </c>
    </row>
    <row r="131" customFormat="false" ht="15" hidden="false" customHeight="false" outlineLevel="0" collapsed="false">
      <c r="A131" s="9" t="s">
        <v>2773</v>
      </c>
      <c r="B131" s="10" t="s">
        <v>2091</v>
      </c>
      <c r="C131" s="9" t="s">
        <v>2090</v>
      </c>
      <c r="D131" s="9" t="s">
        <v>2678</v>
      </c>
      <c r="E131" s="9" t="s">
        <v>2678</v>
      </c>
    </row>
    <row r="132" customFormat="false" ht="15" hidden="false" customHeight="false" outlineLevel="0" collapsed="false">
      <c r="A132" s="9" t="s">
        <v>2773</v>
      </c>
      <c r="B132" s="10" t="s">
        <v>2859</v>
      </c>
      <c r="C132" s="9" t="s">
        <v>2092</v>
      </c>
      <c r="D132" s="9" t="s">
        <v>2678</v>
      </c>
      <c r="E132" s="9" t="s">
        <v>2678</v>
      </c>
    </row>
    <row r="133" customFormat="false" ht="15" hidden="false" customHeight="false" outlineLevel="0" collapsed="false">
      <c r="A133" s="9" t="s">
        <v>2773</v>
      </c>
      <c r="B133" s="10" t="s">
        <v>2095</v>
      </c>
      <c r="C133" s="9" t="s">
        <v>2860</v>
      </c>
      <c r="D133" s="9" t="s">
        <v>2678</v>
      </c>
      <c r="E133" s="9" t="s">
        <v>2678</v>
      </c>
    </row>
    <row r="134" customFormat="false" ht="15" hidden="false" customHeight="false" outlineLevel="0" collapsed="false">
      <c r="A134" s="9" t="s">
        <v>2773</v>
      </c>
      <c r="B134" s="10" t="s">
        <v>2861</v>
      </c>
      <c r="C134" s="9" t="s">
        <v>2862</v>
      </c>
      <c r="D134" s="9" t="s">
        <v>2678</v>
      </c>
      <c r="E134" s="9" t="s">
        <v>2678</v>
      </c>
    </row>
    <row r="135" customFormat="false" ht="15" hidden="false" customHeight="false" outlineLevel="0" collapsed="false">
      <c r="A135" s="9" t="s">
        <v>2773</v>
      </c>
      <c r="B135" s="10" t="s">
        <v>2863</v>
      </c>
      <c r="C135" s="9" t="s">
        <v>2864</v>
      </c>
      <c r="D135" s="9" t="s">
        <v>2678</v>
      </c>
      <c r="E135" s="9" t="s">
        <v>2678</v>
      </c>
    </row>
    <row r="136" customFormat="false" ht="15" hidden="false" customHeight="false" outlineLevel="0" collapsed="false">
      <c r="A136" s="9" t="s">
        <v>2773</v>
      </c>
      <c r="B136" s="10" t="s">
        <v>2865</v>
      </c>
      <c r="C136" s="9" t="s">
        <v>2866</v>
      </c>
      <c r="D136" s="9" t="s">
        <v>2678</v>
      </c>
      <c r="E136" s="9" t="s">
        <v>2678</v>
      </c>
    </row>
    <row r="137" customFormat="false" ht="15" hidden="false" customHeight="false" outlineLevel="0" collapsed="false">
      <c r="A137" s="9" t="s">
        <v>2773</v>
      </c>
      <c r="B137" s="10" t="s">
        <v>2867</v>
      </c>
      <c r="C137" s="9" t="s">
        <v>2868</v>
      </c>
      <c r="D137" s="9" t="s">
        <v>2678</v>
      </c>
      <c r="E137" s="9" t="s">
        <v>2678</v>
      </c>
    </row>
    <row r="138" customFormat="false" ht="15" hidden="false" customHeight="false" outlineLevel="0" collapsed="false">
      <c r="A138" s="9" t="s">
        <v>2773</v>
      </c>
      <c r="B138" s="10" t="s">
        <v>2869</v>
      </c>
      <c r="C138" s="9" t="s">
        <v>2870</v>
      </c>
      <c r="D138" s="9" t="s">
        <v>2678</v>
      </c>
      <c r="E138" s="9" t="s">
        <v>2678</v>
      </c>
    </row>
    <row r="139" customFormat="false" ht="15" hidden="false" customHeight="false" outlineLevel="0" collapsed="false">
      <c r="A139" s="9" t="s">
        <v>2773</v>
      </c>
      <c r="B139" s="10" t="s">
        <v>2871</v>
      </c>
      <c r="C139" s="9" t="s">
        <v>2872</v>
      </c>
      <c r="D139" s="9" t="s">
        <v>2678</v>
      </c>
      <c r="E139" s="9" t="s">
        <v>2678</v>
      </c>
    </row>
    <row r="140" customFormat="false" ht="15" hidden="false" customHeight="false" outlineLevel="0" collapsed="false">
      <c r="A140" s="9" t="s">
        <v>2773</v>
      </c>
      <c r="B140" s="10" t="s">
        <v>2873</v>
      </c>
      <c r="C140" s="9" t="s">
        <v>2874</v>
      </c>
      <c r="D140" s="9" t="s">
        <v>2678</v>
      </c>
      <c r="E140" s="9" t="s">
        <v>2678</v>
      </c>
    </row>
    <row r="141" customFormat="false" ht="15" hidden="false" customHeight="false" outlineLevel="0" collapsed="false">
      <c r="A141" s="9" t="s">
        <v>2773</v>
      </c>
      <c r="B141" s="10" t="s">
        <v>2875</v>
      </c>
      <c r="C141" s="9" t="s">
        <v>2876</v>
      </c>
      <c r="D141" s="9" t="s">
        <v>2678</v>
      </c>
      <c r="E141" s="9" t="s">
        <v>2678</v>
      </c>
    </row>
    <row r="142" customFormat="false" ht="15" hidden="false" customHeight="false" outlineLevel="0" collapsed="false">
      <c r="A142" s="9" t="s">
        <v>2773</v>
      </c>
      <c r="B142" s="10" t="s">
        <v>2877</v>
      </c>
      <c r="C142" s="9" t="s">
        <v>2878</v>
      </c>
      <c r="D142" s="9" t="s">
        <v>2678</v>
      </c>
      <c r="E142" s="9" t="s">
        <v>2678</v>
      </c>
    </row>
    <row r="143" customFormat="false" ht="15" hidden="false" customHeight="false" outlineLevel="0" collapsed="false">
      <c r="A143" s="9" t="s">
        <v>2773</v>
      </c>
      <c r="B143" s="10" t="s">
        <v>2879</v>
      </c>
      <c r="C143" s="9" t="s">
        <v>2880</v>
      </c>
      <c r="D143" s="9" t="s">
        <v>2678</v>
      </c>
      <c r="E143" s="9" t="s">
        <v>2678</v>
      </c>
    </row>
    <row r="144" customFormat="false" ht="15" hidden="false" customHeight="false" outlineLevel="0" collapsed="false">
      <c r="A144" s="9" t="s">
        <v>2773</v>
      </c>
      <c r="B144" s="10" t="s">
        <v>2881</v>
      </c>
      <c r="C144" s="9" t="s">
        <v>2882</v>
      </c>
      <c r="D144" s="9" t="s">
        <v>2678</v>
      </c>
      <c r="E144" s="9" t="s">
        <v>2678</v>
      </c>
    </row>
    <row r="145" customFormat="false" ht="15" hidden="false" customHeight="false" outlineLevel="0" collapsed="false">
      <c r="A145" s="9" t="s">
        <v>2773</v>
      </c>
      <c r="B145" s="10" t="s">
        <v>2115</v>
      </c>
      <c r="C145" s="9" t="s">
        <v>2114</v>
      </c>
      <c r="D145" s="9" t="s">
        <v>2678</v>
      </c>
      <c r="E145" s="9" t="s">
        <v>2678</v>
      </c>
    </row>
    <row r="146" customFormat="false" ht="15" hidden="false" customHeight="false" outlineLevel="0" collapsed="false">
      <c r="A146" s="9" t="s">
        <v>2773</v>
      </c>
      <c r="B146" s="10" t="s">
        <v>2117</v>
      </c>
      <c r="C146" s="9" t="s">
        <v>2116</v>
      </c>
      <c r="D146" s="9" t="s">
        <v>2678</v>
      </c>
      <c r="E146" s="9" t="s">
        <v>2678</v>
      </c>
    </row>
    <row r="147" customFormat="false" ht="15" hidden="false" customHeight="false" outlineLevel="0" collapsed="false">
      <c r="A147" s="9" t="s">
        <v>2773</v>
      </c>
      <c r="B147" s="10" t="s">
        <v>2119</v>
      </c>
      <c r="C147" s="9" t="s">
        <v>2883</v>
      </c>
      <c r="D147" s="9" t="s">
        <v>2678</v>
      </c>
      <c r="E147" s="9" t="s">
        <v>2678</v>
      </c>
    </row>
    <row r="148" customFormat="false" ht="15" hidden="false" customHeight="false" outlineLevel="0" collapsed="false">
      <c r="A148" s="9" t="s">
        <v>2773</v>
      </c>
      <c r="B148" s="10" t="s">
        <v>2884</v>
      </c>
      <c r="C148" s="9" t="s">
        <v>2885</v>
      </c>
      <c r="D148" s="9" t="s">
        <v>2678</v>
      </c>
      <c r="E148" s="9" t="s">
        <v>2678</v>
      </c>
    </row>
    <row r="149" customFormat="false" ht="15" hidden="false" customHeight="false" outlineLevel="0" collapsed="false">
      <c r="A149" s="9" t="s">
        <v>2773</v>
      </c>
      <c r="B149" s="10" t="s">
        <v>2886</v>
      </c>
      <c r="C149" s="9" t="s">
        <v>2887</v>
      </c>
      <c r="D149" s="9" t="s">
        <v>2678</v>
      </c>
      <c r="E149" s="9" t="s">
        <v>2678</v>
      </c>
    </row>
    <row r="150" customFormat="false" ht="15" hidden="false" customHeight="false" outlineLevel="0" collapsed="false">
      <c r="A150" s="9" t="s">
        <v>2773</v>
      </c>
      <c r="B150" s="10" t="s">
        <v>2888</v>
      </c>
      <c r="C150" s="9" t="s">
        <v>2889</v>
      </c>
      <c r="D150" s="9" t="s">
        <v>2678</v>
      </c>
      <c r="E150" s="9" t="s">
        <v>2678</v>
      </c>
    </row>
    <row r="151" customFormat="false" ht="15" hidden="false" customHeight="false" outlineLevel="0" collapsed="false">
      <c r="A151" s="9" t="s">
        <v>2773</v>
      </c>
      <c r="B151" s="10" t="s">
        <v>2890</v>
      </c>
      <c r="C151" s="9" t="s">
        <v>2891</v>
      </c>
      <c r="D151" s="9" t="s">
        <v>2678</v>
      </c>
      <c r="E151" s="9" t="s">
        <v>2678</v>
      </c>
    </row>
    <row r="152" customFormat="false" ht="15" hidden="false" customHeight="false" outlineLevel="0" collapsed="false">
      <c r="A152" s="9" t="s">
        <v>2773</v>
      </c>
      <c r="B152" s="10" t="s">
        <v>2892</v>
      </c>
      <c r="C152" s="9" t="s">
        <v>2893</v>
      </c>
      <c r="D152" s="9" t="s">
        <v>2678</v>
      </c>
      <c r="E152" s="9" t="s">
        <v>2678</v>
      </c>
    </row>
    <row r="153" customFormat="false" ht="15" hidden="false" customHeight="false" outlineLevel="0" collapsed="false">
      <c r="A153" s="9" t="s">
        <v>2773</v>
      </c>
      <c r="B153" s="10" t="s">
        <v>2894</v>
      </c>
      <c r="C153" s="9" t="s">
        <v>2895</v>
      </c>
      <c r="D153" s="9" t="s">
        <v>2678</v>
      </c>
      <c r="E153" s="9" t="s">
        <v>2678</v>
      </c>
    </row>
    <row r="154" customFormat="false" ht="15" hidden="false" customHeight="false" outlineLevel="0" collapsed="false">
      <c r="A154" s="9" t="s">
        <v>2773</v>
      </c>
      <c r="B154" s="10" t="s">
        <v>2896</v>
      </c>
      <c r="C154" s="9" t="s">
        <v>2897</v>
      </c>
      <c r="D154" s="9" t="s">
        <v>2678</v>
      </c>
      <c r="E154" s="9" t="s">
        <v>2678</v>
      </c>
    </row>
    <row r="155" customFormat="false" ht="15" hidden="false" customHeight="false" outlineLevel="0" collapsed="false">
      <c r="A155" s="9" t="s">
        <v>2773</v>
      </c>
      <c r="B155" s="10" t="s">
        <v>2135</v>
      </c>
      <c r="C155" s="9" t="s">
        <v>2134</v>
      </c>
      <c r="D155" s="9" t="s">
        <v>2678</v>
      </c>
      <c r="E155" s="9" t="s">
        <v>2678</v>
      </c>
    </row>
    <row r="156" customFormat="false" ht="15" hidden="false" customHeight="false" outlineLevel="0" collapsed="false">
      <c r="A156" s="9" t="s">
        <v>2773</v>
      </c>
      <c r="B156" s="10" t="s">
        <v>2137</v>
      </c>
      <c r="C156" s="9" t="s">
        <v>2136</v>
      </c>
      <c r="D156" s="9" t="s">
        <v>2678</v>
      </c>
      <c r="E156" s="9" t="s">
        <v>2678</v>
      </c>
    </row>
    <row r="157" customFormat="false" ht="15" hidden="false" customHeight="false" outlineLevel="0" collapsed="false">
      <c r="A157" s="9" t="s">
        <v>2773</v>
      </c>
      <c r="B157" s="10" t="s">
        <v>2898</v>
      </c>
      <c r="C157" s="9" t="s">
        <v>2899</v>
      </c>
      <c r="D157" s="9" t="s">
        <v>2678</v>
      </c>
      <c r="E157" s="9" t="s">
        <v>2678</v>
      </c>
    </row>
    <row r="158" customFormat="false" ht="15" hidden="false" customHeight="false" outlineLevel="0" collapsed="false">
      <c r="A158" s="9" t="s">
        <v>2773</v>
      </c>
      <c r="B158" s="10" t="s">
        <v>2141</v>
      </c>
      <c r="C158" s="9" t="s">
        <v>2900</v>
      </c>
      <c r="D158" s="9" t="s">
        <v>2678</v>
      </c>
      <c r="E158" s="9" t="s">
        <v>2678</v>
      </c>
    </row>
    <row r="159" customFormat="false" ht="15" hidden="false" customHeight="false" outlineLevel="0" collapsed="false">
      <c r="A159" s="9" t="s">
        <v>2773</v>
      </c>
      <c r="B159" s="10" t="s">
        <v>2143</v>
      </c>
      <c r="C159" s="9" t="s">
        <v>2142</v>
      </c>
      <c r="D159" s="9" t="s">
        <v>2678</v>
      </c>
      <c r="E159" s="9" t="s">
        <v>2678</v>
      </c>
    </row>
    <row r="160" customFormat="false" ht="15" hidden="false" customHeight="false" outlineLevel="0" collapsed="false">
      <c r="A160" s="9" t="s">
        <v>2773</v>
      </c>
      <c r="B160" s="10" t="s">
        <v>2145</v>
      </c>
      <c r="C160" s="9" t="s">
        <v>2144</v>
      </c>
      <c r="D160" s="9" t="s">
        <v>2678</v>
      </c>
      <c r="E160" s="9" t="s">
        <v>2678</v>
      </c>
    </row>
    <row r="161" customFormat="false" ht="15" hidden="false" customHeight="false" outlineLevel="0" collapsed="false">
      <c r="A161" s="9" t="s">
        <v>2773</v>
      </c>
      <c r="B161" s="10" t="s">
        <v>2147</v>
      </c>
      <c r="C161" s="9" t="s">
        <v>2901</v>
      </c>
      <c r="D161" s="9" t="s">
        <v>2678</v>
      </c>
      <c r="E161" s="9" t="s">
        <v>2678</v>
      </c>
    </row>
    <row r="162" customFormat="false" ht="15" hidden="false" customHeight="false" outlineLevel="0" collapsed="false">
      <c r="A162" s="9" t="s">
        <v>2773</v>
      </c>
      <c r="B162" s="10" t="s">
        <v>2149</v>
      </c>
      <c r="C162" s="9" t="s">
        <v>2148</v>
      </c>
      <c r="D162" s="9" t="s">
        <v>2678</v>
      </c>
      <c r="E162" s="9" t="s">
        <v>2678</v>
      </c>
    </row>
    <row r="163" customFormat="false" ht="15" hidden="false" customHeight="false" outlineLevel="0" collapsed="false">
      <c r="A163" s="9" t="s">
        <v>2773</v>
      </c>
      <c r="B163" s="10" t="s">
        <v>2151</v>
      </c>
      <c r="C163" s="9" t="s">
        <v>2150</v>
      </c>
      <c r="D163" s="9" t="s">
        <v>2678</v>
      </c>
      <c r="E163" s="9" t="s">
        <v>2678</v>
      </c>
    </row>
    <row r="164" customFormat="false" ht="15" hidden="false" customHeight="false" outlineLevel="0" collapsed="false">
      <c r="A164" s="9" t="s">
        <v>2773</v>
      </c>
      <c r="B164" s="10" t="s">
        <v>2153</v>
      </c>
      <c r="C164" s="9" t="s">
        <v>2152</v>
      </c>
      <c r="D164" s="9" t="s">
        <v>2678</v>
      </c>
      <c r="E164" s="9" t="s">
        <v>2678</v>
      </c>
    </row>
    <row r="165" customFormat="false" ht="15" hidden="false" customHeight="false" outlineLevel="0" collapsed="false">
      <c r="A165" s="9" t="s">
        <v>2773</v>
      </c>
      <c r="B165" s="10" t="s">
        <v>2155</v>
      </c>
      <c r="C165" s="9" t="s">
        <v>2154</v>
      </c>
      <c r="D165" s="9" t="s">
        <v>2678</v>
      </c>
      <c r="E165" s="9" t="s">
        <v>2678</v>
      </c>
    </row>
    <row r="166" customFormat="false" ht="15" hidden="false" customHeight="false" outlineLevel="0" collapsed="false">
      <c r="A166" s="9" t="s">
        <v>2773</v>
      </c>
      <c r="B166" s="10" t="s">
        <v>2157</v>
      </c>
      <c r="C166" s="9" t="s">
        <v>2156</v>
      </c>
      <c r="D166" s="9" t="s">
        <v>2678</v>
      </c>
      <c r="E166" s="9" t="s">
        <v>2678</v>
      </c>
    </row>
    <row r="167" customFormat="false" ht="15" hidden="false" customHeight="false" outlineLevel="0" collapsed="false">
      <c r="A167" s="9" t="s">
        <v>2773</v>
      </c>
      <c r="B167" s="10" t="s">
        <v>2159</v>
      </c>
      <c r="C167" s="9" t="s">
        <v>2158</v>
      </c>
      <c r="D167" s="9" t="s">
        <v>2678</v>
      </c>
      <c r="E167" s="9" t="s">
        <v>2678</v>
      </c>
    </row>
    <row r="168" customFormat="false" ht="15" hidden="false" customHeight="false" outlineLevel="0" collapsed="false">
      <c r="A168" s="9" t="s">
        <v>2773</v>
      </c>
      <c r="B168" s="10" t="s">
        <v>2161</v>
      </c>
      <c r="C168" s="9" t="s">
        <v>2160</v>
      </c>
      <c r="D168" s="9" t="s">
        <v>2678</v>
      </c>
      <c r="E168" s="9" t="s">
        <v>2678</v>
      </c>
    </row>
    <row r="169" customFormat="false" ht="15" hidden="false" customHeight="false" outlineLevel="0" collapsed="false">
      <c r="A169" s="9" t="s">
        <v>2773</v>
      </c>
      <c r="B169" s="10" t="s">
        <v>2163</v>
      </c>
      <c r="C169" s="9" t="s">
        <v>2162</v>
      </c>
      <c r="D169" s="9" t="s">
        <v>2678</v>
      </c>
      <c r="E169" s="9" t="s">
        <v>2678</v>
      </c>
    </row>
    <row r="170" customFormat="false" ht="15" hidden="false" customHeight="false" outlineLevel="0" collapsed="false">
      <c r="A170" s="9" t="s">
        <v>2773</v>
      </c>
      <c r="B170" s="10" t="s">
        <v>2165</v>
      </c>
      <c r="C170" s="9" t="s">
        <v>2164</v>
      </c>
      <c r="D170" s="9" t="s">
        <v>2678</v>
      </c>
      <c r="E170" s="9" t="s">
        <v>2678</v>
      </c>
    </row>
    <row r="171" customFormat="false" ht="15" hidden="false" customHeight="false" outlineLevel="0" collapsed="false">
      <c r="A171" s="9" t="s">
        <v>2773</v>
      </c>
      <c r="B171" s="10" t="s">
        <v>2167</v>
      </c>
      <c r="C171" s="9" t="s">
        <v>2166</v>
      </c>
      <c r="D171" s="9" t="s">
        <v>2678</v>
      </c>
      <c r="E171" s="9" t="s">
        <v>2678</v>
      </c>
    </row>
    <row r="172" customFormat="false" ht="15" hidden="false" customHeight="false" outlineLevel="0" collapsed="false">
      <c r="A172" s="9" t="s">
        <v>2773</v>
      </c>
      <c r="B172" s="10" t="s">
        <v>2169</v>
      </c>
      <c r="C172" s="9" t="s">
        <v>2168</v>
      </c>
      <c r="D172" s="9" t="s">
        <v>2678</v>
      </c>
      <c r="E172" s="9" t="s">
        <v>2678</v>
      </c>
    </row>
    <row r="173" customFormat="false" ht="15" hidden="false" customHeight="false" outlineLevel="0" collapsed="false">
      <c r="A173" s="9" t="s">
        <v>2773</v>
      </c>
      <c r="B173" s="10" t="s">
        <v>2171</v>
      </c>
      <c r="C173" s="9" t="s">
        <v>2170</v>
      </c>
      <c r="D173" s="9" t="s">
        <v>2678</v>
      </c>
      <c r="E173" s="9" t="s">
        <v>2678</v>
      </c>
    </row>
    <row r="174" customFormat="false" ht="15" hidden="false" customHeight="false" outlineLevel="0" collapsed="false">
      <c r="A174" s="9" t="s">
        <v>2773</v>
      </c>
      <c r="B174" s="10" t="s">
        <v>2173</v>
      </c>
      <c r="C174" s="9" t="s">
        <v>2172</v>
      </c>
      <c r="D174" s="9" t="s">
        <v>2678</v>
      </c>
      <c r="E174" s="9" t="s">
        <v>2678</v>
      </c>
    </row>
    <row r="175" customFormat="false" ht="15" hidden="false" customHeight="false" outlineLevel="0" collapsed="false">
      <c r="A175" s="9" t="s">
        <v>2773</v>
      </c>
      <c r="B175" s="10" t="s">
        <v>2175</v>
      </c>
      <c r="C175" s="9" t="s">
        <v>2174</v>
      </c>
      <c r="D175" s="9" t="s">
        <v>2678</v>
      </c>
      <c r="E175" s="9" t="s">
        <v>2678</v>
      </c>
    </row>
    <row r="176" customFormat="false" ht="15" hidden="false" customHeight="false" outlineLevel="0" collapsed="false">
      <c r="A176" s="9" t="s">
        <v>2773</v>
      </c>
      <c r="B176" s="10" t="s">
        <v>2177</v>
      </c>
      <c r="C176" s="9" t="s">
        <v>2176</v>
      </c>
      <c r="D176" s="9" t="s">
        <v>2678</v>
      </c>
      <c r="E176" s="9" t="s">
        <v>2678</v>
      </c>
    </row>
    <row r="177" customFormat="false" ht="15" hidden="false" customHeight="false" outlineLevel="0" collapsed="false">
      <c r="A177" s="9" t="s">
        <v>2773</v>
      </c>
      <c r="B177" s="10" t="s">
        <v>2179</v>
      </c>
      <c r="C177" s="9" t="s">
        <v>2178</v>
      </c>
      <c r="D177" s="9" t="s">
        <v>2678</v>
      </c>
      <c r="E177" s="9" t="s">
        <v>2678</v>
      </c>
    </row>
    <row r="178" customFormat="false" ht="15" hidden="false" customHeight="false" outlineLevel="0" collapsed="false">
      <c r="A178" s="9" t="s">
        <v>2773</v>
      </c>
      <c r="B178" s="10" t="s">
        <v>2181</v>
      </c>
      <c r="C178" s="9" t="s">
        <v>2180</v>
      </c>
      <c r="D178" s="9" t="s">
        <v>2678</v>
      </c>
      <c r="E178" s="9" t="s">
        <v>2678</v>
      </c>
    </row>
    <row r="179" customFormat="false" ht="15" hidden="false" customHeight="false" outlineLevel="0" collapsed="false">
      <c r="A179" s="9" t="s">
        <v>2773</v>
      </c>
      <c r="B179" s="10" t="s">
        <v>2183</v>
      </c>
      <c r="C179" s="9" t="s">
        <v>2182</v>
      </c>
      <c r="D179" s="9" t="s">
        <v>2678</v>
      </c>
      <c r="E179" s="9" t="s">
        <v>2678</v>
      </c>
    </row>
    <row r="180" customFormat="false" ht="15" hidden="false" customHeight="false" outlineLevel="0" collapsed="false">
      <c r="A180" s="9" t="s">
        <v>2773</v>
      </c>
      <c r="B180" s="10" t="s">
        <v>2185</v>
      </c>
      <c r="C180" s="9" t="s">
        <v>2184</v>
      </c>
      <c r="D180" s="9" t="s">
        <v>2678</v>
      </c>
      <c r="E180" s="9" t="s">
        <v>2678</v>
      </c>
    </row>
    <row r="181" customFormat="false" ht="15" hidden="false" customHeight="false" outlineLevel="0" collapsed="false">
      <c r="A181" s="9" t="s">
        <v>2773</v>
      </c>
      <c r="B181" s="10" t="s">
        <v>2187</v>
      </c>
      <c r="C181" s="9" t="s">
        <v>2186</v>
      </c>
      <c r="D181" s="9" t="s">
        <v>2678</v>
      </c>
      <c r="E181" s="9" t="s">
        <v>2678</v>
      </c>
    </row>
    <row r="182" customFormat="false" ht="15" hidden="false" customHeight="false" outlineLevel="0" collapsed="false">
      <c r="A182" s="9" t="s">
        <v>2773</v>
      </c>
      <c r="B182" s="10" t="s">
        <v>2189</v>
      </c>
      <c r="C182" s="9" t="s">
        <v>2188</v>
      </c>
      <c r="D182" s="9" t="s">
        <v>2678</v>
      </c>
      <c r="E182" s="9" t="s">
        <v>2678</v>
      </c>
    </row>
    <row r="183" customFormat="false" ht="15" hidden="false" customHeight="false" outlineLevel="0" collapsed="false">
      <c r="A183" s="9" t="s">
        <v>2773</v>
      </c>
      <c r="B183" s="10" t="s">
        <v>2191</v>
      </c>
      <c r="C183" s="9" t="s">
        <v>2190</v>
      </c>
      <c r="D183" s="9" t="s">
        <v>2678</v>
      </c>
      <c r="E183" s="9" t="s">
        <v>2678</v>
      </c>
    </row>
    <row r="184" customFormat="false" ht="15" hidden="false" customHeight="false" outlineLevel="0" collapsed="false">
      <c r="A184" s="9" t="s">
        <v>2773</v>
      </c>
      <c r="B184" s="10" t="s">
        <v>2193</v>
      </c>
      <c r="C184" s="9" t="s">
        <v>2192</v>
      </c>
      <c r="D184" s="9" t="s">
        <v>2678</v>
      </c>
      <c r="E184" s="9" t="s">
        <v>2678</v>
      </c>
    </row>
    <row r="185" customFormat="false" ht="15" hidden="false" customHeight="false" outlineLevel="0" collapsed="false">
      <c r="A185" s="9" t="s">
        <v>2773</v>
      </c>
      <c r="B185" s="10" t="s">
        <v>2902</v>
      </c>
      <c r="C185" s="9" t="s">
        <v>2903</v>
      </c>
      <c r="D185" s="9" t="s">
        <v>2678</v>
      </c>
      <c r="E185" s="9" t="s">
        <v>2678</v>
      </c>
    </row>
    <row r="186" customFormat="false" ht="15" hidden="false" customHeight="false" outlineLevel="0" collapsed="false">
      <c r="A186" s="9" t="s">
        <v>2773</v>
      </c>
      <c r="B186" s="10" t="s">
        <v>2904</v>
      </c>
      <c r="C186" s="9" t="s">
        <v>2905</v>
      </c>
      <c r="D186" s="9" t="s">
        <v>2678</v>
      </c>
      <c r="E186" s="9" t="s">
        <v>2678</v>
      </c>
    </row>
    <row r="187" customFormat="false" ht="15" hidden="false" customHeight="false" outlineLevel="0" collapsed="false">
      <c r="A187" s="9" t="s">
        <v>2773</v>
      </c>
      <c r="B187" s="10" t="s">
        <v>2906</v>
      </c>
      <c r="C187" s="9" t="s">
        <v>2196</v>
      </c>
      <c r="D187" s="9" t="s">
        <v>2678</v>
      </c>
      <c r="E187" s="9" t="s">
        <v>2678</v>
      </c>
    </row>
    <row r="188" customFormat="false" ht="15" hidden="false" customHeight="false" outlineLevel="0" collapsed="false">
      <c r="A188" s="9" t="s">
        <v>2773</v>
      </c>
      <c r="B188" s="10" t="s">
        <v>2907</v>
      </c>
      <c r="C188" s="9" t="s">
        <v>2908</v>
      </c>
      <c r="D188" s="9" t="s">
        <v>2678</v>
      </c>
      <c r="E188" s="9" t="s">
        <v>2678</v>
      </c>
    </row>
    <row r="189" customFormat="false" ht="15" hidden="false" customHeight="false" outlineLevel="0" collapsed="false">
      <c r="A189" s="9" t="s">
        <v>2773</v>
      </c>
      <c r="B189" s="10" t="s">
        <v>2909</v>
      </c>
      <c r="C189" s="9" t="s">
        <v>2910</v>
      </c>
      <c r="D189" s="9" t="s">
        <v>2678</v>
      </c>
      <c r="E189" s="9" t="s">
        <v>2678</v>
      </c>
    </row>
    <row r="190" customFormat="false" ht="15" hidden="false" customHeight="false" outlineLevel="0" collapsed="false">
      <c r="A190" s="9" t="s">
        <v>2773</v>
      </c>
      <c r="B190" s="10" t="s">
        <v>2911</v>
      </c>
      <c r="C190" s="9" t="s">
        <v>2912</v>
      </c>
      <c r="D190" s="9" t="s">
        <v>2678</v>
      </c>
      <c r="E190" s="9" t="s">
        <v>2678</v>
      </c>
    </row>
    <row r="191" customFormat="false" ht="15" hidden="false" customHeight="false" outlineLevel="0" collapsed="false">
      <c r="A191" s="9" t="s">
        <v>2773</v>
      </c>
      <c r="B191" s="10" t="s">
        <v>2203</v>
      </c>
      <c r="C191" s="9" t="s">
        <v>2202</v>
      </c>
      <c r="D191" s="9" t="s">
        <v>2678</v>
      </c>
      <c r="E191" s="9" t="s">
        <v>2678</v>
      </c>
    </row>
    <row r="192" customFormat="false" ht="15" hidden="false" customHeight="false" outlineLevel="0" collapsed="false">
      <c r="A192" s="9" t="s">
        <v>2773</v>
      </c>
      <c r="B192" s="10" t="s">
        <v>2205</v>
      </c>
      <c r="C192" s="9" t="s">
        <v>2204</v>
      </c>
      <c r="D192" s="9" t="s">
        <v>2678</v>
      </c>
      <c r="E192" s="9" t="s">
        <v>2678</v>
      </c>
    </row>
    <row r="193" customFormat="false" ht="15" hidden="false" customHeight="false" outlineLevel="0" collapsed="false">
      <c r="A193" s="9" t="s">
        <v>2773</v>
      </c>
      <c r="B193" s="10" t="s">
        <v>2207</v>
      </c>
      <c r="C193" s="9" t="s">
        <v>2206</v>
      </c>
      <c r="D193" s="9" t="s">
        <v>2678</v>
      </c>
      <c r="E193" s="9" t="s">
        <v>2678</v>
      </c>
    </row>
    <row r="194" customFormat="false" ht="15" hidden="false" customHeight="false" outlineLevel="0" collapsed="false">
      <c r="A194" s="9" t="s">
        <v>2773</v>
      </c>
      <c r="B194" s="10" t="s">
        <v>2913</v>
      </c>
      <c r="C194" s="9" t="s">
        <v>2208</v>
      </c>
      <c r="D194" s="9" t="s">
        <v>2678</v>
      </c>
      <c r="E194" s="9" t="s">
        <v>2678</v>
      </c>
    </row>
    <row r="195" customFormat="false" ht="15" hidden="false" customHeight="false" outlineLevel="0" collapsed="false">
      <c r="A195" s="9" t="s">
        <v>2773</v>
      </c>
      <c r="B195" s="10" t="s">
        <v>2914</v>
      </c>
      <c r="C195" s="9" t="s">
        <v>2208</v>
      </c>
      <c r="D195" s="9" t="s">
        <v>2678</v>
      </c>
      <c r="E195" s="9" t="s">
        <v>2678</v>
      </c>
    </row>
    <row r="196" customFormat="false" ht="15" hidden="false" customHeight="false" outlineLevel="0" collapsed="false">
      <c r="A196" s="9" t="s">
        <v>2773</v>
      </c>
      <c r="B196" s="10" t="s">
        <v>2915</v>
      </c>
      <c r="C196" s="9" t="s">
        <v>2916</v>
      </c>
      <c r="D196" s="9" t="s">
        <v>2678</v>
      </c>
      <c r="E196" s="9" t="s">
        <v>2678</v>
      </c>
    </row>
    <row r="197" customFormat="false" ht="15" hidden="false" customHeight="false" outlineLevel="0" collapsed="false">
      <c r="A197" s="9" t="s">
        <v>2773</v>
      </c>
      <c r="B197" s="10" t="s">
        <v>2917</v>
      </c>
      <c r="C197" s="9" t="s">
        <v>2918</v>
      </c>
      <c r="D197" s="9" t="s">
        <v>2678</v>
      </c>
      <c r="E197" s="9" t="s">
        <v>2678</v>
      </c>
    </row>
    <row r="198" customFormat="false" ht="15" hidden="false" customHeight="false" outlineLevel="0" collapsed="false">
      <c r="A198" s="9" t="s">
        <v>2773</v>
      </c>
      <c r="B198" s="10" t="s">
        <v>2919</v>
      </c>
      <c r="C198" s="9" t="s">
        <v>2210</v>
      </c>
      <c r="D198" s="9" t="s">
        <v>2678</v>
      </c>
      <c r="E198" s="9" t="s">
        <v>2678</v>
      </c>
    </row>
    <row r="199" customFormat="false" ht="15" hidden="false" customHeight="false" outlineLevel="0" collapsed="false">
      <c r="A199" s="9" t="s">
        <v>2773</v>
      </c>
      <c r="B199" s="10" t="s">
        <v>2920</v>
      </c>
      <c r="C199" s="9" t="s">
        <v>2210</v>
      </c>
      <c r="D199" s="9" t="s">
        <v>2678</v>
      </c>
      <c r="E199" s="9" t="s">
        <v>2678</v>
      </c>
    </row>
    <row r="200" customFormat="false" ht="15" hidden="false" customHeight="false" outlineLevel="0" collapsed="false">
      <c r="A200" s="9" t="s">
        <v>2773</v>
      </c>
      <c r="B200" s="10" t="s">
        <v>2921</v>
      </c>
      <c r="C200" s="9" t="s">
        <v>2210</v>
      </c>
      <c r="D200" s="9" t="s">
        <v>2678</v>
      </c>
      <c r="E200" s="9" t="s">
        <v>2678</v>
      </c>
    </row>
    <row r="201" customFormat="false" ht="15" hidden="false" customHeight="false" outlineLevel="0" collapsed="false">
      <c r="A201" s="9" t="s">
        <v>2773</v>
      </c>
      <c r="B201" s="10" t="s">
        <v>2922</v>
      </c>
      <c r="C201" s="9" t="s">
        <v>2923</v>
      </c>
      <c r="D201" s="9" t="s">
        <v>2678</v>
      </c>
      <c r="E201" s="9" t="s">
        <v>2678</v>
      </c>
    </row>
    <row r="202" customFormat="false" ht="15" hidden="false" customHeight="false" outlineLevel="0" collapsed="false">
      <c r="A202" s="9" t="s">
        <v>2773</v>
      </c>
      <c r="B202" s="10" t="s">
        <v>2924</v>
      </c>
      <c r="C202" s="9" t="s">
        <v>2925</v>
      </c>
      <c r="D202" s="9" t="s">
        <v>2678</v>
      </c>
      <c r="E202" s="9" t="s">
        <v>2678</v>
      </c>
    </row>
    <row r="203" customFormat="false" ht="15" hidden="false" customHeight="false" outlineLevel="0" collapsed="false">
      <c r="A203" s="9" t="s">
        <v>2773</v>
      </c>
      <c r="B203" s="10" t="s">
        <v>2926</v>
      </c>
      <c r="C203" s="9" t="s">
        <v>2927</v>
      </c>
      <c r="D203" s="9" t="s">
        <v>2678</v>
      </c>
      <c r="E203" s="9" t="s">
        <v>2678</v>
      </c>
    </row>
    <row r="204" customFormat="false" ht="15" hidden="false" customHeight="false" outlineLevel="0" collapsed="false">
      <c r="A204" s="9" t="s">
        <v>2773</v>
      </c>
      <c r="B204" s="10" t="s">
        <v>2928</v>
      </c>
      <c r="C204" s="9" t="s">
        <v>2929</v>
      </c>
      <c r="D204" s="9" t="s">
        <v>2678</v>
      </c>
      <c r="E204" s="9" t="s">
        <v>2678</v>
      </c>
    </row>
    <row r="205" customFormat="false" ht="15" hidden="false" customHeight="false" outlineLevel="0" collapsed="false">
      <c r="A205" s="9" t="s">
        <v>2773</v>
      </c>
      <c r="B205" s="10" t="s">
        <v>2930</v>
      </c>
      <c r="C205" s="9" t="s">
        <v>2931</v>
      </c>
      <c r="D205" s="9" t="s">
        <v>2678</v>
      </c>
      <c r="E205" s="9" t="s">
        <v>2678</v>
      </c>
    </row>
    <row r="206" customFormat="false" ht="15" hidden="false" customHeight="false" outlineLevel="0" collapsed="false">
      <c r="A206" s="9" t="s">
        <v>2773</v>
      </c>
      <c r="B206" s="10" t="s">
        <v>2932</v>
      </c>
      <c r="C206" s="9" t="s">
        <v>2933</v>
      </c>
      <c r="D206" s="9" t="s">
        <v>2678</v>
      </c>
      <c r="E206" s="9" t="s">
        <v>2678</v>
      </c>
    </row>
    <row r="207" customFormat="false" ht="15" hidden="false" customHeight="false" outlineLevel="0" collapsed="false">
      <c r="A207" s="9" t="s">
        <v>2773</v>
      </c>
      <c r="B207" s="10" t="s">
        <v>2934</v>
      </c>
      <c r="C207" s="9" t="s">
        <v>2212</v>
      </c>
      <c r="D207" s="9" t="s">
        <v>2678</v>
      </c>
      <c r="E207" s="9" t="s">
        <v>2678</v>
      </c>
    </row>
    <row r="208" customFormat="false" ht="15" hidden="false" customHeight="false" outlineLevel="0" collapsed="false">
      <c r="A208" s="9" t="s">
        <v>2773</v>
      </c>
      <c r="B208" s="10" t="s">
        <v>2935</v>
      </c>
      <c r="C208" s="9" t="s">
        <v>2212</v>
      </c>
      <c r="D208" s="9" t="s">
        <v>2678</v>
      </c>
      <c r="E208" s="9" t="s">
        <v>2678</v>
      </c>
    </row>
    <row r="209" customFormat="false" ht="15" hidden="false" customHeight="false" outlineLevel="0" collapsed="false">
      <c r="A209" s="9" t="s">
        <v>2773</v>
      </c>
      <c r="B209" s="10" t="s">
        <v>2936</v>
      </c>
      <c r="C209" s="9" t="s">
        <v>2212</v>
      </c>
      <c r="D209" s="9" t="s">
        <v>2678</v>
      </c>
      <c r="E209" s="9" t="s">
        <v>2678</v>
      </c>
    </row>
    <row r="210" customFormat="false" ht="15" hidden="false" customHeight="false" outlineLevel="0" collapsed="false">
      <c r="A210" s="9" t="s">
        <v>2773</v>
      </c>
      <c r="B210" s="10" t="s">
        <v>2937</v>
      </c>
      <c r="C210" s="9" t="s">
        <v>2212</v>
      </c>
      <c r="D210" s="9" t="s">
        <v>2678</v>
      </c>
      <c r="E210" s="9" t="s">
        <v>2678</v>
      </c>
    </row>
    <row r="211" customFormat="false" ht="15" hidden="false" customHeight="false" outlineLevel="0" collapsed="false">
      <c r="A211" s="9" t="s">
        <v>2773</v>
      </c>
      <c r="B211" s="10" t="s">
        <v>2938</v>
      </c>
      <c r="C211" s="9" t="s">
        <v>2212</v>
      </c>
      <c r="D211" s="9" t="s">
        <v>2678</v>
      </c>
      <c r="E211" s="9" t="s">
        <v>2678</v>
      </c>
    </row>
    <row r="212" customFormat="false" ht="15" hidden="false" customHeight="false" outlineLevel="0" collapsed="false">
      <c r="A212" s="9" t="s">
        <v>2773</v>
      </c>
      <c r="B212" s="10" t="s">
        <v>2215</v>
      </c>
      <c r="C212" s="9" t="s">
        <v>2214</v>
      </c>
      <c r="D212" s="9" t="s">
        <v>2678</v>
      </c>
      <c r="E212" s="9" t="s">
        <v>2678</v>
      </c>
    </row>
    <row r="213" customFormat="false" ht="15" hidden="false" customHeight="false" outlineLevel="0" collapsed="false">
      <c r="A213" s="9" t="s">
        <v>2773</v>
      </c>
      <c r="B213" s="10" t="s">
        <v>2217</v>
      </c>
      <c r="C213" s="9" t="s">
        <v>2216</v>
      </c>
      <c r="D213" s="9" t="s">
        <v>2678</v>
      </c>
      <c r="E213" s="9" t="s">
        <v>2678</v>
      </c>
    </row>
    <row r="214" customFormat="false" ht="15" hidden="false" customHeight="false" outlineLevel="0" collapsed="false">
      <c r="A214" s="9" t="s">
        <v>2773</v>
      </c>
      <c r="B214" s="10" t="s">
        <v>2219</v>
      </c>
      <c r="C214" s="9" t="s">
        <v>2218</v>
      </c>
      <c r="D214" s="9" t="s">
        <v>2678</v>
      </c>
      <c r="E214" s="9" t="s">
        <v>2678</v>
      </c>
    </row>
    <row r="215" customFormat="false" ht="15" hidden="false" customHeight="false" outlineLevel="0" collapsed="false">
      <c r="A215" s="9" t="s">
        <v>2773</v>
      </c>
      <c r="B215" s="10" t="s">
        <v>2221</v>
      </c>
      <c r="C215" s="9" t="s">
        <v>2220</v>
      </c>
      <c r="D215" s="9" t="s">
        <v>2678</v>
      </c>
      <c r="E215" s="9" t="s">
        <v>2678</v>
      </c>
    </row>
    <row r="216" customFormat="false" ht="15" hidden="false" customHeight="false" outlineLevel="0" collapsed="false">
      <c r="A216" s="9" t="s">
        <v>2773</v>
      </c>
      <c r="B216" s="10" t="s">
        <v>2223</v>
      </c>
      <c r="C216" s="9" t="s">
        <v>2222</v>
      </c>
      <c r="D216" s="9" t="s">
        <v>2678</v>
      </c>
      <c r="E216" s="9" t="s">
        <v>2678</v>
      </c>
    </row>
    <row r="217" customFormat="false" ht="15" hidden="false" customHeight="false" outlineLevel="0" collapsed="false">
      <c r="A217" s="9" t="s">
        <v>2773</v>
      </c>
      <c r="B217" s="10" t="s">
        <v>2225</v>
      </c>
      <c r="C217" s="9" t="s">
        <v>2224</v>
      </c>
      <c r="D217" s="9" t="s">
        <v>2678</v>
      </c>
      <c r="E217" s="9" t="s">
        <v>2678</v>
      </c>
    </row>
    <row r="218" customFormat="false" ht="15" hidden="false" customHeight="false" outlineLevel="0" collapsed="false">
      <c r="A218" s="9" t="s">
        <v>2773</v>
      </c>
      <c r="B218" s="10" t="s">
        <v>2939</v>
      </c>
      <c r="C218" s="9" t="s">
        <v>2940</v>
      </c>
      <c r="D218" s="9" t="s">
        <v>2678</v>
      </c>
      <c r="E218" s="9" t="s">
        <v>2678</v>
      </c>
    </row>
    <row r="219" customFormat="false" ht="15" hidden="false" customHeight="false" outlineLevel="0" collapsed="false">
      <c r="A219" s="9" t="s">
        <v>2773</v>
      </c>
      <c r="B219" s="10" t="s">
        <v>2941</v>
      </c>
      <c r="C219" s="9" t="s">
        <v>2942</v>
      </c>
      <c r="D219" s="9" t="s">
        <v>2678</v>
      </c>
      <c r="E219" s="9" t="s">
        <v>2678</v>
      </c>
    </row>
    <row r="220" customFormat="false" ht="15" hidden="false" customHeight="false" outlineLevel="0" collapsed="false">
      <c r="A220" s="9" t="s">
        <v>2773</v>
      </c>
      <c r="B220" s="10" t="s">
        <v>2943</v>
      </c>
      <c r="C220" s="9" t="s">
        <v>2944</v>
      </c>
      <c r="D220" s="9" t="s">
        <v>2678</v>
      </c>
      <c r="E220" s="9" t="s">
        <v>2678</v>
      </c>
    </row>
    <row r="221" customFormat="false" ht="15" hidden="false" customHeight="false" outlineLevel="0" collapsed="false">
      <c r="A221" s="9" t="s">
        <v>2773</v>
      </c>
      <c r="B221" s="10" t="s">
        <v>2945</v>
      </c>
      <c r="C221" s="9" t="s">
        <v>2946</v>
      </c>
      <c r="D221" s="9" t="s">
        <v>2678</v>
      </c>
      <c r="E221" s="9" t="s">
        <v>2678</v>
      </c>
    </row>
    <row r="222" customFormat="false" ht="15" hidden="false" customHeight="false" outlineLevel="0" collapsed="false">
      <c r="A222" s="9" t="s">
        <v>2773</v>
      </c>
      <c r="B222" s="10" t="s">
        <v>2947</v>
      </c>
      <c r="C222" s="9" t="s">
        <v>2948</v>
      </c>
      <c r="D222" s="9" t="s">
        <v>2678</v>
      </c>
      <c r="E222" s="9" t="s">
        <v>2678</v>
      </c>
    </row>
    <row r="223" customFormat="false" ht="15" hidden="false" customHeight="false" outlineLevel="0" collapsed="false">
      <c r="A223" s="9" t="s">
        <v>2773</v>
      </c>
      <c r="B223" s="10" t="s">
        <v>2949</v>
      </c>
      <c r="C223" s="9" t="s">
        <v>2950</v>
      </c>
      <c r="D223" s="9" t="s">
        <v>2678</v>
      </c>
      <c r="E223" s="9" t="s">
        <v>2678</v>
      </c>
    </row>
    <row r="224" customFormat="false" ht="15" hidden="false" customHeight="false" outlineLevel="0" collapsed="false">
      <c r="A224" s="9" t="s">
        <v>2951</v>
      </c>
      <c r="B224" s="10" t="s">
        <v>2234</v>
      </c>
      <c r="C224" s="9" t="s">
        <v>2952</v>
      </c>
      <c r="D224" s="9" t="s">
        <v>2678</v>
      </c>
      <c r="E224" s="9" t="s">
        <v>2678</v>
      </c>
    </row>
    <row r="225" customFormat="false" ht="15" hidden="false" customHeight="false" outlineLevel="0" collapsed="false">
      <c r="A225" s="9" t="s">
        <v>2951</v>
      </c>
      <c r="B225" s="10" t="s">
        <v>2237</v>
      </c>
      <c r="C225" s="9" t="s">
        <v>2953</v>
      </c>
      <c r="D225" s="9" t="s">
        <v>2678</v>
      </c>
      <c r="E225" s="9" t="s">
        <v>2678</v>
      </c>
    </row>
    <row r="226" customFormat="false" ht="15" hidden="false" customHeight="false" outlineLevel="0" collapsed="false">
      <c r="A226" s="9" t="s">
        <v>2951</v>
      </c>
      <c r="B226" s="10" t="s">
        <v>2239</v>
      </c>
      <c r="C226" s="9" t="s">
        <v>2238</v>
      </c>
      <c r="D226" s="9" t="s">
        <v>2678</v>
      </c>
      <c r="E226" s="9" t="s">
        <v>2678</v>
      </c>
    </row>
    <row r="227" customFormat="false" ht="15" hidden="false" customHeight="false" outlineLevel="0" collapsed="false">
      <c r="A227" s="9" t="s">
        <v>2951</v>
      </c>
      <c r="B227" s="10" t="s">
        <v>2241</v>
      </c>
      <c r="C227" s="9" t="s">
        <v>2954</v>
      </c>
      <c r="D227" s="9" t="s">
        <v>2678</v>
      </c>
      <c r="E227" s="9" t="s">
        <v>2678</v>
      </c>
    </row>
    <row r="228" customFormat="false" ht="15" hidden="false" customHeight="false" outlineLevel="0" collapsed="false">
      <c r="A228" s="9" t="s">
        <v>2951</v>
      </c>
      <c r="B228" s="10" t="s">
        <v>2243</v>
      </c>
      <c r="C228" s="9" t="s">
        <v>2955</v>
      </c>
      <c r="D228" s="9" t="s">
        <v>2678</v>
      </c>
      <c r="E228" s="9" t="s">
        <v>2678</v>
      </c>
    </row>
    <row r="229" customFormat="false" ht="15" hidden="false" customHeight="false" outlineLevel="0" collapsed="false">
      <c r="A229" s="9" t="s">
        <v>2951</v>
      </c>
      <c r="B229" s="10" t="s">
        <v>2245</v>
      </c>
      <c r="C229" s="9" t="s">
        <v>2244</v>
      </c>
      <c r="D229" s="9" t="s">
        <v>2678</v>
      </c>
      <c r="E229" s="9" t="s">
        <v>2678</v>
      </c>
    </row>
    <row r="230" customFormat="false" ht="15" hidden="false" customHeight="false" outlineLevel="0" collapsed="false">
      <c r="A230" s="9" t="s">
        <v>2951</v>
      </c>
      <c r="B230" s="10" t="s">
        <v>2247</v>
      </c>
      <c r="C230" s="9" t="s">
        <v>2246</v>
      </c>
      <c r="D230" s="9" t="s">
        <v>2678</v>
      </c>
      <c r="E230" s="9" t="s">
        <v>2678</v>
      </c>
    </row>
    <row r="231" customFormat="false" ht="15" hidden="false" customHeight="false" outlineLevel="0" collapsed="false">
      <c r="A231" s="9" t="s">
        <v>2951</v>
      </c>
      <c r="B231" s="10" t="s">
        <v>2249</v>
      </c>
      <c r="C231" s="9" t="s">
        <v>2956</v>
      </c>
      <c r="D231" s="9" t="s">
        <v>2678</v>
      </c>
      <c r="E231" s="9" t="s">
        <v>2678</v>
      </c>
    </row>
    <row r="232" customFormat="false" ht="15" hidden="false" customHeight="false" outlineLevel="0" collapsed="false">
      <c r="A232" s="9" t="s">
        <v>2951</v>
      </c>
      <c r="B232" s="10" t="s">
        <v>2251</v>
      </c>
      <c r="C232" s="9" t="s">
        <v>2250</v>
      </c>
      <c r="D232" s="9" t="s">
        <v>2678</v>
      </c>
      <c r="E232" s="9" t="s">
        <v>2678</v>
      </c>
    </row>
    <row r="233" customFormat="false" ht="15" hidden="false" customHeight="false" outlineLevel="0" collapsed="false">
      <c r="A233" s="9" t="s">
        <v>2951</v>
      </c>
      <c r="B233" s="10" t="s">
        <v>2253</v>
      </c>
      <c r="C233" s="9" t="s">
        <v>2252</v>
      </c>
      <c r="D233" s="9" t="s">
        <v>2678</v>
      </c>
      <c r="E233" s="9" t="s">
        <v>2678</v>
      </c>
    </row>
    <row r="234" customFormat="false" ht="15" hidden="false" customHeight="false" outlineLevel="0" collapsed="false">
      <c r="A234" s="9" t="s">
        <v>2951</v>
      </c>
      <c r="B234" s="10" t="s">
        <v>2255</v>
      </c>
      <c r="C234" s="9" t="s">
        <v>2254</v>
      </c>
      <c r="D234" s="9" t="s">
        <v>2678</v>
      </c>
      <c r="E234" s="9" t="s">
        <v>2678</v>
      </c>
    </row>
    <row r="235" customFormat="false" ht="15" hidden="false" customHeight="false" outlineLevel="0" collapsed="false">
      <c r="A235" s="9" t="s">
        <v>2951</v>
      </c>
      <c r="B235" s="10" t="s">
        <v>2257</v>
      </c>
      <c r="C235" s="9" t="s">
        <v>2957</v>
      </c>
      <c r="D235" s="9" t="s">
        <v>2678</v>
      </c>
      <c r="E235" s="9" t="s">
        <v>2678</v>
      </c>
    </row>
    <row r="236" customFormat="false" ht="15" hidden="false" customHeight="false" outlineLevel="0" collapsed="false">
      <c r="A236" s="9" t="s">
        <v>2951</v>
      </c>
      <c r="B236" s="10" t="s">
        <v>2259</v>
      </c>
      <c r="C236" s="9" t="s">
        <v>2958</v>
      </c>
      <c r="D236" s="9" t="s">
        <v>2678</v>
      </c>
      <c r="E236" s="9" t="s">
        <v>2678</v>
      </c>
    </row>
    <row r="237" customFormat="false" ht="15" hidden="false" customHeight="false" outlineLevel="0" collapsed="false">
      <c r="A237" s="9" t="s">
        <v>2951</v>
      </c>
      <c r="B237" s="10" t="s">
        <v>2261</v>
      </c>
      <c r="C237" s="9" t="s">
        <v>2260</v>
      </c>
      <c r="D237" s="9" t="s">
        <v>2678</v>
      </c>
      <c r="E237" s="9" t="s">
        <v>2678</v>
      </c>
    </row>
    <row r="238" customFormat="false" ht="15" hidden="false" customHeight="false" outlineLevel="0" collapsed="false">
      <c r="A238" s="9" t="s">
        <v>2951</v>
      </c>
      <c r="B238" s="10" t="s">
        <v>2263</v>
      </c>
      <c r="C238" s="9" t="s">
        <v>2959</v>
      </c>
      <c r="D238" s="9" t="s">
        <v>2678</v>
      </c>
      <c r="E238" s="9" t="s">
        <v>2678</v>
      </c>
    </row>
    <row r="239" customFormat="false" ht="15" hidden="false" customHeight="false" outlineLevel="0" collapsed="false">
      <c r="A239" s="9" t="s">
        <v>2951</v>
      </c>
      <c r="B239" s="10" t="s">
        <v>2265</v>
      </c>
      <c r="C239" s="9" t="s">
        <v>2960</v>
      </c>
      <c r="D239" s="9" t="s">
        <v>2678</v>
      </c>
      <c r="E239" s="9" t="s">
        <v>2678</v>
      </c>
    </row>
    <row r="240" customFormat="false" ht="15" hidden="false" customHeight="false" outlineLevel="0" collapsed="false">
      <c r="A240" s="9" t="s">
        <v>2951</v>
      </c>
      <c r="B240" s="10" t="s">
        <v>2267</v>
      </c>
      <c r="C240" s="9" t="s">
        <v>2961</v>
      </c>
      <c r="D240" s="9" t="s">
        <v>2678</v>
      </c>
      <c r="E240" s="9" t="s">
        <v>2678</v>
      </c>
    </row>
    <row r="241" customFormat="false" ht="15" hidden="false" customHeight="false" outlineLevel="0" collapsed="false">
      <c r="A241" s="9" t="s">
        <v>2951</v>
      </c>
      <c r="B241" s="10" t="s">
        <v>2269</v>
      </c>
      <c r="C241" s="9" t="s">
        <v>2962</v>
      </c>
      <c r="D241" s="9" t="s">
        <v>2678</v>
      </c>
      <c r="E241" s="9" t="s">
        <v>2678</v>
      </c>
    </row>
    <row r="242" customFormat="false" ht="15" hidden="false" customHeight="false" outlineLevel="0" collapsed="false">
      <c r="A242" s="9" t="s">
        <v>2951</v>
      </c>
      <c r="B242" s="10" t="s">
        <v>2271</v>
      </c>
      <c r="C242" s="9" t="s">
        <v>2963</v>
      </c>
      <c r="D242" s="9" t="s">
        <v>2678</v>
      </c>
      <c r="E242" s="9" t="s">
        <v>2678</v>
      </c>
    </row>
    <row r="243" customFormat="false" ht="15" hidden="false" customHeight="false" outlineLevel="0" collapsed="false">
      <c r="A243" s="9" t="s">
        <v>2951</v>
      </c>
      <c r="B243" s="10" t="s">
        <v>2273</v>
      </c>
      <c r="C243" s="9" t="s">
        <v>2272</v>
      </c>
      <c r="D243" s="9" t="s">
        <v>2678</v>
      </c>
      <c r="E243" s="9" t="s">
        <v>2678</v>
      </c>
    </row>
    <row r="244" customFormat="false" ht="15" hidden="false" customHeight="false" outlineLevel="0" collapsed="false">
      <c r="A244" s="9" t="s">
        <v>2951</v>
      </c>
      <c r="B244" s="10" t="s">
        <v>2275</v>
      </c>
      <c r="C244" s="9" t="s">
        <v>2274</v>
      </c>
      <c r="D244" s="9" t="s">
        <v>2678</v>
      </c>
      <c r="E244" s="9" t="s">
        <v>2678</v>
      </c>
    </row>
    <row r="245" customFormat="false" ht="15" hidden="false" customHeight="false" outlineLevel="0" collapsed="false">
      <c r="A245" s="9" t="s">
        <v>2951</v>
      </c>
      <c r="B245" s="10" t="s">
        <v>2281</v>
      </c>
      <c r="C245" s="9" t="s">
        <v>2964</v>
      </c>
      <c r="D245" s="9" t="s">
        <v>2678</v>
      </c>
      <c r="E245" s="9" t="s">
        <v>2678</v>
      </c>
    </row>
    <row r="246" customFormat="false" ht="15" hidden="false" customHeight="false" outlineLevel="0" collapsed="false">
      <c r="A246" s="9" t="s">
        <v>2951</v>
      </c>
      <c r="B246" s="10" t="s">
        <v>2283</v>
      </c>
      <c r="C246" s="9" t="s">
        <v>2282</v>
      </c>
      <c r="D246" s="9" t="s">
        <v>2678</v>
      </c>
      <c r="E246" s="9" t="s">
        <v>2678</v>
      </c>
    </row>
    <row r="247" customFormat="false" ht="15" hidden="false" customHeight="false" outlineLevel="0" collapsed="false">
      <c r="A247" s="9" t="s">
        <v>2951</v>
      </c>
      <c r="B247" s="10" t="s">
        <v>2285</v>
      </c>
      <c r="C247" s="9" t="s">
        <v>2284</v>
      </c>
      <c r="D247" s="9" t="s">
        <v>2678</v>
      </c>
      <c r="E247" s="9" t="s">
        <v>2678</v>
      </c>
    </row>
    <row r="248" customFormat="false" ht="15" hidden="false" customHeight="false" outlineLevel="0" collapsed="false">
      <c r="A248" s="9" t="s">
        <v>2951</v>
      </c>
      <c r="B248" s="10" t="s">
        <v>2287</v>
      </c>
      <c r="C248" s="9" t="s">
        <v>2286</v>
      </c>
      <c r="D248" s="9" t="s">
        <v>2678</v>
      </c>
      <c r="E248" s="9" t="s">
        <v>2678</v>
      </c>
    </row>
    <row r="249" customFormat="false" ht="15" hidden="false" customHeight="false" outlineLevel="0" collapsed="false">
      <c r="A249" s="9" t="s">
        <v>2951</v>
      </c>
      <c r="B249" s="10" t="s">
        <v>2289</v>
      </c>
      <c r="C249" s="9" t="s">
        <v>2288</v>
      </c>
      <c r="D249" s="9" t="s">
        <v>2678</v>
      </c>
      <c r="E249" s="9" t="s">
        <v>2678</v>
      </c>
    </row>
    <row r="250" customFormat="false" ht="15" hidden="false" customHeight="false" outlineLevel="0" collapsed="false">
      <c r="A250" s="9" t="s">
        <v>2951</v>
      </c>
      <c r="B250" s="10" t="s">
        <v>2291</v>
      </c>
      <c r="C250" s="9" t="s">
        <v>2290</v>
      </c>
      <c r="D250" s="9" t="s">
        <v>2678</v>
      </c>
      <c r="E250" s="9" t="s">
        <v>2678</v>
      </c>
    </row>
    <row r="251" customFormat="false" ht="15" hidden="false" customHeight="false" outlineLevel="0" collapsed="false">
      <c r="A251" s="9" t="s">
        <v>2951</v>
      </c>
      <c r="B251" s="10" t="s">
        <v>2293</v>
      </c>
      <c r="C251" s="9" t="s">
        <v>2292</v>
      </c>
      <c r="D251" s="9" t="s">
        <v>2678</v>
      </c>
      <c r="E251" s="9" t="s">
        <v>2678</v>
      </c>
    </row>
    <row r="252" customFormat="false" ht="15" hidden="false" customHeight="false" outlineLevel="0" collapsed="false">
      <c r="A252" s="9" t="s">
        <v>2951</v>
      </c>
      <c r="B252" s="10" t="s">
        <v>2295</v>
      </c>
      <c r="C252" s="9" t="s">
        <v>2294</v>
      </c>
      <c r="D252" s="9" t="s">
        <v>2678</v>
      </c>
      <c r="E252" s="9" t="s">
        <v>2678</v>
      </c>
    </row>
    <row r="253" customFormat="false" ht="15" hidden="false" customHeight="false" outlineLevel="0" collapsed="false">
      <c r="A253" s="9" t="s">
        <v>2951</v>
      </c>
      <c r="B253" s="10" t="s">
        <v>2297</v>
      </c>
      <c r="C253" s="9" t="s">
        <v>2296</v>
      </c>
      <c r="D253" s="9" t="s">
        <v>2678</v>
      </c>
      <c r="E253" s="9" t="s">
        <v>2678</v>
      </c>
    </row>
    <row r="254" customFormat="false" ht="15" hidden="false" customHeight="false" outlineLevel="0" collapsed="false">
      <c r="A254" s="9" t="s">
        <v>2951</v>
      </c>
      <c r="B254" s="10" t="s">
        <v>2299</v>
      </c>
      <c r="C254" s="9" t="s">
        <v>2298</v>
      </c>
      <c r="D254" s="9" t="s">
        <v>2678</v>
      </c>
      <c r="E254" s="9" t="s">
        <v>2678</v>
      </c>
    </row>
    <row r="255" customFormat="false" ht="15" hidden="false" customHeight="false" outlineLevel="0" collapsed="false">
      <c r="A255" s="9" t="s">
        <v>2951</v>
      </c>
      <c r="B255" s="10" t="s">
        <v>2301</v>
      </c>
      <c r="C255" s="9" t="s">
        <v>2300</v>
      </c>
      <c r="D255" s="9" t="s">
        <v>2678</v>
      </c>
      <c r="E255" s="9" t="s">
        <v>2678</v>
      </c>
    </row>
    <row r="256" customFormat="false" ht="15" hidden="false" customHeight="false" outlineLevel="0" collapsed="false">
      <c r="A256" s="9" t="s">
        <v>2951</v>
      </c>
      <c r="B256" s="10" t="s">
        <v>2303</v>
      </c>
      <c r="C256" s="9" t="s">
        <v>2302</v>
      </c>
      <c r="D256" s="9" t="s">
        <v>2678</v>
      </c>
      <c r="E256" s="9" t="s">
        <v>2678</v>
      </c>
    </row>
    <row r="257" customFormat="false" ht="15" hidden="false" customHeight="false" outlineLevel="0" collapsed="false">
      <c r="A257" s="9" t="s">
        <v>2951</v>
      </c>
      <c r="B257" s="10" t="s">
        <v>2305</v>
      </c>
      <c r="C257" s="9" t="s">
        <v>2304</v>
      </c>
      <c r="D257" s="9" t="s">
        <v>2678</v>
      </c>
      <c r="E257" s="9" t="s">
        <v>2678</v>
      </c>
    </row>
    <row r="258" customFormat="false" ht="15" hidden="false" customHeight="false" outlineLevel="0" collapsed="false">
      <c r="A258" s="9" t="s">
        <v>2951</v>
      </c>
      <c r="B258" s="10" t="s">
        <v>2307</v>
      </c>
      <c r="C258" s="9" t="s">
        <v>2306</v>
      </c>
      <c r="D258" s="9" t="s">
        <v>2678</v>
      </c>
      <c r="E258" s="9" t="s">
        <v>2678</v>
      </c>
    </row>
    <row r="259" customFormat="false" ht="15" hidden="false" customHeight="false" outlineLevel="0" collapsed="false">
      <c r="A259" s="9" t="s">
        <v>2951</v>
      </c>
      <c r="B259" s="10" t="s">
        <v>2309</v>
      </c>
      <c r="C259" s="9" t="s">
        <v>2308</v>
      </c>
      <c r="D259" s="9" t="s">
        <v>2678</v>
      </c>
      <c r="E259" s="9" t="s">
        <v>2678</v>
      </c>
    </row>
    <row r="260" customFormat="false" ht="15" hidden="false" customHeight="false" outlineLevel="0" collapsed="false">
      <c r="A260" s="9" t="s">
        <v>2951</v>
      </c>
      <c r="B260" s="10" t="s">
        <v>2311</v>
      </c>
      <c r="C260" s="9" t="s">
        <v>2310</v>
      </c>
      <c r="D260" s="9" t="s">
        <v>2678</v>
      </c>
      <c r="E260" s="9" t="s">
        <v>2678</v>
      </c>
    </row>
    <row r="261" customFormat="false" ht="15" hidden="false" customHeight="false" outlineLevel="0" collapsed="false">
      <c r="A261" s="9" t="s">
        <v>2951</v>
      </c>
      <c r="B261" s="10" t="s">
        <v>2313</v>
      </c>
      <c r="C261" s="9" t="s">
        <v>2312</v>
      </c>
      <c r="D261" s="9" t="s">
        <v>2678</v>
      </c>
      <c r="E261" s="9" t="s">
        <v>2678</v>
      </c>
    </row>
    <row r="262" customFormat="false" ht="15" hidden="false" customHeight="false" outlineLevel="0" collapsed="false">
      <c r="A262" s="9" t="s">
        <v>2951</v>
      </c>
      <c r="B262" s="10" t="s">
        <v>2317</v>
      </c>
      <c r="C262" s="9" t="s">
        <v>2965</v>
      </c>
      <c r="D262" s="9" t="s">
        <v>2678</v>
      </c>
      <c r="E262" s="9" t="s">
        <v>2678</v>
      </c>
    </row>
    <row r="263" customFormat="false" ht="15" hidden="false" customHeight="false" outlineLevel="0" collapsed="false">
      <c r="A263" s="9" t="s">
        <v>2951</v>
      </c>
      <c r="B263" s="10" t="s">
        <v>2319</v>
      </c>
      <c r="C263" s="9" t="s">
        <v>2966</v>
      </c>
      <c r="D263" s="9" t="s">
        <v>2678</v>
      </c>
      <c r="E263" s="9" t="s">
        <v>2678</v>
      </c>
    </row>
    <row r="264" customFormat="false" ht="15" hidden="false" customHeight="false" outlineLevel="0" collapsed="false">
      <c r="A264" s="9" t="s">
        <v>2951</v>
      </c>
      <c r="B264" s="10" t="s">
        <v>2321</v>
      </c>
      <c r="C264" s="9" t="s">
        <v>2320</v>
      </c>
      <c r="D264" s="9" t="s">
        <v>2678</v>
      </c>
      <c r="E264" s="9" t="s">
        <v>2678</v>
      </c>
    </row>
    <row r="265" customFormat="false" ht="15" hidden="false" customHeight="false" outlineLevel="0" collapsed="false">
      <c r="A265" s="9" t="s">
        <v>2951</v>
      </c>
      <c r="B265" s="10" t="s">
        <v>2323</v>
      </c>
      <c r="C265" s="9" t="s">
        <v>2322</v>
      </c>
      <c r="D265" s="9" t="s">
        <v>2678</v>
      </c>
      <c r="E265" s="9" t="s">
        <v>2678</v>
      </c>
    </row>
    <row r="266" customFormat="false" ht="15" hidden="false" customHeight="false" outlineLevel="0" collapsed="false">
      <c r="A266" s="9" t="s">
        <v>2951</v>
      </c>
      <c r="B266" s="10" t="s">
        <v>2325</v>
      </c>
      <c r="C266" s="9" t="s">
        <v>2324</v>
      </c>
      <c r="D266" s="9" t="s">
        <v>2678</v>
      </c>
      <c r="E266" s="9" t="s">
        <v>2678</v>
      </c>
    </row>
    <row r="267" customFormat="false" ht="15" hidden="false" customHeight="false" outlineLevel="0" collapsed="false">
      <c r="A267" s="9" t="s">
        <v>2951</v>
      </c>
      <c r="B267" s="10" t="s">
        <v>2330</v>
      </c>
      <c r="C267" s="9" t="s">
        <v>2329</v>
      </c>
      <c r="D267" s="9" t="s">
        <v>2678</v>
      </c>
      <c r="E267" s="9" t="s">
        <v>2678</v>
      </c>
    </row>
    <row r="268" customFormat="false" ht="15" hidden="false" customHeight="false" outlineLevel="0" collapsed="false">
      <c r="A268" s="9" t="s">
        <v>2951</v>
      </c>
      <c r="B268" s="10" t="s">
        <v>2332</v>
      </c>
      <c r="C268" s="9" t="s">
        <v>2331</v>
      </c>
      <c r="D268" s="9" t="s">
        <v>2678</v>
      </c>
      <c r="E268" s="9" t="s">
        <v>2678</v>
      </c>
    </row>
    <row r="269" customFormat="false" ht="15" hidden="false" customHeight="false" outlineLevel="0" collapsed="false">
      <c r="A269" s="9" t="s">
        <v>2951</v>
      </c>
      <c r="B269" s="10" t="s">
        <v>2334</v>
      </c>
      <c r="C269" s="9" t="s">
        <v>2333</v>
      </c>
      <c r="D269" s="9" t="s">
        <v>2678</v>
      </c>
      <c r="E269" s="9" t="s">
        <v>2678</v>
      </c>
    </row>
    <row r="270" customFormat="false" ht="26.85" hidden="false" customHeight="false" outlineLevel="0" collapsed="false">
      <c r="A270" s="9" t="s">
        <v>2951</v>
      </c>
      <c r="B270" s="10" t="s">
        <v>2336</v>
      </c>
      <c r="C270" s="9" t="s">
        <v>2967</v>
      </c>
      <c r="D270" s="9" t="s">
        <v>2678</v>
      </c>
      <c r="E270" s="9" t="s">
        <v>2678</v>
      </c>
    </row>
    <row r="271" customFormat="false" ht="15" hidden="false" customHeight="false" outlineLevel="0" collapsed="false">
      <c r="A271" s="9" t="s">
        <v>2951</v>
      </c>
      <c r="B271" s="10" t="s">
        <v>2338</v>
      </c>
      <c r="C271" s="9" t="s">
        <v>2337</v>
      </c>
      <c r="D271" s="9" t="s">
        <v>2678</v>
      </c>
      <c r="E271" s="9" t="s">
        <v>2678</v>
      </c>
    </row>
    <row r="272" customFormat="false" ht="15" hidden="false" customHeight="false" outlineLevel="0" collapsed="false">
      <c r="A272" s="9" t="s">
        <v>2951</v>
      </c>
      <c r="B272" s="10" t="s">
        <v>2340</v>
      </c>
      <c r="C272" s="9" t="s">
        <v>2968</v>
      </c>
      <c r="D272" s="9" t="s">
        <v>2678</v>
      </c>
      <c r="E272" s="9" t="s">
        <v>2678</v>
      </c>
    </row>
    <row r="273" customFormat="false" ht="15" hidden="false" customHeight="false" outlineLevel="0" collapsed="false">
      <c r="A273" s="9" t="s">
        <v>2951</v>
      </c>
      <c r="B273" s="10" t="s">
        <v>2351</v>
      </c>
      <c r="C273" s="9" t="s">
        <v>2969</v>
      </c>
      <c r="D273" s="9" t="s">
        <v>2678</v>
      </c>
      <c r="E273" s="9" t="s">
        <v>2678</v>
      </c>
    </row>
    <row r="274" customFormat="false" ht="15" hidden="false" customHeight="false" outlineLevel="0" collapsed="false">
      <c r="A274" s="9" t="s">
        <v>2951</v>
      </c>
      <c r="B274" s="10" t="s">
        <v>2373</v>
      </c>
      <c r="C274" s="9" t="s">
        <v>2970</v>
      </c>
      <c r="D274" s="9" t="s">
        <v>2678</v>
      </c>
      <c r="E274" s="9" t="s">
        <v>2678</v>
      </c>
    </row>
    <row r="275" customFormat="false" ht="15" hidden="false" customHeight="false" outlineLevel="0" collapsed="false">
      <c r="A275" s="9" t="s">
        <v>2951</v>
      </c>
      <c r="B275" s="10" t="s">
        <v>2375</v>
      </c>
      <c r="C275" s="9" t="s">
        <v>2374</v>
      </c>
      <c r="D275" s="9" t="s">
        <v>2678</v>
      </c>
      <c r="E275" s="9" t="s">
        <v>2678</v>
      </c>
    </row>
    <row r="276" customFormat="false" ht="15" hidden="false" customHeight="false" outlineLevel="0" collapsed="false">
      <c r="A276" s="9" t="s">
        <v>2951</v>
      </c>
      <c r="B276" s="10" t="s">
        <v>2377</v>
      </c>
      <c r="C276" s="9" t="s">
        <v>2376</v>
      </c>
      <c r="D276" s="9" t="s">
        <v>2678</v>
      </c>
      <c r="E276" s="9" t="s">
        <v>2678</v>
      </c>
    </row>
    <row r="277" customFormat="false" ht="15" hidden="false" customHeight="false" outlineLevel="0" collapsed="false">
      <c r="A277" s="9" t="s">
        <v>2951</v>
      </c>
      <c r="B277" s="10" t="s">
        <v>2379</v>
      </c>
      <c r="C277" s="9" t="s">
        <v>2378</v>
      </c>
      <c r="D277" s="9" t="s">
        <v>2678</v>
      </c>
      <c r="E277" s="9" t="s">
        <v>2678</v>
      </c>
    </row>
    <row r="278" customFormat="false" ht="15" hidden="false" customHeight="false" outlineLevel="0" collapsed="false">
      <c r="A278" s="9" t="s">
        <v>2951</v>
      </c>
      <c r="B278" s="10" t="s">
        <v>2381</v>
      </c>
      <c r="C278" s="9" t="s">
        <v>2380</v>
      </c>
      <c r="D278" s="9" t="s">
        <v>2678</v>
      </c>
      <c r="E278" s="9" t="s">
        <v>2678</v>
      </c>
    </row>
    <row r="279" customFormat="false" ht="15" hidden="false" customHeight="false" outlineLevel="0" collapsed="false">
      <c r="A279" s="9" t="s">
        <v>2951</v>
      </c>
      <c r="B279" s="10" t="s">
        <v>2383</v>
      </c>
      <c r="C279" s="9" t="s">
        <v>2382</v>
      </c>
      <c r="D279" s="9" t="s">
        <v>2678</v>
      </c>
      <c r="E279" s="9" t="s">
        <v>2678</v>
      </c>
    </row>
    <row r="280" customFormat="false" ht="15" hidden="false" customHeight="false" outlineLevel="0" collapsed="false">
      <c r="A280" s="9" t="s">
        <v>2951</v>
      </c>
      <c r="B280" s="10" t="s">
        <v>2385</v>
      </c>
      <c r="C280" s="9" t="s">
        <v>2384</v>
      </c>
      <c r="D280" s="9" t="s">
        <v>2678</v>
      </c>
      <c r="E280" s="9" t="s">
        <v>2678</v>
      </c>
    </row>
    <row r="281" customFormat="false" ht="15" hidden="false" customHeight="false" outlineLevel="0" collapsed="false">
      <c r="A281" s="9" t="s">
        <v>2951</v>
      </c>
      <c r="B281" s="10" t="s">
        <v>2387</v>
      </c>
      <c r="C281" s="9" t="s">
        <v>2386</v>
      </c>
      <c r="D281" s="9" t="s">
        <v>2678</v>
      </c>
      <c r="E281" s="9" t="s">
        <v>2678</v>
      </c>
    </row>
    <row r="282" customFormat="false" ht="15" hidden="false" customHeight="false" outlineLevel="0" collapsed="false">
      <c r="A282" s="9" t="s">
        <v>2951</v>
      </c>
      <c r="B282" s="10" t="s">
        <v>2389</v>
      </c>
      <c r="C282" s="9" t="s">
        <v>2971</v>
      </c>
      <c r="D282" s="9" t="s">
        <v>2678</v>
      </c>
      <c r="E282" s="9" t="s">
        <v>2678</v>
      </c>
    </row>
    <row r="283" customFormat="false" ht="15" hidden="false" customHeight="false" outlineLevel="0" collapsed="false">
      <c r="A283" s="9" t="s">
        <v>2951</v>
      </c>
      <c r="B283" s="10" t="s">
        <v>2393</v>
      </c>
      <c r="C283" s="9" t="s">
        <v>2392</v>
      </c>
      <c r="D283" s="9" t="s">
        <v>2678</v>
      </c>
      <c r="E283" s="9" t="s">
        <v>2678</v>
      </c>
    </row>
    <row r="284" customFormat="false" ht="15" hidden="false" customHeight="false" outlineLevel="0" collapsed="false">
      <c r="A284" s="9" t="s">
        <v>2951</v>
      </c>
      <c r="B284" s="10" t="s">
        <v>2395</v>
      </c>
      <c r="C284" s="9" t="s">
        <v>2394</v>
      </c>
      <c r="D284" s="9" t="s">
        <v>2678</v>
      </c>
      <c r="E284" s="9" t="s">
        <v>2678</v>
      </c>
    </row>
    <row r="285" customFormat="false" ht="15" hidden="false" customHeight="false" outlineLevel="0" collapsed="false">
      <c r="A285" s="9" t="s">
        <v>2951</v>
      </c>
      <c r="B285" s="10" t="s">
        <v>2397</v>
      </c>
      <c r="C285" s="9" t="s">
        <v>2396</v>
      </c>
      <c r="D285" s="9" t="s">
        <v>2678</v>
      </c>
      <c r="E285" s="9" t="s">
        <v>2678</v>
      </c>
    </row>
    <row r="286" customFormat="false" ht="15" hidden="false" customHeight="false" outlineLevel="0" collapsed="false">
      <c r="A286" s="9" t="s">
        <v>2951</v>
      </c>
      <c r="B286" s="10" t="s">
        <v>2399</v>
      </c>
      <c r="C286" s="9" t="s">
        <v>2972</v>
      </c>
      <c r="D286" s="9" t="s">
        <v>2678</v>
      </c>
      <c r="E286" s="9" t="s">
        <v>2678</v>
      </c>
    </row>
    <row r="287" customFormat="false" ht="15" hidden="false" customHeight="false" outlineLevel="0" collapsed="false">
      <c r="A287" s="9" t="s">
        <v>2951</v>
      </c>
      <c r="B287" s="10" t="s">
        <v>2401</v>
      </c>
      <c r="C287" s="9" t="s">
        <v>2973</v>
      </c>
      <c r="D287" s="9" t="s">
        <v>2678</v>
      </c>
      <c r="E287" s="9" t="s">
        <v>2678</v>
      </c>
    </row>
    <row r="288" customFormat="false" ht="15" hidden="false" customHeight="false" outlineLevel="0" collapsed="false">
      <c r="A288" s="9" t="s">
        <v>2951</v>
      </c>
      <c r="B288" s="10" t="s">
        <v>2403</v>
      </c>
      <c r="C288" s="9" t="s">
        <v>2402</v>
      </c>
      <c r="D288" s="9" t="s">
        <v>2678</v>
      </c>
      <c r="E288" s="9" t="s">
        <v>2678</v>
      </c>
    </row>
    <row r="289" customFormat="false" ht="15" hidden="false" customHeight="false" outlineLevel="0" collapsed="false">
      <c r="A289" s="9" t="s">
        <v>2951</v>
      </c>
      <c r="B289" s="10" t="s">
        <v>2405</v>
      </c>
      <c r="C289" s="9" t="s">
        <v>2404</v>
      </c>
      <c r="D289" s="9" t="s">
        <v>2678</v>
      </c>
      <c r="E289" s="9" t="s">
        <v>2678</v>
      </c>
    </row>
    <row r="290" customFormat="false" ht="15" hidden="false" customHeight="false" outlineLevel="0" collapsed="false">
      <c r="A290" s="9" t="s">
        <v>2951</v>
      </c>
      <c r="B290" s="10" t="s">
        <v>2407</v>
      </c>
      <c r="C290" s="9" t="s">
        <v>2406</v>
      </c>
      <c r="D290" s="9" t="s">
        <v>2678</v>
      </c>
      <c r="E290" s="9" t="s">
        <v>2678</v>
      </c>
    </row>
    <row r="291" customFormat="false" ht="15" hidden="false" customHeight="false" outlineLevel="0" collapsed="false">
      <c r="A291" s="9" t="s">
        <v>2951</v>
      </c>
      <c r="B291" s="10" t="s">
        <v>2409</v>
      </c>
      <c r="C291" s="9" t="s">
        <v>2974</v>
      </c>
      <c r="D291" s="9" t="s">
        <v>2678</v>
      </c>
      <c r="E291" s="9" t="s">
        <v>2678</v>
      </c>
    </row>
    <row r="292" customFormat="false" ht="15" hidden="false" customHeight="false" outlineLevel="0" collapsed="false">
      <c r="A292" s="9" t="s">
        <v>2951</v>
      </c>
      <c r="B292" s="10" t="s">
        <v>2411</v>
      </c>
      <c r="C292" s="9" t="s">
        <v>2410</v>
      </c>
      <c r="D292" s="9" t="s">
        <v>2678</v>
      </c>
      <c r="E292" s="9" t="s">
        <v>2678</v>
      </c>
    </row>
    <row r="293" customFormat="false" ht="15" hidden="false" customHeight="false" outlineLevel="0" collapsed="false">
      <c r="A293" s="9" t="s">
        <v>2951</v>
      </c>
      <c r="B293" s="10" t="s">
        <v>2413</v>
      </c>
      <c r="C293" s="9" t="s">
        <v>2412</v>
      </c>
      <c r="D293" s="9" t="s">
        <v>2678</v>
      </c>
      <c r="E293" s="9" t="s">
        <v>2678</v>
      </c>
    </row>
    <row r="294" customFormat="false" ht="15" hidden="false" customHeight="false" outlineLevel="0" collapsed="false">
      <c r="A294" s="9" t="s">
        <v>2951</v>
      </c>
      <c r="B294" s="10" t="s">
        <v>2415</v>
      </c>
      <c r="C294" s="9" t="s">
        <v>2414</v>
      </c>
      <c r="D294" s="9" t="s">
        <v>2678</v>
      </c>
      <c r="E294" s="9" t="s">
        <v>2678</v>
      </c>
    </row>
    <row r="295" customFormat="false" ht="15" hidden="false" customHeight="false" outlineLevel="0" collapsed="false">
      <c r="A295" s="9" t="s">
        <v>2951</v>
      </c>
      <c r="B295" s="10" t="s">
        <v>2417</v>
      </c>
      <c r="C295" s="9" t="s">
        <v>2416</v>
      </c>
      <c r="D295" s="9" t="s">
        <v>2678</v>
      </c>
      <c r="E295" s="9" t="s">
        <v>2678</v>
      </c>
    </row>
    <row r="296" customFormat="false" ht="15" hidden="false" customHeight="false" outlineLevel="0" collapsed="false">
      <c r="A296" s="9" t="s">
        <v>2951</v>
      </c>
      <c r="B296" s="10" t="s">
        <v>2433</v>
      </c>
      <c r="C296" s="9" t="s">
        <v>2432</v>
      </c>
      <c r="D296" s="9" t="s">
        <v>2678</v>
      </c>
      <c r="E296" s="9" t="s">
        <v>2678</v>
      </c>
    </row>
    <row r="297" customFormat="false" ht="15" hidden="false" customHeight="false" outlineLevel="0" collapsed="false">
      <c r="A297" s="9" t="s">
        <v>2951</v>
      </c>
      <c r="B297" s="10" t="s">
        <v>2435</v>
      </c>
      <c r="C297" s="9" t="s">
        <v>2434</v>
      </c>
      <c r="D297" s="9" t="s">
        <v>2678</v>
      </c>
      <c r="E297" s="9" t="s">
        <v>2678</v>
      </c>
    </row>
    <row r="298" customFormat="false" ht="15" hidden="false" customHeight="false" outlineLevel="0" collapsed="false">
      <c r="A298" s="9" t="s">
        <v>2951</v>
      </c>
      <c r="B298" s="10" t="s">
        <v>2437</v>
      </c>
      <c r="C298" s="9" t="s">
        <v>2436</v>
      </c>
      <c r="D298" s="9" t="s">
        <v>2678</v>
      </c>
      <c r="E298" s="9" t="s">
        <v>2678</v>
      </c>
    </row>
    <row r="299" customFormat="false" ht="15" hidden="false" customHeight="false" outlineLevel="0" collapsed="false">
      <c r="A299" s="9" t="s">
        <v>2951</v>
      </c>
      <c r="B299" s="10" t="s">
        <v>2450</v>
      </c>
      <c r="C299" s="9" t="s">
        <v>2449</v>
      </c>
      <c r="D299" s="9" t="s">
        <v>2678</v>
      </c>
      <c r="E299" s="9" t="s">
        <v>2678</v>
      </c>
    </row>
    <row r="300" customFormat="false" ht="15" hidden="false" customHeight="false" outlineLevel="0" collapsed="false">
      <c r="A300" s="9" t="s">
        <v>2951</v>
      </c>
      <c r="B300" s="10" t="s">
        <v>2452</v>
      </c>
      <c r="C300" s="9" t="s">
        <v>2451</v>
      </c>
      <c r="D300" s="9" t="s">
        <v>2678</v>
      </c>
      <c r="E300" s="9" t="s">
        <v>2678</v>
      </c>
    </row>
    <row r="301" customFormat="false" ht="15" hidden="false" customHeight="false" outlineLevel="0" collapsed="false">
      <c r="A301" s="9" t="s">
        <v>2951</v>
      </c>
      <c r="B301" s="10" t="s">
        <v>2454</v>
      </c>
      <c r="C301" s="9" t="s">
        <v>2453</v>
      </c>
      <c r="D301" s="9" t="s">
        <v>2678</v>
      </c>
      <c r="E301" s="9" t="s">
        <v>2678</v>
      </c>
    </row>
    <row r="302" customFormat="false" ht="15" hidden="false" customHeight="false" outlineLevel="0" collapsed="false">
      <c r="A302" s="9" t="s">
        <v>2951</v>
      </c>
      <c r="B302" s="10" t="s">
        <v>2456</v>
      </c>
      <c r="C302" s="9" t="s">
        <v>2455</v>
      </c>
      <c r="D302" s="9" t="s">
        <v>2678</v>
      </c>
      <c r="E302" s="9" t="s">
        <v>2678</v>
      </c>
    </row>
    <row r="303" customFormat="false" ht="15" hidden="false" customHeight="false" outlineLevel="0" collapsed="false">
      <c r="A303" s="9" t="s">
        <v>2951</v>
      </c>
      <c r="B303" s="10" t="s">
        <v>2460</v>
      </c>
      <c r="C303" s="9" t="s">
        <v>2459</v>
      </c>
      <c r="D303" s="9" t="s">
        <v>2678</v>
      </c>
      <c r="E303" s="9" t="s">
        <v>2678</v>
      </c>
    </row>
    <row r="304" customFormat="false" ht="15" hidden="false" customHeight="false" outlineLevel="0" collapsed="false">
      <c r="A304" s="9" t="s">
        <v>2951</v>
      </c>
      <c r="B304" s="10" t="s">
        <v>2462</v>
      </c>
      <c r="C304" s="9" t="s">
        <v>2461</v>
      </c>
      <c r="D304" s="9" t="s">
        <v>2678</v>
      </c>
      <c r="E304" s="9" t="s">
        <v>2678</v>
      </c>
    </row>
    <row r="305" customFormat="false" ht="15" hidden="false" customHeight="false" outlineLevel="0" collapsed="false">
      <c r="A305" s="9" t="s">
        <v>2951</v>
      </c>
      <c r="B305" s="10" t="s">
        <v>2464</v>
      </c>
      <c r="C305" s="9" t="s">
        <v>2463</v>
      </c>
      <c r="D305" s="9" t="s">
        <v>2678</v>
      </c>
      <c r="E305" s="9" t="s">
        <v>2678</v>
      </c>
    </row>
    <row r="306" customFormat="false" ht="15" hidden="false" customHeight="false" outlineLevel="0" collapsed="false">
      <c r="A306" s="9" t="s">
        <v>2951</v>
      </c>
      <c r="B306" s="10" t="s">
        <v>2466</v>
      </c>
      <c r="C306" s="9" t="s">
        <v>2465</v>
      </c>
      <c r="D306" s="9" t="s">
        <v>2678</v>
      </c>
      <c r="E306" s="9" t="s">
        <v>2678</v>
      </c>
    </row>
    <row r="307" customFormat="false" ht="15" hidden="false" customHeight="false" outlineLevel="0" collapsed="false">
      <c r="A307" s="9" t="s">
        <v>2951</v>
      </c>
      <c r="B307" s="10" t="s">
        <v>2468</v>
      </c>
      <c r="C307" s="9" t="s">
        <v>2467</v>
      </c>
      <c r="D307" s="9" t="s">
        <v>2678</v>
      </c>
      <c r="E307" s="9" t="s">
        <v>2678</v>
      </c>
    </row>
    <row r="308" customFormat="false" ht="15" hidden="false" customHeight="false" outlineLevel="0" collapsed="false">
      <c r="A308" s="9" t="s">
        <v>2951</v>
      </c>
      <c r="B308" s="10" t="s">
        <v>2470</v>
      </c>
      <c r="C308" s="9" t="s">
        <v>2469</v>
      </c>
      <c r="D308" s="9" t="s">
        <v>2678</v>
      </c>
      <c r="E308" s="9" t="s">
        <v>2678</v>
      </c>
    </row>
    <row r="309" customFormat="false" ht="15" hidden="false" customHeight="false" outlineLevel="0" collapsed="false">
      <c r="A309" s="9" t="s">
        <v>2951</v>
      </c>
      <c r="B309" s="10" t="s">
        <v>2472</v>
      </c>
      <c r="C309" s="9" t="s">
        <v>2471</v>
      </c>
      <c r="D309" s="9" t="s">
        <v>2678</v>
      </c>
      <c r="E309" s="9" t="s">
        <v>2678</v>
      </c>
    </row>
    <row r="310" customFormat="false" ht="15" hidden="false" customHeight="false" outlineLevel="0" collapsed="false">
      <c r="A310" s="9" t="s">
        <v>2951</v>
      </c>
      <c r="B310" s="10" t="s">
        <v>2474</v>
      </c>
      <c r="C310" s="9" t="s">
        <v>2473</v>
      </c>
      <c r="D310" s="9" t="s">
        <v>2678</v>
      </c>
      <c r="E310" s="9" t="s">
        <v>2678</v>
      </c>
    </row>
    <row r="311" customFormat="false" ht="15" hidden="false" customHeight="false" outlineLevel="0" collapsed="false">
      <c r="A311" s="9" t="s">
        <v>2951</v>
      </c>
      <c r="B311" s="10" t="s">
        <v>2476</v>
      </c>
      <c r="C311" s="9" t="s">
        <v>2475</v>
      </c>
      <c r="D311" s="9" t="s">
        <v>2678</v>
      </c>
      <c r="E311" s="9" t="s">
        <v>2678</v>
      </c>
    </row>
    <row r="312" customFormat="false" ht="15" hidden="false" customHeight="false" outlineLevel="0" collapsed="false">
      <c r="A312" s="9" t="s">
        <v>2951</v>
      </c>
      <c r="B312" s="10" t="s">
        <v>2478</v>
      </c>
      <c r="C312" s="9" t="s">
        <v>2477</v>
      </c>
      <c r="D312" s="9" t="s">
        <v>2678</v>
      </c>
      <c r="E312" s="9" t="s">
        <v>2678</v>
      </c>
    </row>
    <row r="313" customFormat="false" ht="15" hidden="false" customHeight="false" outlineLevel="0" collapsed="false">
      <c r="A313" s="9" t="s">
        <v>2951</v>
      </c>
      <c r="B313" s="10" t="s">
        <v>2480</v>
      </c>
      <c r="C313" s="9" t="s">
        <v>2479</v>
      </c>
      <c r="D313" s="9" t="s">
        <v>2678</v>
      </c>
      <c r="E313" s="9" t="s">
        <v>2678</v>
      </c>
    </row>
    <row r="314" customFormat="false" ht="15" hidden="false" customHeight="false" outlineLevel="0" collapsed="false">
      <c r="A314" s="9" t="s">
        <v>2951</v>
      </c>
      <c r="B314" s="10" t="s">
        <v>2482</v>
      </c>
      <c r="C314" s="9" t="s">
        <v>2481</v>
      </c>
      <c r="D314" s="9" t="s">
        <v>2678</v>
      </c>
      <c r="E314" s="9" t="s">
        <v>2678</v>
      </c>
    </row>
    <row r="315" customFormat="false" ht="15" hidden="false" customHeight="false" outlineLevel="0" collapsed="false">
      <c r="A315" s="9" t="s">
        <v>2951</v>
      </c>
      <c r="B315" s="10" t="s">
        <v>2484</v>
      </c>
      <c r="C315" s="9" t="s">
        <v>2483</v>
      </c>
      <c r="D315" s="9" t="s">
        <v>2678</v>
      </c>
      <c r="E315" s="9" t="s">
        <v>2678</v>
      </c>
    </row>
    <row r="316" customFormat="false" ht="15" hidden="false" customHeight="false" outlineLevel="0" collapsed="false">
      <c r="A316" s="9" t="s">
        <v>2951</v>
      </c>
      <c r="B316" s="10" t="s">
        <v>2486</v>
      </c>
      <c r="C316" s="9" t="s">
        <v>2485</v>
      </c>
      <c r="D316" s="9" t="s">
        <v>2678</v>
      </c>
      <c r="E316" s="9" t="s">
        <v>2678</v>
      </c>
    </row>
    <row r="317" customFormat="false" ht="15" hidden="false" customHeight="false" outlineLevel="0" collapsed="false">
      <c r="A317" s="9" t="s">
        <v>2951</v>
      </c>
      <c r="B317" s="10" t="s">
        <v>2488</v>
      </c>
      <c r="C317" s="9" t="s">
        <v>2975</v>
      </c>
      <c r="D317" s="9" t="s">
        <v>2678</v>
      </c>
      <c r="E317" s="9" t="s">
        <v>2678</v>
      </c>
    </row>
    <row r="318" customFormat="false" ht="15" hidden="false" customHeight="false" outlineLevel="0" collapsed="false">
      <c r="A318" s="9" t="s">
        <v>2951</v>
      </c>
      <c r="B318" s="10" t="s">
        <v>2490</v>
      </c>
      <c r="C318" s="9" t="s">
        <v>2489</v>
      </c>
      <c r="D318" s="9" t="s">
        <v>2678</v>
      </c>
      <c r="E318" s="9" t="s">
        <v>2678</v>
      </c>
    </row>
    <row r="319" customFormat="false" ht="15" hidden="false" customHeight="false" outlineLevel="0" collapsed="false">
      <c r="A319" s="9" t="s">
        <v>2951</v>
      </c>
      <c r="B319" s="10" t="s">
        <v>2494</v>
      </c>
      <c r="C319" s="9" t="s">
        <v>2493</v>
      </c>
      <c r="D319" s="9" t="s">
        <v>2678</v>
      </c>
      <c r="E319" s="9" t="s">
        <v>2678</v>
      </c>
    </row>
    <row r="320" customFormat="false" ht="15" hidden="false" customHeight="false" outlineLevel="0" collapsed="false">
      <c r="A320" s="9" t="s">
        <v>2951</v>
      </c>
      <c r="B320" s="10" t="s">
        <v>2496</v>
      </c>
      <c r="C320" s="9" t="s">
        <v>2495</v>
      </c>
      <c r="D320" s="9" t="s">
        <v>2678</v>
      </c>
      <c r="E320" s="9" t="s">
        <v>2678</v>
      </c>
    </row>
    <row r="321" customFormat="false" ht="15" hidden="false" customHeight="false" outlineLevel="0" collapsed="false">
      <c r="A321" s="9" t="s">
        <v>2951</v>
      </c>
      <c r="B321" s="10" t="s">
        <v>2498</v>
      </c>
      <c r="C321" s="9" t="s">
        <v>2497</v>
      </c>
      <c r="D321" s="9" t="s">
        <v>2678</v>
      </c>
      <c r="E321" s="9" t="s">
        <v>2678</v>
      </c>
    </row>
    <row r="322" customFormat="false" ht="15" hidden="false" customHeight="false" outlineLevel="0" collapsed="false">
      <c r="A322" s="9" t="s">
        <v>2951</v>
      </c>
      <c r="B322" s="10" t="s">
        <v>2500</v>
      </c>
      <c r="C322" s="9" t="s">
        <v>2499</v>
      </c>
      <c r="D322" s="9" t="s">
        <v>2678</v>
      </c>
      <c r="E322" s="9" t="s">
        <v>2678</v>
      </c>
    </row>
    <row r="323" customFormat="false" ht="15" hidden="false" customHeight="false" outlineLevel="0" collapsed="false">
      <c r="A323" s="9" t="s">
        <v>2951</v>
      </c>
      <c r="B323" s="10" t="s">
        <v>2502</v>
      </c>
      <c r="C323" s="9" t="s">
        <v>2501</v>
      </c>
      <c r="D323" s="9" t="s">
        <v>2678</v>
      </c>
      <c r="E323" s="9" t="s">
        <v>2678</v>
      </c>
    </row>
    <row r="324" customFormat="false" ht="15" hidden="false" customHeight="false" outlineLevel="0" collapsed="false">
      <c r="A324" s="9" t="s">
        <v>2951</v>
      </c>
      <c r="B324" s="10" t="s">
        <v>2504</v>
      </c>
      <c r="C324" s="9" t="s">
        <v>2976</v>
      </c>
      <c r="D324" s="9" t="s">
        <v>2678</v>
      </c>
      <c r="E324" s="9" t="s">
        <v>2678</v>
      </c>
    </row>
    <row r="325" customFormat="false" ht="15" hidden="false" customHeight="false" outlineLevel="0" collapsed="false">
      <c r="A325" s="9" t="s">
        <v>2951</v>
      </c>
      <c r="B325" s="10" t="s">
        <v>2506</v>
      </c>
      <c r="C325" s="9" t="s">
        <v>2505</v>
      </c>
      <c r="D325" s="9" t="s">
        <v>2678</v>
      </c>
      <c r="E325" s="9" t="s">
        <v>2678</v>
      </c>
    </row>
    <row r="326" customFormat="false" ht="15" hidden="false" customHeight="false" outlineLevel="0" collapsed="false">
      <c r="A326" s="9" t="s">
        <v>2951</v>
      </c>
      <c r="B326" s="10" t="s">
        <v>2508</v>
      </c>
      <c r="C326" s="9" t="s">
        <v>2507</v>
      </c>
      <c r="D326" s="9" t="s">
        <v>2678</v>
      </c>
      <c r="E326" s="9" t="s">
        <v>2678</v>
      </c>
    </row>
    <row r="327" customFormat="false" ht="15" hidden="false" customHeight="false" outlineLevel="0" collapsed="false">
      <c r="A327" s="9" t="s">
        <v>2951</v>
      </c>
      <c r="B327" s="10" t="s">
        <v>2512</v>
      </c>
      <c r="C327" s="9" t="s">
        <v>2511</v>
      </c>
      <c r="D327" s="9" t="s">
        <v>2678</v>
      </c>
      <c r="E327" s="9" t="s">
        <v>2678</v>
      </c>
    </row>
    <row r="328" customFormat="false" ht="15" hidden="false" customHeight="false" outlineLevel="0" collapsed="false">
      <c r="A328" s="9" t="s">
        <v>2951</v>
      </c>
      <c r="B328" s="10" t="s">
        <v>2514</v>
      </c>
      <c r="C328" s="9" t="s">
        <v>2513</v>
      </c>
      <c r="D328" s="9" t="s">
        <v>2678</v>
      </c>
      <c r="E328" s="9" t="s">
        <v>2678</v>
      </c>
    </row>
    <row r="329" customFormat="false" ht="15" hidden="false" customHeight="false" outlineLevel="0" collapsed="false">
      <c r="A329" s="9" t="s">
        <v>2951</v>
      </c>
      <c r="B329" s="10" t="s">
        <v>2516</v>
      </c>
      <c r="C329" s="9" t="s">
        <v>2515</v>
      </c>
      <c r="D329" s="9" t="s">
        <v>2678</v>
      </c>
      <c r="E329" s="9" t="s">
        <v>2678</v>
      </c>
    </row>
    <row r="330" customFormat="false" ht="15" hidden="false" customHeight="false" outlineLevel="0" collapsed="false">
      <c r="A330" s="9" t="s">
        <v>2951</v>
      </c>
      <c r="B330" s="10" t="s">
        <v>2518</v>
      </c>
      <c r="C330" s="9" t="s">
        <v>2517</v>
      </c>
      <c r="D330" s="9" t="s">
        <v>2678</v>
      </c>
      <c r="E330" s="9" t="s">
        <v>2678</v>
      </c>
    </row>
    <row r="331" customFormat="false" ht="15" hidden="false" customHeight="false" outlineLevel="0" collapsed="false">
      <c r="A331" s="9" t="s">
        <v>2951</v>
      </c>
      <c r="B331" s="10" t="s">
        <v>2520</v>
      </c>
      <c r="C331" s="9" t="s">
        <v>2519</v>
      </c>
      <c r="D331" s="9" t="s">
        <v>2678</v>
      </c>
      <c r="E331" s="9" t="s">
        <v>2678</v>
      </c>
    </row>
    <row r="332" customFormat="false" ht="15" hidden="false" customHeight="false" outlineLevel="0" collapsed="false">
      <c r="A332" s="9" t="s">
        <v>2951</v>
      </c>
      <c r="B332" s="10" t="s">
        <v>2522</v>
      </c>
      <c r="C332" s="9" t="s">
        <v>2521</v>
      </c>
      <c r="D332" s="9" t="s">
        <v>2678</v>
      </c>
      <c r="E332" s="9" t="s">
        <v>2678</v>
      </c>
    </row>
    <row r="333" customFormat="false" ht="15" hidden="false" customHeight="false" outlineLevel="0" collapsed="false">
      <c r="A333" s="9" t="s">
        <v>2951</v>
      </c>
      <c r="B333" s="10" t="s">
        <v>2524</v>
      </c>
      <c r="C333" s="9" t="s">
        <v>2523</v>
      </c>
      <c r="D333" s="9" t="s">
        <v>2678</v>
      </c>
      <c r="E333" s="9" t="s">
        <v>2678</v>
      </c>
    </row>
    <row r="334" customFormat="false" ht="15" hidden="false" customHeight="false" outlineLevel="0" collapsed="false">
      <c r="A334" s="9" t="s">
        <v>2951</v>
      </c>
      <c r="B334" s="10" t="s">
        <v>2526</v>
      </c>
      <c r="C334" s="9" t="s">
        <v>2525</v>
      </c>
      <c r="D334" s="9" t="s">
        <v>2678</v>
      </c>
      <c r="E334" s="9" t="s">
        <v>2678</v>
      </c>
    </row>
    <row r="335" customFormat="false" ht="15" hidden="false" customHeight="false" outlineLevel="0" collapsed="false">
      <c r="A335" s="9" t="s">
        <v>2951</v>
      </c>
      <c r="B335" s="10" t="s">
        <v>2528</v>
      </c>
      <c r="C335" s="9" t="s">
        <v>2527</v>
      </c>
      <c r="D335" s="9" t="s">
        <v>2678</v>
      </c>
      <c r="E335" s="9" t="s">
        <v>2977</v>
      </c>
    </row>
    <row r="336" customFormat="false" ht="15" hidden="false" customHeight="false" outlineLevel="0" collapsed="false">
      <c r="A336" s="9" t="s">
        <v>2951</v>
      </c>
      <c r="B336" s="10" t="s">
        <v>2530</v>
      </c>
      <c r="C336" s="9" t="s">
        <v>2529</v>
      </c>
      <c r="D336" s="9" t="s">
        <v>2678</v>
      </c>
      <c r="E336" s="9" t="s">
        <v>2977</v>
      </c>
    </row>
    <row r="337" customFormat="false" ht="15" hidden="false" customHeight="false" outlineLevel="0" collapsed="false">
      <c r="A337" s="9" t="s">
        <v>2951</v>
      </c>
      <c r="B337" s="10" t="s">
        <v>2532</v>
      </c>
      <c r="C337" s="9" t="s">
        <v>2531</v>
      </c>
      <c r="D337" s="9" t="s">
        <v>2678</v>
      </c>
      <c r="E337" s="9" t="s">
        <v>2678</v>
      </c>
    </row>
    <row r="338" customFormat="false" ht="15" hidden="false" customHeight="false" outlineLevel="0" collapsed="false">
      <c r="A338" s="9" t="s">
        <v>2951</v>
      </c>
      <c r="B338" s="10" t="s">
        <v>2534</v>
      </c>
      <c r="C338" s="9" t="s">
        <v>2533</v>
      </c>
      <c r="D338" s="9" t="s">
        <v>2678</v>
      </c>
      <c r="E338" s="9" t="s">
        <v>2678</v>
      </c>
    </row>
    <row r="339" customFormat="false" ht="15" hidden="false" customHeight="false" outlineLevel="0" collapsed="false">
      <c r="A339" s="9" t="s">
        <v>2951</v>
      </c>
      <c r="B339" s="10" t="s">
        <v>2536</v>
      </c>
      <c r="C339" s="9" t="s">
        <v>2535</v>
      </c>
      <c r="D339" s="9" t="s">
        <v>2678</v>
      </c>
      <c r="E339" s="9" t="s">
        <v>2678</v>
      </c>
    </row>
    <row r="340" customFormat="false" ht="15" hidden="false" customHeight="false" outlineLevel="0" collapsed="false">
      <c r="A340" s="9" t="s">
        <v>2951</v>
      </c>
      <c r="B340" s="10" t="s">
        <v>2538</v>
      </c>
      <c r="C340" s="9" t="s">
        <v>2537</v>
      </c>
      <c r="D340" s="9" t="s">
        <v>2678</v>
      </c>
      <c r="E340" s="9" t="s">
        <v>2678</v>
      </c>
    </row>
    <row r="341" customFormat="false" ht="15" hidden="false" customHeight="false" outlineLevel="0" collapsed="false">
      <c r="A341" s="9" t="s">
        <v>2951</v>
      </c>
      <c r="B341" s="10" t="s">
        <v>2540</v>
      </c>
      <c r="C341" s="9" t="s">
        <v>2539</v>
      </c>
      <c r="D341" s="9" t="s">
        <v>2678</v>
      </c>
      <c r="E341" s="9" t="s">
        <v>2678</v>
      </c>
    </row>
    <row r="342" customFormat="false" ht="15" hidden="false" customHeight="false" outlineLevel="0" collapsed="false">
      <c r="A342" s="9" t="s">
        <v>2951</v>
      </c>
      <c r="B342" s="10" t="s">
        <v>2542</v>
      </c>
      <c r="C342" s="9" t="s">
        <v>2541</v>
      </c>
      <c r="D342" s="9" t="s">
        <v>2678</v>
      </c>
      <c r="E342" s="9" t="s">
        <v>2678</v>
      </c>
    </row>
    <row r="343" customFormat="false" ht="15" hidden="false" customHeight="false" outlineLevel="0" collapsed="false">
      <c r="A343" s="9" t="s">
        <v>2951</v>
      </c>
      <c r="B343" s="10" t="s">
        <v>2544</v>
      </c>
      <c r="C343" s="9" t="s">
        <v>2543</v>
      </c>
      <c r="D343" s="9" t="s">
        <v>2678</v>
      </c>
      <c r="E343" s="9" t="s">
        <v>2678</v>
      </c>
    </row>
    <row r="344" customFormat="false" ht="15" hidden="false" customHeight="false" outlineLevel="0" collapsed="false">
      <c r="A344" s="9" t="s">
        <v>2951</v>
      </c>
      <c r="B344" s="10" t="s">
        <v>2546</v>
      </c>
      <c r="C344" s="9" t="s">
        <v>2545</v>
      </c>
      <c r="D344" s="9" t="s">
        <v>2678</v>
      </c>
      <c r="E344" s="9" t="s">
        <v>2678</v>
      </c>
    </row>
    <row r="345" customFormat="false" ht="15" hidden="false" customHeight="false" outlineLevel="0" collapsed="false">
      <c r="A345" s="9" t="s">
        <v>2951</v>
      </c>
      <c r="B345" s="10" t="s">
        <v>2548</v>
      </c>
      <c r="C345" s="9" t="s">
        <v>2547</v>
      </c>
      <c r="D345" s="9" t="s">
        <v>2678</v>
      </c>
      <c r="E345" s="9" t="s">
        <v>2678</v>
      </c>
    </row>
    <row r="346" customFormat="false" ht="15" hidden="false" customHeight="false" outlineLevel="0" collapsed="false">
      <c r="A346" s="9" t="s">
        <v>2951</v>
      </c>
      <c r="B346" s="10" t="s">
        <v>2550</v>
      </c>
      <c r="C346" s="9" t="s">
        <v>2549</v>
      </c>
      <c r="D346" s="9" t="s">
        <v>2678</v>
      </c>
      <c r="E346" s="9" t="s">
        <v>2678</v>
      </c>
    </row>
    <row r="347" customFormat="false" ht="15" hidden="false" customHeight="false" outlineLevel="0" collapsed="false">
      <c r="A347" s="9" t="s">
        <v>2951</v>
      </c>
      <c r="B347" s="10" t="s">
        <v>2978</v>
      </c>
      <c r="C347" s="9" t="s">
        <v>2276</v>
      </c>
      <c r="D347" s="9" t="s">
        <v>2678</v>
      </c>
      <c r="E347" s="9" t="s">
        <v>2678</v>
      </c>
    </row>
    <row r="348" customFormat="false" ht="15" hidden="false" customHeight="false" outlineLevel="0" collapsed="false">
      <c r="A348" s="9" t="s">
        <v>2951</v>
      </c>
      <c r="B348" s="10" t="s">
        <v>2979</v>
      </c>
      <c r="C348" s="9" t="s">
        <v>2980</v>
      </c>
      <c r="D348" s="9" t="s">
        <v>2678</v>
      </c>
      <c r="E348" s="9" t="s">
        <v>2678</v>
      </c>
    </row>
    <row r="349" customFormat="false" ht="15" hidden="false" customHeight="false" outlineLevel="0" collapsed="false">
      <c r="A349" s="9" t="s">
        <v>2951</v>
      </c>
      <c r="B349" s="10" t="s">
        <v>2981</v>
      </c>
      <c r="C349" s="9" t="s">
        <v>2314</v>
      </c>
      <c r="D349" s="9" t="s">
        <v>2678</v>
      </c>
      <c r="E349" s="9" t="s">
        <v>2678</v>
      </c>
    </row>
    <row r="350" customFormat="false" ht="15" hidden="false" customHeight="false" outlineLevel="0" collapsed="false">
      <c r="A350" s="9" t="s">
        <v>2951</v>
      </c>
      <c r="B350" s="10" t="s">
        <v>2982</v>
      </c>
      <c r="C350" s="9" t="s">
        <v>2341</v>
      </c>
      <c r="D350" s="9" t="s">
        <v>2678</v>
      </c>
      <c r="E350" s="9" t="s">
        <v>2678</v>
      </c>
    </row>
    <row r="351" customFormat="false" ht="15" hidden="false" customHeight="false" outlineLevel="0" collapsed="false">
      <c r="A351" s="9" t="s">
        <v>2951</v>
      </c>
      <c r="B351" s="10" t="s">
        <v>2983</v>
      </c>
      <c r="C351" s="9" t="s">
        <v>2984</v>
      </c>
      <c r="D351" s="9" t="s">
        <v>2678</v>
      </c>
      <c r="E351" s="9" t="s">
        <v>2678</v>
      </c>
    </row>
    <row r="352" customFormat="false" ht="15" hidden="false" customHeight="false" outlineLevel="0" collapsed="false">
      <c r="A352" s="9" t="s">
        <v>2951</v>
      </c>
      <c r="B352" s="10" t="s">
        <v>2985</v>
      </c>
      <c r="C352" s="9" t="s">
        <v>2986</v>
      </c>
      <c r="D352" s="9" t="s">
        <v>2678</v>
      </c>
      <c r="E352" s="9" t="s">
        <v>2678</v>
      </c>
    </row>
    <row r="353" customFormat="false" ht="15" hidden="false" customHeight="false" outlineLevel="0" collapsed="false">
      <c r="A353" s="9" t="s">
        <v>2951</v>
      </c>
      <c r="B353" s="10" t="s">
        <v>2987</v>
      </c>
      <c r="C353" s="9" t="s">
        <v>2988</v>
      </c>
      <c r="D353" s="9" t="s">
        <v>2678</v>
      </c>
      <c r="E353" s="9" t="s">
        <v>2678</v>
      </c>
    </row>
    <row r="354" customFormat="false" ht="15" hidden="false" customHeight="false" outlineLevel="0" collapsed="false">
      <c r="A354" s="9" t="s">
        <v>2951</v>
      </c>
      <c r="B354" s="10" t="s">
        <v>2989</v>
      </c>
      <c r="C354" s="9" t="s">
        <v>2990</v>
      </c>
      <c r="D354" s="9" t="s">
        <v>2678</v>
      </c>
      <c r="E354" s="9" t="s">
        <v>2678</v>
      </c>
    </row>
    <row r="355" customFormat="false" ht="15" hidden="false" customHeight="false" outlineLevel="0" collapsed="false">
      <c r="A355" s="9" t="s">
        <v>2951</v>
      </c>
      <c r="B355" s="10" t="s">
        <v>2991</v>
      </c>
      <c r="C355" s="9" t="s">
        <v>2992</v>
      </c>
      <c r="D355" s="9" t="s">
        <v>2678</v>
      </c>
      <c r="E355" s="9" t="s">
        <v>2678</v>
      </c>
    </row>
    <row r="356" customFormat="false" ht="15" hidden="false" customHeight="false" outlineLevel="0" collapsed="false">
      <c r="A356" s="9" t="s">
        <v>2951</v>
      </c>
      <c r="B356" s="10" t="s">
        <v>2993</v>
      </c>
      <c r="C356" s="9" t="s">
        <v>2994</v>
      </c>
      <c r="D356" s="9" t="s">
        <v>2678</v>
      </c>
      <c r="E356" s="9" t="s">
        <v>2678</v>
      </c>
    </row>
    <row r="357" customFormat="false" ht="15" hidden="false" customHeight="false" outlineLevel="0" collapsed="false">
      <c r="A357" s="9" t="s">
        <v>2951</v>
      </c>
      <c r="B357" s="10" t="s">
        <v>2995</v>
      </c>
      <c r="C357" s="9" t="s">
        <v>2996</v>
      </c>
      <c r="D357" s="9" t="s">
        <v>2678</v>
      </c>
      <c r="E357" s="9" t="s">
        <v>2678</v>
      </c>
    </row>
    <row r="358" customFormat="false" ht="15" hidden="false" customHeight="false" outlineLevel="0" collapsed="false">
      <c r="A358" s="9" t="s">
        <v>2951</v>
      </c>
      <c r="B358" s="10" t="s">
        <v>2997</v>
      </c>
      <c r="C358" s="9" t="s">
        <v>2998</v>
      </c>
      <c r="D358" s="9" t="s">
        <v>2678</v>
      </c>
      <c r="E358" s="9" t="s">
        <v>2678</v>
      </c>
    </row>
    <row r="359" customFormat="false" ht="15" hidden="false" customHeight="false" outlineLevel="0" collapsed="false">
      <c r="A359" s="9" t="s">
        <v>2951</v>
      </c>
      <c r="B359" s="10" t="s">
        <v>2999</v>
      </c>
      <c r="C359" s="9" t="s">
        <v>3000</v>
      </c>
      <c r="D359" s="9" t="s">
        <v>2678</v>
      </c>
      <c r="E359" s="9" t="s">
        <v>2678</v>
      </c>
    </row>
    <row r="360" customFormat="false" ht="15" hidden="false" customHeight="false" outlineLevel="0" collapsed="false">
      <c r="A360" s="9" t="s">
        <v>2951</v>
      </c>
      <c r="B360" s="10" t="s">
        <v>3001</v>
      </c>
      <c r="C360" s="9" t="s">
        <v>3002</v>
      </c>
      <c r="D360" s="9" t="s">
        <v>2678</v>
      </c>
      <c r="E360" s="9" t="s">
        <v>2678</v>
      </c>
    </row>
    <row r="361" customFormat="false" ht="15" hidden="false" customHeight="false" outlineLevel="0" collapsed="false">
      <c r="A361" s="9" t="s">
        <v>2951</v>
      </c>
      <c r="B361" s="10" t="s">
        <v>3003</v>
      </c>
      <c r="C361" s="9" t="s">
        <v>3004</v>
      </c>
      <c r="D361" s="9" t="s">
        <v>2678</v>
      </c>
      <c r="E361" s="9" t="s">
        <v>2678</v>
      </c>
    </row>
    <row r="362" customFormat="false" ht="15" hidden="false" customHeight="false" outlineLevel="0" collapsed="false">
      <c r="A362" s="9" t="s">
        <v>2951</v>
      </c>
      <c r="B362" s="10" t="s">
        <v>3005</v>
      </c>
      <c r="C362" s="9" t="s">
        <v>2364</v>
      </c>
      <c r="D362" s="9" t="s">
        <v>2678</v>
      </c>
      <c r="E362" s="9" t="s">
        <v>2678</v>
      </c>
    </row>
    <row r="363" customFormat="false" ht="15" hidden="false" customHeight="false" outlineLevel="0" collapsed="false">
      <c r="A363" s="9" t="s">
        <v>2951</v>
      </c>
      <c r="B363" s="10" t="s">
        <v>3006</v>
      </c>
      <c r="C363" s="9" t="s">
        <v>3007</v>
      </c>
      <c r="D363" s="9" t="s">
        <v>2678</v>
      </c>
      <c r="E363" s="9" t="s">
        <v>2678</v>
      </c>
    </row>
    <row r="364" customFormat="false" ht="15" hidden="false" customHeight="false" outlineLevel="0" collapsed="false">
      <c r="A364" s="9" t="s">
        <v>2951</v>
      </c>
      <c r="B364" s="10" t="s">
        <v>3008</v>
      </c>
      <c r="C364" s="9" t="s">
        <v>2370</v>
      </c>
      <c r="D364" s="9" t="s">
        <v>2678</v>
      </c>
      <c r="E364" s="9" t="s">
        <v>2678</v>
      </c>
    </row>
    <row r="365" customFormat="false" ht="15" hidden="false" customHeight="false" outlineLevel="0" collapsed="false">
      <c r="A365" s="9" t="s">
        <v>2951</v>
      </c>
      <c r="B365" s="10" t="s">
        <v>3009</v>
      </c>
      <c r="C365" s="9" t="s">
        <v>3010</v>
      </c>
      <c r="D365" s="9" t="s">
        <v>2678</v>
      </c>
      <c r="E365" s="9" t="s">
        <v>2678</v>
      </c>
    </row>
    <row r="366" customFormat="false" ht="15" hidden="false" customHeight="false" outlineLevel="0" collapsed="false">
      <c r="A366" s="9" t="s">
        <v>2951</v>
      </c>
      <c r="B366" s="10" t="s">
        <v>2419</v>
      </c>
      <c r="C366" s="9" t="s">
        <v>2418</v>
      </c>
      <c r="D366" s="9" t="s">
        <v>2678</v>
      </c>
      <c r="E366" s="9" t="s">
        <v>2678</v>
      </c>
    </row>
    <row r="367" customFormat="false" ht="15" hidden="false" customHeight="false" outlineLevel="0" collapsed="false">
      <c r="A367" s="9" t="s">
        <v>2951</v>
      </c>
      <c r="B367" s="10" t="s">
        <v>2421</v>
      </c>
      <c r="C367" s="9" t="s">
        <v>3011</v>
      </c>
      <c r="D367" s="9" t="s">
        <v>2678</v>
      </c>
      <c r="E367" s="9" t="s">
        <v>2678</v>
      </c>
    </row>
    <row r="368" customFormat="false" ht="15" hidden="false" customHeight="false" outlineLevel="0" collapsed="false">
      <c r="A368" s="9" t="s">
        <v>2951</v>
      </c>
      <c r="B368" s="10" t="s">
        <v>2423</v>
      </c>
      <c r="C368" s="9" t="s">
        <v>2422</v>
      </c>
      <c r="D368" s="9" t="s">
        <v>2678</v>
      </c>
      <c r="E368" s="9" t="s">
        <v>2678</v>
      </c>
    </row>
    <row r="369" customFormat="false" ht="15" hidden="false" customHeight="false" outlineLevel="0" collapsed="false">
      <c r="A369" s="9" t="s">
        <v>2951</v>
      </c>
      <c r="B369" s="10" t="s">
        <v>2425</v>
      </c>
      <c r="C369" s="9" t="s">
        <v>2424</v>
      </c>
      <c r="D369" s="9" t="s">
        <v>2678</v>
      </c>
      <c r="E369" s="9" t="s">
        <v>2678</v>
      </c>
    </row>
    <row r="370" customFormat="false" ht="15" hidden="false" customHeight="false" outlineLevel="0" collapsed="false">
      <c r="A370" s="9" t="s">
        <v>2951</v>
      </c>
      <c r="B370" s="10" t="s">
        <v>2427</v>
      </c>
      <c r="C370" s="9" t="s">
        <v>2426</v>
      </c>
      <c r="D370" s="9" t="s">
        <v>2678</v>
      </c>
      <c r="E370" s="9" t="s">
        <v>2678</v>
      </c>
    </row>
    <row r="371" customFormat="false" ht="15" hidden="false" customHeight="false" outlineLevel="0" collapsed="false">
      <c r="A371" s="9" t="s">
        <v>2951</v>
      </c>
      <c r="B371" s="10" t="s">
        <v>3012</v>
      </c>
      <c r="C371" s="9" t="s">
        <v>3013</v>
      </c>
      <c r="D371" s="9" t="s">
        <v>2678</v>
      </c>
      <c r="E371" s="9" t="s">
        <v>2678</v>
      </c>
    </row>
    <row r="372" customFormat="false" ht="15" hidden="false" customHeight="false" outlineLevel="0" collapsed="false">
      <c r="A372" s="9" t="s">
        <v>2951</v>
      </c>
      <c r="B372" s="10" t="s">
        <v>3014</v>
      </c>
      <c r="C372" s="9" t="s">
        <v>3015</v>
      </c>
      <c r="D372" s="9" t="s">
        <v>2678</v>
      </c>
      <c r="E372" s="9" t="s">
        <v>2678</v>
      </c>
    </row>
    <row r="373" customFormat="false" ht="15" hidden="false" customHeight="false" outlineLevel="0" collapsed="false">
      <c r="A373" s="9" t="s">
        <v>2951</v>
      </c>
      <c r="B373" s="10" t="s">
        <v>3016</v>
      </c>
      <c r="C373" s="9" t="s">
        <v>3017</v>
      </c>
      <c r="D373" s="9" t="s">
        <v>2678</v>
      </c>
      <c r="E373" s="9" t="s">
        <v>2678</v>
      </c>
    </row>
    <row r="374" customFormat="false" ht="15" hidden="false" customHeight="false" outlineLevel="0" collapsed="false">
      <c r="A374" s="9" t="s">
        <v>2951</v>
      </c>
      <c r="B374" s="10" t="s">
        <v>3018</v>
      </c>
      <c r="C374" s="9" t="s">
        <v>3019</v>
      </c>
      <c r="D374" s="9" t="s">
        <v>2678</v>
      </c>
      <c r="E374" s="9" t="s">
        <v>2678</v>
      </c>
    </row>
    <row r="375" customFormat="false" ht="15" hidden="false" customHeight="false" outlineLevel="0" collapsed="false">
      <c r="A375" s="9" t="s">
        <v>2951</v>
      </c>
      <c r="B375" s="10" t="s">
        <v>3020</v>
      </c>
      <c r="C375" s="9" t="s">
        <v>3021</v>
      </c>
      <c r="D375" s="9" t="s">
        <v>2678</v>
      </c>
      <c r="E375" s="9" t="s">
        <v>2678</v>
      </c>
    </row>
    <row r="376" customFormat="false" ht="15" hidden="false" customHeight="false" outlineLevel="0" collapsed="false">
      <c r="A376" s="9" t="s">
        <v>2951</v>
      </c>
      <c r="B376" s="10" t="s">
        <v>3022</v>
      </c>
      <c r="C376" s="9" t="s">
        <v>3023</v>
      </c>
      <c r="D376" s="9" t="s">
        <v>2678</v>
      </c>
      <c r="E376" s="9" t="s">
        <v>2678</v>
      </c>
    </row>
    <row r="377" customFormat="false" ht="26.85" hidden="false" customHeight="false" outlineLevel="0" collapsed="false">
      <c r="A377" s="9" t="s">
        <v>2951</v>
      </c>
      <c r="B377" s="10" t="s">
        <v>2817</v>
      </c>
      <c r="C377" s="9" t="s">
        <v>3024</v>
      </c>
      <c r="D377" s="9" t="s">
        <v>3025</v>
      </c>
      <c r="E377" s="9" t="s">
        <v>3025</v>
      </c>
    </row>
    <row r="378" customFormat="false" ht="15" hidden="false" customHeight="false" outlineLevel="0" collapsed="false">
      <c r="A378" s="9" t="s">
        <v>2951</v>
      </c>
      <c r="B378" s="10" t="s">
        <v>2849</v>
      </c>
      <c r="C378" s="9" t="s">
        <v>3026</v>
      </c>
      <c r="D378" s="9" t="s">
        <v>3025</v>
      </c>
      <c r="E378" s="9" t="s">
        <v>3025</v>
      </c>
    </row>
    <row r="379" customFormat="false" ht="15" hidden="false" customHeight="false" outlineLevel="0" collapsed="false">
      <c r="A379" s="9" t="s">
        <v>2951</v>
      </c>
      <c r="B379" s="10" t="s">
        <v>3027</v>
      </c>
      <c r="C379" s="9" t="s">
        <v>3028</v>
      </c>
      <c r="D379" s="9" t="s">
        <v>3025</v>
      </c>
      <c r="E379" s="9" t="s">
        <v>3025</v>
      </c>
    </row>
    <row r="380" customFormat="false" ht="15" hidden="false" customHeight="false" outlineLevel="0" collapsed="false">
      <c r="A380" s="9" t="s">
        <v>2951</v>
      </c>
      <c r="B380" s="10" t="s">
        <v>3029</v>
      </c>
      <c r="C380" s="9" t="s">
        <v>3030</v>
      </c>
      <c r="D380" s="9" t="s">
        <v>3025</v>
      </c>
      <c r="E380" s="9" t="s">
        <v>3025</v>
      </c>
    </row>
    <row r="381" customFormat="false" ht="15" hidden="false" customHeight="false" outlineLevel="0" collapsed="false">
      <c r="A381" s="9" t="s">
        <v>2951</v>
      </c>
      <c r="B381" s="10" t="s">
        <v>3031</v>
      </c>
      <c r="C381" s="9" t="s">
        <v>3032</v>
      </c>
      <c r="D381" s="9" t="s">
        <v>3025</v>
      </c>
      <c r="E381" s="9" t="s">
        <v>3025</v>
      </c>
    </row>
    <row r="382" customFormat="false" ht="15" hidden="false" customHeight="false" outlineLevel="0" collapsed="false">
      <c r="A382" s="9" t="s">
        <v>2951</v>
      </c>
      <c r="B382" s="10" t="s">
        <v>2833</v>
      </c>
      <c r="C382" s="9" t="s">
        <v>3033</v>
      </c>
      <c r="D382" s="9" t="s">
        <v>3025</v>
      </c>
      <c r="E382" s="9" t="s">
        <v>3025</v>
      </c>
    </row>
    <row r="383" customFormat="false" ht="26.85" hidden="false" customHeight="false" outlineLevel="0" collapsed="false">
      <c r="A383" s="9" t="s">
        <v>2951</v>
      </c>
      <c r="B383" s="10" t="s">
        <v>2807</v>
      </c>
      <c r="C383" s="9" t="s">
        <v>3034</v>
      </c>
      <c r="D383" s="9" t="s">
        <v>3025</v>
      </c>
      <c r="E383" s="9" t="s">
        <v>3025</v>
      </c>
    </row>
    <row r="384" customFormat="false" ht="26.85" hidden="false" customHeight="false" outlineLevel="0" collapsed="false">
      <c r="A384" s="9" t="s">
        <v>2951</v>
      </c>
      <c r="B384" s="10" t="s">
        <v>2813</v>
      </c>
      <c r="C384" s="9" t="s">
        <v>3035</v>
      </c>
      <c r="D384" s="9" t="s">
        <v>3025</v>
      </c>
      <c r="E384" s="9" t="s">
        <v>3025</v>
      </c>
    </row>
    <row r="385" customFormat="false" ht="15" hidden="false" customHeight="false" outlineLevel="0" collapsed="false">
      <c r="A385" s="9" t="s">
        <v>2438</v>
      </c>
      <c r="B385" s="10" t="s">
        <v>2440</v>
      </c>
      <c r="C385" s="9" t="s">
        <v>2439</v>
      </c>
      <c r="D385" s="9" t="s">
        <v>2678</v>
      </c>
      <c r="E385" s="9" t="s">
        <v>2678</v>
      </c>
    </row>
    <row r="386" customFormat="false" ht="15" hidden="false" customHeight="false" outlineLevel="0" collapsed="false">
      <c r="A386" s="9" t="s">
        <v>2438</v>
      </c>
      <c r="B386" s="10" t="s">
        <v>2442</v>
      </c>
      <c r="C386" s="9" t="s">
        <v>2441</v>
      </c>
      <c r="D386" s="9" t="s">
        <v>2678</v>
      </c>
      <c r="E386" s="9" t="s">
        <v>2678</v>
      </c>
    </row>
    <row r="387" customFormat="false" ht="15" hidden="false" customHeight="false" outlineLevel="0" collapsed="false">
      <c r="A387" s="9" t="s">
        <v>2438</v>
      </c>
      <c r="B387" s="10" t="s">
        <v>2444</v>
      </c>
      <c r="C387" s="9" t="s">
        <v>2443</v>
      </c>
      <c r="D387" s="9" t="s">
        <v>2678</v>
      </c>
      <c r="E387" s="9" t="s">
        <v>2678</v>
      </c>
    </row>
    <row r="388" customFormat="false" ht="15" hidden="false" customHeight="false" outlineLevel="0" collapsed="false">
      <c r="A388" s="9" t="s">
        <v>2438</v>
      </c>
      <c r="B388" s="10" t="s">
        <v>2446</v>
      </c>
      <c r="C388" s="9" t="s">
        <v>2445</v>
      </c>
      <c r="D388" s="9" t="s">
        <v>2678</v>
      </c>
      <c r="E388" s="9" t="s">
        <v>2678</v>
      </c>
    </row>
    <row r="389" customFormat="false" ht="15" hidden="false" customHeight="false" outlineLevel="0" collapsed="false">
      <c r="A389" s="9" t="s">
        <v>2438</v>
      </c>
      <c r="B389" s="10" t="s">
        <v>2448</v>
      </c>
      <c r="C389" s="9" t="s">
        <v>2447</v>
      </c>
      <c r="D389" s="9" t="s">
        <v>2678</v>
      </c>
      <c r="E389" s="9" t="s">
        <v>2678</v>
      </c>
    </row>
    <row r="390" customFormat="false" ht="15" hidden="false" customHeight="false" outlineLevel="0" collapsed="false">
      <c r="A390" s="9" t="s">
        <v>2326</v>
      </c>
      <c r="B390" s="10" t="s">
        <v>2328</v>
      </c>
      <c r="C390" s="9" t="s">
        <v>2327</v>
      </c>
      <c r="D390" s="9" t="s">
        <v>2678</v>
      </c>
      <c r="E390" s="9" t="s">
        <v>2678</v>
      </c>
    </row>
    <row r="391" customFormat="false" ht="15" hidden="false" customHeight="false" outlineLevel="0" collapsed="false">
      <c r="A391" s="9" t="s">
        <v>2630</v>
      </c>
      <c r="B391" s="10" t="s">
        <v>2632</v>
      </c>
      <c r="C391" s="9" t="s">
        <v>2631</v>
      </c>
      <c r="D391" s="9" t="s">
        <v>2678</v>
      </c>
      <c r="E391" s="9" t="s">
        <v>2678</v>
      </c>
    </row>
    <row r="392" customFormat="false" ht="15" hidden="false" customHeight="false" outlineLevel="0" collapsed="false">
      <c r="A392" s="9" t="s">
        <v>2630</v>
      </c>
      <c r="B392" s="10" t="s">
        <v>2634</v>
      </c>
      <c r="C392" s="9" t="s">
        <v>2633</v>
      </c>
      <c r="D392" s="9" t="s">
        <v>2678</v>
      </c>
      <c r="E392" s="9" t="s">
        <v>2678</v>
      </c>
    </row>
    <row r="393" customFormat="false" ht="15" hidden="false" customHeight="false" outlineLevel="0" collapsed="false">
      <c r="A393" s="9" t="s">
        <v>2630</v>
      </c>
      <c r="B393" s="10" t="s">
        <v>2636</v>
      </c>
      <c r="C393" s="9" t="s">
        <v>3036</v>
      </c>
      <c r="D393" s="9" t="s">
        <v>2678</v>
      </c>
      <c r="E393" s="9" t="s">
        <v>2678</v>
      </c>
    </row>
    <row r="394" customFormat="false" ht="15" hidden="false" customHeight="false" outlineLevel="0" collapsed="false">
      <c r="A394" s="9" t="s">
        <v>2630</v>
      </c>
      <c r="B394" s="10" t="s">
        <v>2638</v>
      </c>
      <c r="C394" s="9" t="s">
        <v>2637</v>
      </c>
      <c r="D394" s="9" t="s">
        <v>2678</v>
      </c>
      <c r="E394" s="9" t="s">
        <v>2678</v>
      </c>
    </row>
    <row r="395" customFormat="false" ht="15" hidden="false" customHeight="false" outlineLevel="0" collapsed="false">
      <c r="A395" s="9" t="s">
        <v>2662</v>
      </c>
      <c r="B395" s="10" t="s">
        <v>2664</v>
      </c>
      <c r="C395" s="9" t="s">
        <v>3037</v>
      </c>
      <c r="D395" s="9" t="s">
        <v>2678</v>
      </c>
      <c r="E395" s="9" t="s">
        <v>2678</v>
      </c>
    </row>
    <row r="396" customFormat="false" ht="15" hidden="false" customHeight="false" outlineLevel="0" collapsed="false">
      <c r="A396" s="9" t="s">
        <v>2665</v>
      </c>
      <c r="B396" s="10" t="s">
        <v>2667</v>
      </c>
      <c r="C396" s="9" t="s">
        <v>3038</v>
      </c>
      <c r="D396" s="9" t="s">
        <v>2678</v>
      </c>
      <c r="E396" s="9" t="s">
        <v>2678</v>
      </c>
    </row>
    <row r="397" customFormat="false" ht="15" hidden="false" customHeight="false" outlineLevel="0" collapsed="false">
      <c r="A397" s="9" t="s">
        <v>2665</v>
      </c>
      <c r="B397" s="10" t="s">
        <v>2669</v>
      </c>
      <c r="C397" s="9" t="s">
        <v>2668</v>
      </c>
      <c r="D397" s="9" t="s">
        <v>2678</v>
      </c>
      <c r="E397" s="9" t="s">
        <v>2678</v>
      </c>
    </row>
    <row r="398" customFormat="false" ht="15" hidden="false" customHeight="false" outlineLevel="0" collapsed="false">
      <c r="A398" s="9" t="s">
        <v>2665</v>
      </c>
      <c r="B398" s="10" t="s">
        <v>2671</v>
      </c>
      <c r="C398" s="9" t="s">
        <v>2670</v>
      </c>
      <c r="D398" s="9" t="s">
        <v>2678</v>
      </c>
      <c r="E398" s="9" t="s">
        <v>2678</v>
      </c>
    </row>
    <row r="399" customFormat="false" ht="15" hidden="false" customHeight="false" outlineLevel="0" collapsed="false">
      <c r="A399" s="9" t="s">
        <v>3039</v>
      </c>
      <c r="B399" s="10" t="s">
        <v>2555</v>
      </c>
      <c r="C399" s="9" t="s">
        <v>2554</v>
      </c>
      <c r="D399" s="9" t="s">
        <v>2678</v>
      </c>
      <c r="E399" s="9" t="s">
        <v>2678</v>
      </c>
    </row>
    <row r="400" customFormat="false" ht="15" hidden="false" customHeight="false" outlineLevel="0" collapsed="false">
      <c r="A400" s="9" t="s">
        <v>3039</v>
      </c>
      <c r="B400" s="10" t="s">
        <v>2557</v>
      </c>
      <c r="C400" s="9" t="s">
        <v>2556</v>
      </c>
      <c r="D400" s="9" t="s">
        <v>2678</v>
      </c>
      <c r="E400" s="9" t="s">
        <v>2678</v>
      </c>
    </row>
    <row r="401" customFormat="false" ht="15" hidden="false" customHeight="false" outlineLevel="0" collapsed="false">
      <c r="A401" s="9" t="s">
        <v>3039</v>
      </c>
      <c r="B401" s="10" t="s">
        <v>2559</v>
      </c>
      <c r="C401" s="9" t="s">
        <v>2558</v>
      </c>
      <c r="D401" s="9" t="s">
        <v>2678</v>
      </c>
      <c r="E401" s="9" t="s">
        <v>2678</v>
      </c>
    </row>
    <row r="402" customFormat="false" ht="15" hidden="false" customHeight="false" outlineLevel="0" collapsed="false">
      <c r="A402" s="9" t="s">
        <v>3039</v>
      </c>
      <c r="B402" s="10" t="s">
        <v>2561</v>
      </c>
      <c r="C402" s="9" t="s">
        <v>3040</v>
      </c>
      <c r="D402" s="9" t="s">
        <v>2678</v>
      </c>
      <c r="E402" s="9" t="s">
        <v>2678</v>
      </c>
    </row>
    <row r="403" customFormat="false" ht="15" hidden="false" customHeight="false" outlineLevel="0" collapsed="false">
      <c r="A403" s="9" t="s">
        <v>3039</v>
      </c>
      <c r="B403" s="10" t="s">
        <v>2563</v>
      </c>
      <c r="C403" s="9" t="s">
        <v>3041</v>
      </c>
      <c r="D403" s="9" t="s">
        <v>2678</v>
      </c>
      <c r="E403" s="9" t="s">
        <v>2678</v>
      </c>
    </row>
    <row r="404" customFormat="false" ht="15" hidden="false" customHeight="false" outlineLevel="0" collapsed="false">
      <c r="A404" s="9" t="s">
        <v>3039</v>
      </c>
      <c r="B404" s="10" t="s">
        <v>2565</v>
      </c>
      <c r="C404" s="9" t="s">
        <v>3042</v>
      </c>
      <c r="D404" s="9" t="s">
        <v>2678</v>
      </c>
      <c r="E404" s="9" t="s">
        <v>2678</v>
      </c>
    </row>
    <row r="405" customFormat="false" ht="15" hidden="false" customHeight="false" outlineLevel="0" collapsed="false">
      <c r="A405" s="9" t="s">
        <v>3039</v>
      </c>
      <c r="B405" s="10" t="s">
        <v>2567</v>
      </c>
      <c r="C405" s="9" t="s">
        <v>3043</v>
      </c>
      <c r="D405" s="9" t="s">
        <v>2678</v>
      </c>
      <c r="E405" s="9" t="s">
        <v>2678</v>
      </c>
    </row>
    <row r="406" customFormat="false" ht="15" hidden="false" customHeight="false" outlineLevel="0" collapsed="false">
      <c r="A406" s="9" t="s">
        <v>3039</v>
      </c>
      <c r="B406" s="10" t="s">
        <v>2569</v>
      </c>
      <c r="C406" s="9" t="s">
        <v>3044</v>
      </c>
      <c r="D406" s="9" t="s">
        <v>2678</v>
      </c>
      <c r="E406" s="9" t="s">
        <v>2678</v>
      </c>
    </row>
    <row r="407" customFormat="false" ht="15" hidden="false" customHeight="false" outlineLevel="0" collapsed="false">
      <c r="A407" s="9" t="s">
        <v>3039</v>
      </c>
      <c r="B407" s="10" t="s">
        <v>2571</v>
      </c>
      <c r="C407" s="9" t="s">
        <v>2570</v>
      </c>
      <c r="D407" s="9" t="s">
        <v>2678</v>
      </c>
      <c r="E407" s="9" t="s">
        <v>2678</v>
      </c>
    </row>
    <row r="408" customFormat="false" ht="15" hidden="false" customHeight="false" outlineLevel="0" collapsed="false">
      <c r="A408" s="9" t="s">
        <v>3039</v>
      </c>
      <c r="B408" s="10" t="s">
        <v>2575</v>
      </c>
      <c r="C408" s="9" t="s">
        <v>2574</v>
      </c>
      <c r="D408" s="9" t="s">
        <v>2678</v>
      </c>
      <c r="E408" s="9" t="s">
        <v>2678</v>
      </c>
    </row>
    <row r="409" customFormat="false" ht="15" hidden="false" customHeight="false" outlineLevel="0" collapsed="false">
      <c r="A409" s="9" t="s">
        <v>3039</v>
      </c>
      <c r="B409" s="10" t="s">
        <v>2577</v>
      </c>
      <c r="C409" s="9" t="s">
        <v>2576</v>
      </c>
      <c r="D409" s="9" t="s">
        <v>2678</v>
      </c>
      <c r="E409" s="9" t="s">
        <v>2678</v>
      </c>
    </row>
    <row r="410" customFormat="false" ht="15" hidden="false" customHeight="false" outlineLevel="0" collapsed="false">
      <c r="A410" s="9" t="s">
        <v>3039</v>
      </c>
      <c r="B410" s="10" t="s">
        <v>2579</v>
      </c>
      <c r="C410" s="9" t="s">
        <v>2578</v>
      </c>
      <c r="D410" s="9" t="s">
        <v>2678</v>
      </c>
      <c r="E410" s="9" t="s">
        <v>2678</v>
      </c>
    </row>
    <row r="411" customFormat="false" ht="15" hidden="false" customHeight="false" outlineLevel="0" collapsed="false">
      <c r="A411" s="9" t="s">
        <v>3039</v>
      </c>
      <c r="B411" s="10" t="s">
        <v>2581</v>
      </c>
      <c r="C411" s="9" t="s">
        <v>2580</v>
      </c>
      <c r="D411" s="9" t="s">
        <v>2678</v>
      </c>
      <c r="E411" s="9" t="s">
        <v>2678</v>
      </c>
    </row>
    <row r="412" customFormat="false" ht="15" hidden="false" customHeight="false" outlineLevel="0" collapsed="false">
      <c r="A412" s="9" t="s">
        <v>3039</v>
      </c>
      <c r="B412" s="10" t="s">
        <v>2583</v>
      </c>
      <c r="C412" s="9" t="s">
        <v>2582</v>
      </c>
      <c r="D412" s="9" t="s">
        <v>2678</v>
      </c>
      <c r="E412" s="9" t="s">
        <v>2678</v>
      </c>
    </row>
    <row r="413" customFormat="false" ht="15" hidden="false" customHeight="false" outlineLevel="0" collapsed="false">
      <c r="A413" s="9" t="s">
        <v>3039</v>
      </c>
      <c r="B413" s="10" t="s">
        <v>2585</v>
      </c>
      <c r="C413" s="9" t="s">
        <v>2584</v>
      </c>
      <c r="D413" s="9" t="s">
        <v>2678</v>
      </c>
      <c r="E413" s="9" t="s">
        <v>2678</v>
      </c>
    </row>
    <row r="414" customFormat="false" ht="15" hidden="false" customHeight="false" outlineLevel="0" collapsed="false">
      <c r="A414" s="9" t="s">
        <v>3039</v>
      </c>
      <c r="B414" s="10" t="s">
        <v>2587</v>
      </c>
      <c r="C414" s="9" t="s">
        <v>2586</v>
      </c>
      <c r="D414" s="9" t="s">
        <v>2678</v>
      </c>
      <c r="E414" s="9" t="s">
        <v>2678</v>
      </c>
    </row>
    <row r="415" customFormat="false" ht="15" hidden="false" customHeight="false" outlineLevel="0" collapsed="false">
      <c r="A415" s="9" t="s">
        <v>3039</v>
      </c>
      <c r="B415" s="10" t="s">
        <v>2589</v>
      </c>
      <c r="C415" s="9" t="s">
        <v>2588</v>
      </c>
      <c r="D415" s="9" t="s">
        <v>2678</v>
      </c>
      <c r="E415" s="9" t="s">
        <v>2678</v>
      </c>
    </row>
    <row r="416" customFormat="false" ht="15" hidden="false" customHeight="false" outlineLevel="0" collapsed="false">
      <c r="A416" s="9" t="s">
        <v>3039</v>
      </c>
      <c r="B416" s="10" t="s">
        <v>2591</v>
      </c>
      <c r="C416" s="9" t="s">
        <v>2590</v>
      </c>
      <c r="D416" s="9" t="s">
        <v>2678</v>
      </c>
      <c r="E416" s="9" t="s">
        <v>2678</v>
      </c>
    </row>
    <row r="417" customFormat="false" ht="15" hidden="false" customHeight="false" outlineLevel="0" collapsed="false">
      <c r="A417" s="9" t="s">
        <v>3039</v>
      </c>
      <c r="B417" s="10" t="s">
        <v>2593</v>
      </c>
      <c r="C417" s="9" t="s">
        <v>2592</v>
      </c>
      <c r="D417" s="9" t="s">
        <v>2678</v>
      </c>
      <c r="E417" s="9" t="s">
        <v>2678</v>
      </c>
    </row>
    <row r="418" customFormat="false" ht="15" hidden="false" customHeight="false" outlineLevel="0" collapsed="false">
      <c r="A418" s="9" t="s">
        <v>3039</v>
      </c>
      <c r="B418" s="10" t="s">
        <v>2595</v>
      </c>
      <c r="C418" s="9" t="s">
        <v>2594</v>
      </c>
      <c r="D418" s="9" t="s">
        <v>2678</v>
      </c>
      <c r="E418" s="9" t="s">
        <v>2678</v>
      </c>
    </row>
    <row r="419" customFormat="false" ht="15" hidden="false" customHeight="false" outlineLevel="0" collapsed="false">
      <c r="A419" s="9" t="s">
        <v>3039</v>
      </c>
      <c r="B419" s="10" t="s">
        <v>2597</v>
      </c>
      <c r="C419" s="9" t="s">
        <v>2596</v>
      </c>
      <c r="D419" s="9" t="s">
        <v>2678</v>
      </c>
      <c r="E419" s="9" t="s">
        <v>2678</v>
      </c>
    </row>
    <row r="420" customFormat="false" ht="15" hidden="false" customHeight="false" outlineLevel="0" collapsed="false">
      <c r="A420" s="9" t="s">
        <v>3039</v>
      </c>
      <c r="B420" s="10" t="s">
        <v>2601</v>
      </c>
      <c r="C420" s="9" t="s">
        <v>3045</v>
      </c>
      <c r="D420" s="9" t="s">
        <v>2678</v>
      </c>
      <c r="E420" s="9" t="s">
        <v>2678</v>
      </c>
    </row>
    <row r="421" customFormat="false" ht="15" hidden="false" customHeight="false" outlineLevel="0" collapsed="false">
      <c r="A421" s="9" t="s">
        <v>3039</v>
      </c>
      <c r="B421" s="10" t="s">
        <v>2603</v>
      </c>
      <c r="C421" s="9" t="s">
        <v>2602</v>
      </c>
      <c r="D421" s="9" t="s">
        <v>2678</v>
      </c>
      <c r="E421" s="9" t="s">
        <v>2678</v>
      </c>
    </row>
    <row r="422" customFormat="false" ht="15" hidden="false" customHeight="false" outlineLevel="0" collapsed="false">
      <c r="A422" s="9" t="s">
        <v>3039</v>
      </c>
      <c r="B422" s="10" t="s">
        <v>2605</v>
      </c>
      <c r="C422" s="9" t="s">
        <v>2604</v>
      </c>
      <c r="D422" s="9" t="s">
        <v>2678</v>
      </c>
      <c r="E422" s="9" t="s">
        <v>2678</v>
      </c>
    </row>
    <row r="423" customFormat="false" ht="15" hidden="false" customHeight="false" outlineLevel="0" collapsed="false">
      <c r="A423" s="9" t="s">
        <v>3039</v>
      </c>
      <c r="B423" s="10" t="s">
        <v>2609</v>
      </c>
      <c r="C423" s="9" t="s">
        <v>2608</v>
      </c>
      <c r="D423" s="9" t="s">
        <v>2678</v>
      </c>
      <c r="E423" s="9" t="s">
        <v>2678</v>
      </c>
    </row>
    <row r="424" customFormat="false" ht="15" hidden="false" customHeight="false" outlineLevel="0" collapsed="false">
      <c r="A424" s="9" t="s">
        <v>3039</v>
      </c>
      <c r="B424" s="10" t="s">
        <v>2611</v>
      </c>
      <c r="C424" s="9" t="s">
        <v>2610</v>
      </c>
      <c r="D424" s="9" t="s">
        <v>2678</v>
      </c>
      <c r="E424" s="9" t="s">
        <v>2678</v>
      </c>
    </row>
    <row r="425" customFormat="false" ht="15" hidden="false" customHeight="false" outlineLevel="0" collapsed="false">
      <c r="A425" s="9" t="s">
        <v>3039</v>
      </c>
      <c r="B425" s="10" t="s">
        <v>2613</v>
      </c>
      <c r="C425" s="9" t="s">
        <v>3046</v>
      </c>
      <c r="D425" s="9" t="s">
        <v>2678</v>
      </c>
      <c r="E425" s="9" t="s">
        <v>2678</v>
      </c>
    </row>
    <row r="426" customFormat="false" ht="15" hidden="false" customHeight="false" outlineLevel="0" collapsed="false">
      <c r="A426" s="9" t="s">
        <v>3039</v>
      </c>
      <c r="B426" s="10" t="s">
        <v>2617</v>
      </c>
      <c r="C426" s="9" t="s">
        <v>2616</v>
      </c>
      <c r="D426" s="9" t="s">
        <v>2678</v>
      </c>
      <c r="E426" s="9" t="s">
        <v>2678</v>
      </c>
    </row>
    <row r="427" customFormat="false" ht="15" hidden="false" customHeight="false" outlineLevel="0" collapsed="false">
      <c r="A427" s="9" t="s">
        <v>3039</v>
      </c>
      <c r="B427" s="10" t="s">
        <v>2619</v>
      </c>
      <c r="C427" s="9" t="s">
        <v>2618</v>
      </c>
      <c r="D427" s="9" t="s">
        <v>2678</v>
      </c>
      <c r="E427" s="9" t="s">
        <v>2678</v>
      </c>
    </row>
    <row r="428" customFormat="false" ht="15" hidden="false" customHeight="false" outlineLevel="0" collapsed="false">
      <c r="A428" s="9" t="s">
        <v>3039</v>
      </c>
      <c r="B428" s="10" t="s">
        <v>2621</v>
      </c>
      <c r="C428" s="9" t="s">
        <v>3047</v>
      </c>
      <c r="D428" s="9" t="s">
        <v>2678</v>
      </c>
      <c r="E428" s="9" t="s">
        <v>2678</v>
      </c>
    </row>
    <row r="429" customFormat="false" ht="15" hidden="false" customHeight="false" outlineLevel="0" collapsed="false">
      <c r="A429" s="9" t="s">
        <v>3039</v>
      </c>
      <c r="B429" s="10" t="s">
        <v>2623</v>
      </c>
      <c r="C429" s="9" t="s">
        <v>2622</v>
      </c>
      <c r="D429" s="9" t="s">
        <v>2678</v>
      </c>
      <c r="E429" s="9" t="s">
        <v>2678</v>
      </c>
    </row>
    <row r="430" customFormat="false" ht="15" hidden="false" customHeight="false" outlineLevel="0" collapsed="false">
      <c r="A430" s="9" t="s">
        <v>3039</v>
      </c>
      <c r="B430" s="10" t="s">
        <v>2627</v>
      </c>
      <c r="C430" s="9" t="s">
        <v>2626</v>
      </c>
      <c r="D430" s="9" t="s">
        <v>2678</v>
      </c>
      <c r="E430" s="9" t="s">
        <v>2678</v>
      </c>
    </row>
    <row r="431" customFormat="false" ht="15" hidden="false" customHeight="false" outlineLevel="0" collapsed="false">
      <c r="A431" s="9" t="s">
        <v>3039</v>
      </c>
      <c r="B431" s="10" t="s">
        <v>2629</v>
      </c>
      <c r="C431" s="9" t="s">
        <v>2628</v>
      </c>
      <c r="D431" s="9" t="s">
        <v>2678</v>
      </c>
      <c r="E431" s="9" t="s">
        <v>2678</v>
      </c>
    </row>
    <row r="432" customFormat="false" ht="15" hidden="false" customHeight="false" outlineLevel="0" collapsed="false">
      <c r="A432" s="9" t="s">
        <v>3039</v>
      </c>
      <c r="B432" s="10" t="s">
        <v>3048</v>
      </c>
      <c r="C432" s="9" t="s">
        <v>3049</v>
      </c>
      <c r="D432" s="9" t="s">
        <v>2678</v>
      </c>
      <c r="E432" s="9" t="s">
        <v>2678</v>
      </c>
    </row>
    <row r="433" customFormat="false" ht="15" hidden="false" customHeight="false" outlineLevel="0" collapsed="false">
      <c r="A433" s="9" t="s">
        <v>3039</v>
      </c>
      <c r="B433" s="10" t="s">
        <v>3050</v>
      </c>
      <c r="C433" s="9" t="s">
        <v>3051</v>
      </c>
      <c r="D433" s="9" t="s">
        <v>2678</v>
      </c>
      <c r="E433" s="9" t="s">
        <v>2678</v>
      </c>
    </row>
    <row r="434" customFormat="false" ht="15" hidden="false" customHeight="false" outlineLevel="0" collapsed="false">
      <c r="A434" s="9" t="s">
        <v>3039</v>
      </c>
      <c r="B434" s="10" t="s">
        <v>3052</v>
      </c>
      <c r="C434" s="9" t="s">
        <v>3053</v>
      </c>
      <c r="D434" s="9" t="s">
        <v>2678</v>
      </c>
      <c r="E434" s="9" t="s">
        <v>2678</v>
      </c>
    </row>
    <row r="435" customFormat="false" ht="15" hidden="false" customHeight="false" outlineLevel="0" collapsed="false">
      <c r="A435" s="9" t="s">
        <v>3039</v>
      </c>
      <c r="B435" s="10" t="s">
        <v>3054</v>
      </c>
      <c r="C435" s="9" t="s">
        <v>3046</v>
      </c>
      <c r="D435" s="9" t="s">
        <v>2678</v>
      </c>
      <c r="E435" s="9" t="s">
        <v>2678</v>
      </c>
    </row>
    <row r="436" customFormat="false" ht="15" hidden="false" customHeight="false" outlineLevel="0" collapsed="false">
      <c r="A436" s="9" t="s">
        <v>3039</v>
      </c>
      <c r="B436" s="10" t="s">
        <v>3055</v>
      </c>
      <c r="C436" s="9" t="s">
        <v>3056</v>
      </c>
      <c r="D436" s="9" t="s">
        <v>2678</v>
      </c>
      <c r="E436" s="9" t="s">
        <v>2678</v>
      </c>
    </row>
    <row r="437" customFormat="false" ht="26.85" hidden="false" customHeight="false" outlineLevel="0" collapsed="false">
      <c r="A437" s="9" t="s">
        <v>3039</v>
      </c>
      <c r="B437" s="10" t="s">
        <v>2835</v>
      </c>
      <c r="C437" s="9" t="s">
        <v>3057</v>
      </c>
      <c r="D437" s="9" t="s">
        <v>3025</v>
      </c>
      <c r="E437" s="9" t="s">
        <v>3025</v>
      </c>
    </row>
    <row r="438" customFormat="false" ht="15" hidden="false" customHeight="false" outlineLevel="0" collapsed="false">
      <c r="A438" s="9" t="s">
        <v>3039</v>
      </c>
      <c r="B438" s="10" t="s">
        <v>2843</v>
      </c>
      <c r="C438" s="9" t="s">
        <v>3058</v>
      </c>
      <c r="D438" s="9" t="s">
        <v>3025</v>
      </c>
      <c r="E438" s="9" t="s">
        <v>3025</v>
      </c>
    </row>
    <row r="439" customFormat="false" ht="15" hidden="false" customHeight="false" outlineLevel="0" collapsed="false">
      <c r="A439" s="9" t="s">
        <v>3039</v>
      </c>
      <c r="B439" s="10" t="s">
        <v>3059</v>
      </c>
      <c r="C439" s="9" t="s">
        <v>3060</v>
      </c>
      <c r="D439" s="9" t="s">
        <v>3025</v>
      </c>
      <c r="E439" s="9" t="s">
        <v>3025</v>
      </c>
    </row>
    <row r="440" customFormat="false" ht="15" hidden="false" customHeight="false" outlineLevel="0" collapsed="false">
      <c r="A440" s="9" t="s">
        <v>3039</v>
      </c>
      <c r="B440" s="10" t="s">
        <v>3061</v>
      </c>
      <c r="C440" s="9" t="s">
        <v>3060</v>
      </c>
      <c r="D440" s="9" t="s">
        <v>3025</v>
      </c>
      <c r="E440" s="9" t="s">
        <v>3025</v>
      </c>
    </row>
    <row r="441" customFormat="false" ht="15" hidden="false" customHeight="false" outlineLevel="0" collapsed="false">
      <c r="A441" s="9" t="s">
        <v>3062</v>
      </c>
      <c r="B441" s="10" t="s">
        <v>3063</v>
      </c>
      <c r="C441" s="9" t="s">
        <v>3064</v>
      </c>
      <c r="D441" s="9" t="s">
        <v>2678</v>
      </c>
      <c r="E441" s="9" t="s">
        <v>2678</v>
      </c>
    </row>
    <row r="442" customFormat="false" ht="15" hidden="false" customHeight="false" outlineLevel="0" collapsed="false">
      <c r="A442" s="9" t="s">
        <v>3062</v>
      </c>
      <c r="B442" s="10" t="s">
        <v>3065</v>
      </c>
      <c r="C442" s="9" t="s">
        <v>3066</v>
      </c>
      <c r="D442" s="9" t="s">
        <v>2678</v>
      </c>
      <c r="E442" s="9" t="s">
        <v>2678</v>
      </c>
    </row>
    <row r="443" customFormat="false" ht="15" hidden="false" customHeight="false" outlineLevel="0" collapsed="false">
      <c r="A443" s="9" t="s">
        <v>3062</v>
      </c>
      <c r="B443" s="10" t="s">
        <v>3067</v>
      </c>
      <c r="C443" s="9" t="s">
        <v>3068</v>
      </c>
      <c r="D443" s="9" t="s">
        <v>2678</v>
      </c>
      <c r="E443" s="9" t="s">
        <v>2678</v>
      </c>
    </row>
    <row r="444" customFormat="false" ht="15" hidden="false" customHeight="false" outlineLevel="0" collapsed="false">
      <c r="A444" s="9" t="s">
        <v>3062</v>
      </c>
      <c r="B444" s="10" t="s">
        <v>3069</v>
      </c>
      <c r="C444" s="9" t="s">
        <v>3070</v>
      </c>
      <c r="D444" s="9" t="s">
        <v>2678</v>
      </c>
      <c r="E444" s="9" t="s">
        <v>2678</v>
      </c>
    </row>
    <row r="445" customFormat="false" ht="15" hidden="false" customHeight="false" outlineLevel="0" collapsed="false">
      <c r="A445" s="9" t="s">
        <v>3062</v>
      </c>
      <c r="B445" s="10" t="s">
        <v>3071</v>
      </c>
      <c r="C445" s="9" t="s">
        <v>3072</v>
      </c>
      <c r="D445" s="9" t="s">
        <v>2678</v>
      </c>
      <c r="E445" s="9" t="s">
        <v>2678</v>
      </c>
    </row>
    <row r="446" customFormat="false" ht="15" hidden="false" customHeight="false" outlineLevel="0" collapsed="false">
      <c r="A446" s="9" t="s">
        <v>3062</v>
      </c>
      <c r="B446" s="10" t="s">
        <v>3073</v>
      </c>
      <c r="C446" s="9" t="s">
        <v>3074</v>
      </c>
      <c r="D446" s="9" t="s">
        <v>2678</v>
      </c>
      <c r="E446" s="9" t="s">
        <v>2678</v>
      </c>
    </row>
    <row r="447" customFormat="false" ht="15" hidden="false" customHeight="false" outlineLevel="0" collapsed="false">
      <c r="A447" s="9" t="s">
        <v>3062</v>
      </c>
      <c r="B447" s="10" t="s">
        <v>3075</v>
      </c>
      <c r="C447" s="9" t="s">
        <v>3076</v>
      </c>
      <c r="D447" s="9" t="s">
        <v>2678</v>
      </c>
      <c r="E447" s="9" t="s">
        <v>2678</v>
      </c>
    </row>
    <row r="448" customFormat="false" ht="15" hidden="false" customHeight="false" outlineLevel="0" collapsed="false">
      <c r="A448" s="9" t="s">
        <v>3062</v>
      </c>
      <c r="B448" s="10" t="s">
        <v>3077</v>
      </c>
      <c r="C448" s="9" t="s">
        <v>3074</v>
      </c>
      <c r="D448" s="9" t="s">
        <v>2678</v>
      </c>
      <c r="E448" s="9" t="s">
        <v>2678</v>
      </c>
    </row>
    <row r="449" customFormat="false" ht="15" hidden="false" customHeight="false" outlineLevel="0" collapsed="false">
      <c r="A449" s="9" t="s">
        <v>3062</v>
      </c>
      <c r="B449" s="10" t="s">
        <v>3078</v>
      </c>
      <c r="C449" s="9" t="s">
        <v>3074</v>
      </c>
      <c r="D449" s="9" t="s">
        <v>2678</v>
      </c>
      <c r="E449" s="9" t="s">
        <v>2678</v>
      </c>
    </row>
    <row r="450" customFormat="false" ht="15" hidden="false" customHeight="false" outlineLevel="0" collapsed="false">
      <c r="A450" s="9" t="s">
        <v>3062</v>
      </c>
      <c r="B450" s="10" t="s">
        <v>3079</v>
      </c>
      <c r="C450" s="9" t="s">
        <v>3080</v>
      </c>
      <c r="D450" s="9" t="s">
        <v>2678</v>
      </c>
      <c r="E450" s="9" t="s">
        <v>2678</v>
      </c>
    </row>
    <row r="451" customFormat="false" ht="15" hidden="false" customHeight="false" outlineLevel="0" collapsed="false">
      <c r="A451" s="9" t="s">
        <v>3062</v>
      </c>
      <c r="B451" s="10" t="s">
        <v>3081</v>
      </c>
      <c r="C451" s="9" t="s">
        <v>3074</v>
      </c>
      <c r="D451" s="9" t="s">
        <v>2678</v>
      </c>
      <c r="E451" s="9" t="s">
        <v>2678</v>
      </c>
    </row>
    <row r="452" customFormat="false" ht="15" hidden="false" customHeight="false" outlineLevel="0" collapsed="false">
      <c r="A452" s="9" t="s">
        <v>3062</v>
      </c>
      <c r="B452" s="10" t="s">
        <v>3082</v>
      </c>
      <c r="C452" s="9" t="s">
        <v>3074</v>
      </c>
      <c r="D452" s="9" t="s">
        <v>2678</v>
      </c>
      <c r="E452" s="9" t="s">
        <v>2678</v>
      </c>
    </row>
    <row r="453" customFormat="false" ht="15" hidden="false" customHeight="false" outlineLevel="0" collapsed="false">
      <c r="A453" s="9" t="s">
        <v>3062</v>
      </c>
      <c r="B453" s="10" t="s">
        <v>3083</v>
      </c>
      <c r="C453" s="9" t="s">
        <v>3074</v>
      </c>
      <c r="D453" s="9" t="s">
        <v>2678</v>
      </c>
      <c r="E453" s="9" t="s">
        <v>2678</v>
      </c>
    </row>
    <row r="454" customFormat="false" ht="15" hidden="false" customHeight="false" outlineLevel="0" collapsed="false">
      <c r="A454" s="9" t="s">
        <v>3062</v>
      </c>
      <c r="B454" s="10" t="s">
        <v>3084</v>
      </c>
      <c r="C454" s="9" t="s">
        <v>3074</v>
      </c>
      <c r="D454" s="9" t="s">
        <v>2678</v>
      </c>
      <c r="E454" s="9" t="s">
        <v>2678</v>
      </c>
    </row>
    <row r="455" customFormat="false" ht="15" hidden="false" customHeight="false" outlineLevel="0" collapsed="false">
      <c r="A455" s="9" t="s">
        <v>3062</v>
      </c>
      <c r="B455" s="10" t="s">
        <v>3085</v>
      </c>
      <c r="C455" s="9" t="s">
        <v>3086</v>
      </c>
      <c r="D455" s="9" t="s">
        <v>2678</v>
      </c>
      <c r="E455" s="9" t="s">
        <v>2678</v>
      </c>
    </row>
    <row r="456" customFormat="false" ht="15" hidden="false" customHeight="false" outlineLevel="0" collapsed="false">
      <c r="A456" s="9" t="s">
        <v>3062</v>
      </c>
      <c r="B456" s="10" t="s">
        <v>3087</v>
      </c>
      <c r="C456" s="9" t="s">
        <v>2644</v>
      </c>
      <c r="D456" s="9" t="s">
        <v>2678</v>
      </c>
      <c r="E456" s="9" t="s">
        <v>2678</v>
      </c>
    </row>
    <row r="457" customFormat="false" ht="15" hidden="false" customHeight="false" outlineLevel="0" collapsed="false">
      <c r="A457" s="9" t="s">
        <v>3062</v>
      </c>
      <c r="B457" s="10" t="s">
        <v>3088</v>
      </c>
      <c r="C457" s="9" t="s">
        <v>2646</v>
      </c>
      <c r="D457" s="9" t="s">
        <v>2678</v>
      </c>
      <c r="E457" s="9" t="s">
        <v>2678</v>
      </c>
    </row>
    <row r="458" customFormat="false" ht="15" hidden="false" customHeight="false" outlineLevel="0" collapsed="false">
      <c r="A458" s="9" t="s">
        <v>3062</v>
      </c>
      <c r="B458" s="10" t="s">
        <v>3089</v>
      </c>
      <c r="C458" s="9" t="s">
        <v>2646</v>
      </c>
      <c r="D458" s="9" t="s">
        <v>2678</v>
      </c>
      <c r="E458" s="9" t="s">
        <v>2678</v>
      </c>
    </row>
    <row r="459" customFormat="false" ht="15" hidden="false" customHeight="false" outlineLevel="0" collapsed="false">
      <c r="A459" s="9" t="s">
        <v>3062</v>
      </c>
      <c r="B459" s="10" t="s">
        <v>3090</v>
      </c>
      <c r="C459" s="9" t="s">
        <v>2646</v>
      </c>
      <c r="D459" s="9" t="s">
        <v>2678</v>
      </c>
      <c r="E459" s="9" t="s">
        <v>2678</v>
      </c>
    </row>
    <row r="460" customFormat="false" ht="15" hidden="false" customHeight="false" outlineLevel="0" collapsed="false">
      <c r="A460" s="9" t="s">
        <v>3062</v>
      </c>
      <c r="B460" s="10" t="s">
        <v>3091</v>
      </c>
      <c r="C460" s="9" t="s">
        <v>2646</v>
      </c>
      <c r="D460" s="9" t="s">
        <v>2678</v>
      </c>
      <c r="E460" s="9" t="s">
        <v>2678</v>
      </c>
    </row>
    <row r="461" customFormat="false" ht="15" hidden="false" customHeight="false" outlineLevel="0" collapsed="false">
      <c r="A461" s="9" t="s">
        <v>3062</v>
      </c>
      <c r="B461" s="10" t="s">
        <v>3092</v>
      </c>
      <c r="C461" s="9" t="s">
        <v>2646</v>
      </c>
      <c r="D461" s="9" t="s">
        <v>2678</v>
      </c>
      <c r="E461" s="9" t="s">
        <v>2678</v>
      </c>
    </row>
    <row r="462" customFormat="false" ht="15" hidden="false" customHeight="false" outlineLevel="0" collapsed="false">
      <c r="A462" s="9" t="s">
        <v>3062</v>
      </c>
      <c r="B462" s="10" t="s">
        <v>3093</v>
      </c>
      <c r="C462" s="9" t="s">
        <v>2648</v>
      </c>
      <c r="D462" s="9" t="s">
        <v>2678</v>
      </c>
      <c r="E462" s="9" t="s">
        <v>2678</v>
      </c>
    </row>
    <row r="463" customFormat="false" ht="15" hidden="false" customHeight="false" outlineLevel="0" collapsed="false">
      <c r="A463" s="9" t="s">
        <v>3062</v>
      </c>
      <c r="B463" s="10" t="s">
        <v>3094</v>
      </c>
      <c r="C463" s="9" t="s">
        <v>2648</v>
      </c>
      <c r="D463" s="9" t="s">
        <v>2678</v>
      </c>
      <c r="E463" s="9" t="s">
        <v>2678</v>
      </c>
    </row>
    <row r="464" customFormat="false" ht="15" hidden="false" customHeight="false" outlineLevel="0" collapsed="false">
      <c r="A464" s="9" t="s">
        <v>3062</v>
      </c>
      <c r="B464" s="10" t="s">
        <v>3095</v>
      </c>
      <c r="C464" s="9" t="s">
        <v>2648</v>
      </c>
      <c r="D464" s="9" t="s">
        <v>2678</v>
      </c>
      <c r="E464" s="9" t="s">
        <v>2678</v>
      </c>
    </row>
    <row r="465" customFormat="false" ht="15" hidden="false" customHeight="false" outlineLevel="0" collapsed="false">
      <c r="A465" s="9" t="s">
        <v>3062</v>
      </c>
      <c r="B465" s="10" t="s">
        <v>3096</v>
      </c>
      <c r="C465" s="9" t="s">
        <v>2648</v>
      </c>
      <c r="D465" s="9" t="s">
        <v>2678</v>
      </c>
      <c r="E465" s="9" t="s">
        <v>2678</v>
      </c>
    </row>
    <row r="466" customFormat="false" ht="15" hidden="false" customHeight="false" outlineLevel="0" collapsed="false">
      <c r="A466" s="9" t="s">
        <v>3062</v>
      </c>
      <c r="B466" s="10" t="s">
        <v>3097</v>
      </c>
      <c r="C466" s="9" t="s">
        <v>2648</v>
      </c>
      <c r="D466" s="9" t="s">
        <v>2678</v>
      </c>
      <c r="E466" s="9" t="s">
        <v>2678</v>
      </c>
    </row>
    <row r="467" customFormat="false" ht="15" hidden="false" customHeight="false" outlineLevel="0" collapsed="false">
      <c r="A467" s="9" t="s">
        <v>3062</v>
      </c>
      <c r="B467" s="10" t="s">
        <v>3098</v>
      </c>
      <c r="C467" s="9" t="s">
        <v>2648</v>
      </c>
      <c r="D467" s="9" t="s">
        <v>2678</v>
      </c>
      <c r="E467" s="9" t="s">
        <v>2678</v>
      </c>
    </row>
    <row r="468" customFormat="false" ht="15" hidden="false" customHeight="false" outlineLevel="0" collapsed="false">
      <c r="A468" s="9" t="s">
        <v>3062</v>
      </c>
      <c r="B468" s="10" t="s">
        <v>3099</v>
      </c>
      <c r="C468" s="9" t="s">
        <v>3100</v>
      </c>
      <c r="D468" s="9" t="s">
        <v>2678</v>
      </c>
      <c r="E468" s="9" t="s">
        <v>2678</v>
      </c>
    </row>
    <row r="469" customFormat="false" ht="15" hidden="false" customHeight="false" outlineLevel="0" collapsed="false">
      <c r="A469" s="9" t="s">
        <v>3062</v>
      </c>
      <c r="B469" s="10" t="s">
        <v>3101</v>
      </c>
      <c r="C469" s="9" t="s">
        <v>3100</v>
      </c>
      <c r="D469" s="9" t="s">
        <v>2678</v>
      </c>
      <c r="E469" s="9" t="s">
        <v>2678</v>
      </c>
    </row>
    <row r="470" customFormat="false" ht="15" hidden="false" customHeight="false" outlineLevel="0" collapsed="false">
      <c r="A470" s="9" t="s">
        <v>3062</v>
      </c>
      <c r="B470" s="10" t="s">
        <v>3102</v>
      </c>
      <c r="C470" s="9" t="s">
        <v>3100</v>
      </c>
      <c r="D470" s="9" t="s">
        <v>2678</v>
      </c>
      <c r="E470" s="9" t="s">
        <v>2678</v>
      </c>
    </row>
    <row r="471" customFormat="false" ht="15" hidden="false" customHeight="false" outlineLevel="0" collapsed="false">
      <c r="A471" s="9" t="s">
        <v>3062</v>
      </c>
      <c r="B471" s="10" t="s">
        <v>3103</v>
      </c>
      <c r="C471" s="9" t="s">
        <v>3104</v>
      </c>
      <c r="D471" s="9" t="s">
        <v>2678</v>
      </c>
      <c r="E471" s="9" t="s">
        <v>2678</v>
      </c>
    </row>
    <row r="472" customFormat="false" ht="15" hidden="false" customHeight="false" outlineLevel="0" collapsed="false">
      <c r="A472" s="9" t="s">
        <v>3062</v>
      </c>
      <c r="B472" s="10" t="s">
        <v>3105</v>
      </c>
      <c r="C472" s="9" t="s">
        <v>3106</v>
      </c>
      <c r="D472" s="9" t="s">
        <v>2678</v>
      </c>
      <c r="E472" s="9" t="s">
        <v>2678</v>
      </c>
    </row>
    <row r="473" customFormat="false" ht="15" hidden="false" customHeight="false" outlineLevel="0" collapsed="false">
      <c r="A473" s="9" t="s">
        <v>3062</v>
      </c>
      <c r="B473" s="10" t="s">
        <v>3107</v>
      </c>
      <c r="C473" s="9" t="s">
        <v>3108</v>
      </c>
      <c r="D473" s="9" t="s">
        <v>2678</v>
      </c>
      <c r="E473" s="9" t="s">
        <v>2678</v>
      </c>
    </row>
    <row r="474" customFormat="false" ht="15" hidden="false" customHeight="false" outlineLevel="0" collapsed="false">
      <c r="A474" s="9" t="s">
        <v>3062</v>
      </c>
      <c r="B474" s="10" t="s">
        <v>3109</v>
      </c>
      <c r="C474" s="9" t="s">
        <v>3110</v>
      </c>
      <c r="D474" s="9" t="s">
        <v>2678</v>
      </c>
      <c r="E474" s="9" t="s">
        <v>2678</v>
      </c>
    </row>
    <row r="475" customFormat="false" ht="15" hidden="false" customHeight="false" outlineLevel="0" collapsed="false">
      <c r="A475" s="9" t="s">
        <v>3062</v>
      </c>
      <c r="B475" s="10" t="s">
        <v>3111</v>
      </c>
      <c r="C475" s="9" t="s">
        <v>3112</v>
      </c>
      <c r="D475" s="9" t="s">
        <v>2678</v>
      </c>
      <c r="E475" s="9" t="s">
        <v>2678</v>
      </c>
    </row>
    <row r="476" customFormat="false" ht="15" hidden="false" customHeight="false" outlineLevel="0" collapsed="false">
      <c r="A476" s="9" t="s">
        <v>3062</v>
      </c>
      <c r="B476" s="10" t="s">
        <v>3113</v>
      </c>
      <c r="C476" s="9" t="s">
        <v>3114</v>
      </c>
      <c r="D476" s="9" t="s">
        <v>2678</v>
      </c>
      <c r="E476" s="9" t="s">
        <v>2678</v>
      </c>
    </row>
    <row r="477" customFormat="false" ht="15" hidden="false" customHeight="false" outlineLevel="0" collapsed="false">
      <c r="A477" s="9" t="s">
        <v>3062</v>
      </c>
      <c r="B477" s="10" t="s">
        <v>3115</v>
      </c>
      <c r="C477" s="9" t="s">
        <v>3116</v>
      </c>
      <c r="D477" s="9" t="s">
        <v>2678</v>
      </c>
      <c r="E477" s="9" t="s">
        <v>2678</v>
      </c>
    </row>
    <row r="478" customFormat="false" ht="15" hidden="false" customHeight="false" outlineLevel="0" collapsed="false">
      <c r="A478" s="9" t="s">
        <v>3062</v>
      </c>
      <c r="B478" s="10" t="s">
        <v>3117</v>
      </c>
      <c r="C478" s="9" t="s">
        <v>3118</v>
      </c>
      <c r="D478" s="9" t="s">
        <v>2678</v>
      </c>
      <c r="E478" s="9" t="s">
        <v>2678</v>
      </c>
    </row>
    <row r="479" customFormat="false" ht="15" hidden="false" customHeight="false" outlineLevel="0" collapsed="false">
      <c r="A479" s="9" t="s">
        <v>3062</v>
      </c>
      <c r="B479" s="10" t="s">
        <v>3119</v>
      </c>
      <c r="C479" s="9" t="s">
        <v>3118</v>
      </c>
      <c r="D479" s="9" t="s">
        <v>2678</v>
      </c>
      <c r="E479" s="9" t="s">
        <v>2678</v>
      </c>
    </row>
    <row r="480" customFormat="false" ht="15" hidden="false" customHeight="false" outlineLevel="0" collapsed="false">
      <c r="A480" s="9" t="s">
        <v>3062</v>
      </c>
      <c r="B480" s="10" t="s">
        <v>3120</v>
      </c>
      <c r="C480" s="9" t="s">
        <v>3118</v>
      </c>
      <c r="D480" s="9" t="s">
        <v>2678</v>
      </c>
      <c r="E480" s="9" t="s">
        <v>2678</v>
      </c>
    </row>
    <row r="481" customFormat="false" ht="15" hidden="false" customHeight="false" outlineLevel="0" collapsed="false">
      <c r="A481" s="9" t="s">
        <v>3062</v>
      </c>
      <c r="B481" s="10" t="s">
        <v>3121</v>
      </c>
      <c r="C481" s="9" t="s">
        <v>3118</v>
      </c>
      <c r="D481" s="9" t="s">
        <v>2678</v>
      </c>
      <c r="E481" s="9" t="s">
        <v>2678</v>
      </c>
    </row>
    <row r="482" customFormat="false" ht="15" hidden="false" customHeight="false" outlineLevel="0" collapsed="false">
      <c r="A482" s="9" t="s">
        <v>3062</v>
      </c>
      <c r="B482" s="10" t="s">
        <v>3122</v>
      </c>
      <c r="C482" s="9" t="s">
        <v>3118</v>
      </c>
      <c r="D482" s="9" t="s">
        <v>2678</v>
      </c>
      <c r="E482" s="9" t="s">
        <v>2678</v>
      </c>
    </row>
    <row r="483" customFormat="false" ht="15" hidden="false" customHeight="false" outlineLevel="0" collapsed="false">
      <c r="A483" s="9" t="s">
        <v>3062</v>
      </c>
      <c r="B483" s="10" t="s">
        <v>3123</v>
      </c>
      <c r="C483" s="9" t="s">
        <v>3118</v>
      </c>
      <c r="D483" s="9" t="s">
        <v>2678</v>
      </c>
      <c r="E483" s="9" t="s">
        <v>2678</v>
      </c>
    </row>
    <row r="484" customFormat="false" ht="15" hidden="false" customHeight="false" outlineLevel="0" collapsed="false">
      <c r="A484" s="9" t="s">
        <v>3062</v>
      </c>
      <c r="B484" s="10" t="s">
        <v>3124</v>
      </c>
      <c r="C484" s="9" t="s">
        <v>3118</v>
      </c>
      <c r="D484" s="9" t="s">
        <v>2678</v>
      </c>
      <c r="E484" s="9" t="s">
        <v>2678</v>
      </c>
    </row>
    <row r="485" customFormat="false" ht="15" hidden="false" customHeight="false" outlineLevel="0" collapsed="false">
      <c r="A485" s="9" t="s">
        <v>3062</v>
      </c>
      <c r="B485" s="10" t="s">
        <v>3125</v>
      </c>
      <c r="C485" s="9" t="s">
        <v>3118</v>
      </c>
      <c r="D485" s="9" t="s">
        <v>2678</v>
      </c>
      <c r="E485" s="9" t="s">
        <v>2678</v>
      </c>
    </row>
    <row r="486" customFormat="false" ht="15" hidden="false" customHeight="false" outlineLevel="0" collapsed="false">
      <c r="A486" s="9" t="s">
        <v>3062</v>
      </c>
      <c r="B486" s="10" t="s">
        <v>3126</v>
      </c>
      <c r="C486" s="9" t="s">
        <v>3127</v>
      </c>
      <c r="D486" s="9" t="s">
        <v>2678</v>
      </c>
      <c r="E486" s="9" t="s">
        <v>2678</v>
      </c>
    </row>
    <row r="487" customFormat="false" ht="15" hidden="false" customHeight="false" outlineLevel="0" collapsed="false">
      <c r="A487" s="9" t="s">
        <v>3062</v>
      </c>
      <c r="B487" s="10" t="s">
        <v>3128</v>
      </c>
      <c r="C487" s="9" t="s">
        <v>3127</v>
      </c>
      <c r="D487" s="9" t="s">
        <v>2678</v>
      </c>
      <c r="E487" s="9" t="s">
        <v>2678</v>
      </c>
    </row>
    <row r="488" customFormat="false" ht="15" hidden="false" customHeight="false" outlineLevel="0" collapsed="false">
      <c r="A488" s="9" t="s">
        <v>3062</v>
      </c>
      <c r="B488" s="10" t="s">
        <v>3129</v>
      </c>
      <c r="C488" s="9" t="s">
        <v>3127</v>
      </c>
      <c r="D488" s="9" t="s">
        <v>2678</v>
      </c>
      <c r="E488" s="9" t="s">
        <v>2678</v>
      </c>
    </row>
    <row r="489" customFormat="false" ht="15" hidden="false" customHeight="false" outlineLevel="0" collapsed="false">
      <c r="A489" s="9" t="s">
        <v>3062</v>
      </c>
      <c r="B489" s="10" t="s">
        <v>3130</v>
      </c>
      <c r="C489" s="9" t="s">
        <v>3127</v>
      </c>
      <c r="D489" s="9" t="s">
        <v>2678</v>
      </c>
      <c r="E489" s="9" t="s">
        <v>2678</v>
      </c>
    </row>
    <row r="490" customFormat="false" ht="15" hidden="false" customHeight="false" outlineLevel="0" collapsed="false">
      <c r="A490" s="9" t="s">
        <v>3062</v>
      </c>
      <c r="B490" s="10" t="s">
        <v>3131</v>
      </c>
      <c r="C490" s="9" t="s">
        <v>3127</v>
      </c>
      <c r="D490" s="9" t="s">
        <v>2678</v>
      </c>
      <c r="E490" s="9" t="s">
        <v>2678</v>
      </c>
    </row>
    <row r="491" customFormat="false" ht="15" hidden="false" customHeight="false" outlineLevel="0" collapsed="false">
      <c r="A491" s="9" t="s">
        <v>3062</v>
      </c>
      <c r="B491" s="10" t="s">
        <v>3132</v>
      </c>
      <c r="C491" s="9" t="s">
        <v>3127</v>
      </c>
      <c r="D491" s="9" t="s">
        <v>2678</v>
      </c>
      <c r="E491" s="9" t="s">
        <v>2678</v>
      </c>
    </row>
    <row r="492" customFormat="false" ht="15" hidden="false" customHeight="false" outlineLevel="0" collapsed="false">
      <c r="A492" s="9" t="s">
        <v>3062</v>
      </c>
      <c r="B492" s="10" t="s">
        <v>3133</v>
      </c>
      <c r="C492" s="9" t="s">
        <v>3127</v>
      </c>
      <c r="D492" s="9" t="s">
        <v>2678</v>
      </c>
      <c r="E492" s="9" t="s">
        <v>2678</v>
      </c>
    </row>
    <row r="493" customFormat="false" ht="15" hidden="false" customHeight="false" outlineLevel="0" collapsed="false">
      <c r="A493" s="9" t="s">
        <v>3062</v>
      </c>
      <c r="B493" s="10" t="s">
        <v>3134</v>
      </c>
      <c r="C493" s="9" t="s">
        <v>3127</v>
      </c>
      <c r="D493" s="9" t="s">
        <v>2678</v>
      </c>
      <c r="E493" s="9" t="s">
        <v>2678</v>
      </c>
    </row>
    <row r="494" customFormat="false" ht="15" hidden="false" customHeight="false" outlineLevel="0" collapsed="false">
      <c r="A494" s="9" t="s">
        <v>3062</v>
      </c>
      <c r="B494" s="10" t="s">
        <v>3135</v>
      </c>
      <c r="C494" s="9" t="s">
        <v>3127</v>
      </c>
      <c r="D494" s="9" t="s">
        <v>2678</v>
      </c>
      <c r="E494" s="9" t="s">
        <v>2678</v>
      </c>
    </row>
    <row r="495" customFormat="false" ht="15" hidden="false" customHeight="false" outlineLevel="0" collapsed="false">
      <c r="A495" s="9" t="s">
        <v>3062</v>
      </c>
      <c r="B495" s="10" t="s">
        <v>3136</v>
      </c>
      <c r="C495" s="9" t="s">
        <v>3127</v>
      </c>
      <c r="D495" s="9" t="s">
        <v>2678</v>
      </c>
      <c r="E495" s="9" t="s">
        <v>2678</v>
      </c>
    </row>
    <row r="496" customFormat="false" ht="15" hidden="false" customHeight="false" outlineLevel="0" collapsed="false">
      <c r="A496" s="9" t="s">
        <v>3062</v>
      </c>
      <c r="B496" s="10" t="s">
        <v>3137</v>
      </c>
      <c r="C496" s="9" t="s">
        <v>3127</v>
      </c>
      <c r="D496" s="9" t="s">
        <v>2678</v>
      </c>
      <c r="E496" s="9" t="s">
        <v>2678</v>
      </c>
    </row>
    <row r="497" customFormat="false" ht="15" hidden="false" customHeight="false" outlineLevel="0" collapsed="false">
      <c r="A497" s="9" t="s">
        <v>3062</v>
      </c>
      <c r="B497" s="10" t="s">
        <v>3138</v>
      </c>
      <c r="C497" s="9" t="s">
        <v>3127</v>
      </c>
      <c r="D497" s="9" t="s">
        <v>2678</v>
      </c>
      <c r="E497" s="9" t="s">
        <v>2678</v>
      </c>
    </row>
    <row r="498" customFormat="false" ht="15" hidden="false" customHeight="false" outlineLevel="0" collapsed="false">
      <c r="A498" s="9" t="s">
        <v>3062</v>
      </c>
      <c r="B498" s="10" t="s">
        <v>3139</v>
      </c>
      <c r="C498" s="9" t="s">
        <v>3127</v>
      </c>
      <c r="D498" s="9" t="s">
        <v>2678</v>
      </c>
      <c r="E498" s="9" t="s">
        <v>2678</v>
      </c>
    </row>
    <row r="499" customFormat="false" ht="15" hidden="false" customHeight="false" outlineLevel="0" collapsed="false">
      <c r="A499" s="9" t="s">
        <v>3062</v>
      </c>
      <c r="B499" s="10" t="s">
        <v>3140</v>
      </c>
      <c r="C499" s="9" t="s">
        <v>3127</v>
      </c>
      <c r="D499" s="9" t="s">
        <v>2678</v>
      </c>
      <c r="E499" s="9" t="s">
        <v>2678</v>
      </c>
    </row>
    <row r="500" customFormat="false" ht="15" hidden="false" customHeight="false" outlineLevel="0" collapsed="false">
      <c r="A500" s="9" t="s">
        <v>3062</v>
      </c>
      <c r="B500" s="10" t="s">
        <v>3141</v>
      </c>
      <c r="C500" s="9" t="s">
        <v>3127</v>
      </c>
      <c r="D500" s="9" t="s">
        <v>2678</v>
      </c>
      <c r="E500" s="9" t="s">
        <v>2678</v>
      </c>
    </row>
    <row r="501" customFormat="false" ht="15" hidden="false" customHeight="false" outlineLevel="0" collapsed="false">
      <c r="A501" s="9" t="s">
        <v>3062</v>
      </c>
      <c r="B501" s="10" t="s">
        <v>3142</v>
      </c>
      <c r="C501" s="9" t="s">
        <v>3127</v>
      </c>
      <c r="D501" s="9" t="s">
        <v>2678</v>
      </c>
      <c r="E501" s="9" t="s">
        <v>2678</v>
      </c>
    </row>
    <row r="502" customFormat="false" ht="15" hidden="false" customHeight="false" outlineLevel="0" collapsed="false">
      <c r="A502" s="9" t="s">
        <v>3062</v>
      </c>
      <c r="B502" s="10" t="s">
        <v>2661</v>
      </c>
      <c r="C502" s="9" t="s">
        <v>2660</v>
      </c>
      <c r="D502" s="9" t="s">
        <v>2678</v>
      </c>
      <c r="E502" s="9" t="s">
        <v>2678</v>
      </c>
    </row>
    <row r="503" customFormat="false" ht="15" hidden="false" customHeight="false" outlineLevel="0" collapsed="false">
      <c r="A503" s="9" t="s">
        <v>3062</v>
      </c>
      <c r="B503" s="10" t="s">
        <v>3143</v>
      </c>
      <c r="C503" s="9"/>
      <c r="D503" s="9" t="s">
        <v>2678</v>
      </c>
      <c r="E503" s="9" t="s">
        <v>2678</v>
      </c>
    </row>
    <row r="504" customFormat="false" ht="15" hidden="false" customHeight="false" outlineLevel="0" collapsed="false">
      <c r="A504" s="9" t="s">
        <v>3062</v>
      </c>
      <c r="B504" s="10" t="s">
        <v>2839</v>
      </c>
      <c r="C504" s="9" t="s">
        <v>3144</v>
      </c>
      <c r="D504" s="9" t="s">
        <v>3025</v>
      </c>
      <c r="E504" s="9" t="s">
        <v>3025</v>
      </c>
    </row>
    <row r="505" customFormat="false" ht="26.85" hidden="false" customHeight="false" outlineLevel="0" collapsed="false">
      <c r="A505" s="9" t="s">
        <v>3062</v>
      </c>
      <c r="B505" s="10" t="s">
        <v>2815</v>
      </c>
      <c r="C505" s="9" t="s">
        <v>3145</v>
      </c>
      <c r="D505" s="9" t="s">
        <v>3025</v>
      </c>
      <c r="E505" s="9" t="s">
        <v>3025</v>
      </c>
    </row>
    <row r="506" customFormat="false" ht="15" hidden="false" customHeight="false" outlineLevel="0" collapsed="false">
      <c r="A506" s="9" t="s">
        <v>3062</v>
      </c>
      <c r="B506" s="10" t="s">
        <v>2853</v>
      </c>
      <c r="C506" s="9" t="s">
        <v>3146</v>
      </c>
      <c r="D506" s="9" t="s">
        <v>3025</v>
      </c>
      <c r="E506" s="9" t="s">
        <v>3025</v>
      </c>
    </row>
    <row r="507" customFormat="false" ht="15" hidden="false" customHeight="false" outlineLevel="0" collapsed="false">
      <c r="A507" s="9" t="s">
        <v>3062</v>
      </c>
      <c r="B507" s="10" t="s">
        <v>2857</v>
      </c>
      <c r="C507" s="9" t="s">
        <v>3147</v>
      </c>
      <c r="D507" s="9" t="s">
        <v>3025</v>
      </c>
      <c r="E507" s="9" t="s">
        <v>3025</v>
      </c>
    </row>
    <row r="508" customFormat="false" ht="15" hidden="false" customHeight="false" outlineLevel="0" collapsed="false">
      <c r="A508" s="10" t="s">
        <v>3148</v>
      </c>
      <c r="B508" s="10" t="s">
        <v>3027</v>
      </c>
      <c r="C508" s="9" t="s">
        <v>3149</v>
      </c>
      <c r="D508" s="9" t="s">
        <v>3025</v>
      </c>
      <c r="E508" s="9" t="s">
        <v>3025</v>
      </c>
    </row>
    <row r="509" customFormat="false" ht="15" hidden="false" customHeight="false" outlineLevel="0" collapsed="false">
      <c r="A509" s="10" t="s">
        <v>3148</v>
      </c>
      <c r="B509" s="10" t="s">
        <v>3029</v>
      </c>
      <c r="C509" s="9" t="s">
        <v>3150</v>
      </c>
      <c r="D509" s="9" t="s">
        <v>3025</v>
      </c>
      <c r="E509" s="9" t="s">
        <v>3025</v>
      </c>
    </row>
    <row r="510" customFormat="false" ht="15" hidden="false" customHeight="false" outlineLevel="0" collapsed="false">
      <c r="A510" s="10" t="s">
        <v>3148</v>
      </c>
      <c r="B510" s="10" t="s">
        <v>3031</v>
      </c>
      <c r="C510" s="9" t="s">
        <v>3151</v>
      </c>
      <c r="D510" s="9" t="s">
        <v>3025</v>
      </c>
      <c r="E510" s="9" t="s">
        <v>3025</v>
      </c>
    </row>
    <row r="511" customFormat="false" ht="15" hidden="false" customHeight="false" outlineLevel="0" collapsed="false">
      <c r="A511" s="10" t="s">
        <v>3148</v>
      </c>
      <c r="B511" s="10" t="s">
        <v>3059</v>
      </c>
      <c r="C511" s="9" t="s">
        <v>3152</v>
      </c>
      <c r="D511" s="9" t="s">
        <v>3025</v>
      </c>
      <c r="E511" s="9" t="s">
        <v>3025</v>
      </c>
    </row>
    <row r="512" customFormat="false" ht="15" hidden="false" customHeight="false" outlineLevel="0" collapsed="false">
      <c r="A512" s="10" t="s">
        <v>3148</v>
      </c>
      <c r="B512" s="10" t="s">
        <v>3061</v>
      </c>
      <c r="C512" s="9" t="s">
        <v>3152</v>
      </c>
      <c r="D512" s="9" t="s">
        <v>3025</v>
      </c>
      <c r="E512" s="9" t="s">
        <v>3025</v>
      </c>
    </row>
  </sheetData>
  <autoFilter ref="A2:E512"/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50"/>
    <col collapsed="false" customWidth="true" hidden="false" outlineLevel="0" max="4" min="4" style="0" width="10"/>
    <col collapsed="false" customWidth="true" hidden="false" outlineLevel="0" max="5" min="5" style="0" width="26"/>
  </cols>
  <sheetData>
    <row r="1" customFormat="false" ht="28.35" hidden="false" customHeight="false" outlineLevel="0" collapsed="false">
      <c r="A1" s="8" t="s">
        <v>3153</v>
      </c>
      <c r="B1" s="8" t="s">
        <v>3154</v>
      </c>
      <c r="C1" s="8" t="s">
        <v>3155</v>
      </c>
      <c r="D1" s="11" t="s">
        <v>3156</v>
      </c>
      <c r="E1" s="8" t="s">
        <v>45</v>
      </c>
    </row>
    <row r="2" customFormat="false" ht="15" hidden="false" customHeight="false" outlineLevel="0" collapsed="false">
      <c r="A2" s="10" t="s">
        <v>34</v>
      </c>
      <c r="B2" s="10" t="s">
        <v>3157</v>
      </c>
      <c r="C2" s="9" t="s">
        <v>3158</v>
      </c>
      <c r="D2" s="9" t="s">
        <v>3159</v>
      </c>
      <c r="E2" s="9" t="s">
        <v>3160</v>
      </c>
    </row>
    <row r="3" customFormat="false" ht="15" hidden="false" customHeight="false" outlineLevel="0" collapsed="false">
      <c r="A3" s="10" t="s">
        <v>34</v>
      </c>
      <c r="B3" s="10" t="s">
        <v>3157</v>
      </c>
      <c r="C3" s="9" t="s">
        <v>3161</v>
      </c>
      <c r="D3" s="9" t="s">
        <v>3162</v>
      </c>
      <c r="E3" s="9" t="s">
        <v>3160</v>
      </c>
    </row>
    <row r="4" customFormat="false" ht="15" hidden="false" customHeight="false" outlineLevel="0" collapsed="false">
      <c r="A4" s="10" t="s">
        <v>34</v>
      </c>
      <c r="B4" s="10" t="s">
        <v>3163</v>
      </c>
      <c r="C4" s="9" t="s">
        <v>3158</v>
      </c>
      <c r="D4" s="9" t="s">
        <v>3164</v>
      </c>
      <c r="E4" s="9" t="s">
        <v>3160</v>
      </c>
    </row>
    <row r="5" customFormat="false" ht="15" hidden="false" customHeight="false" outlineLevel="0" collapsed="false">
      <c r="A5" s="10" t="s">
        <v>34</v>
      </c>
      <c r="B5" s="10" t="s">
        <v>3163</v>
      </c>
      <c r="C5" s="9" t="s">
        <v>3165</v>
      </c>
      <c r="D5" s="9" t="s">
        <v>3166</v>
      </c>
      <c r="E5" s="9" t="s">
        <v>3160</v>
      </c>
    </row>
    <row r="6" customFormat="false" ht="15" hidden="false" customHeight="false" outlineLevel="0" collapsed="false">
      <c r="A6" s="10" t="s">
        <v>34</v>
      </c>
      <c r="B6" s="10" t="s">
        <v>3163</v>
      </c>
      <c r="C6" s="9" t="s">
        <v>3161</v>
      </c>
      <c r="D6" s="9" t="s">
        <v>3167</v>
      </c>
      <c r="E6" s="9" t="s">
        <v>3160</v>
      </c>
    </row>
    <row r="7" customFormat="false" ht="25.35" hidden="false" customHeight="false" outlineLevel="0" collapsed="false">
      <c r="A7" s="10" t="s">
        <v>34</v>
      </c>
      <c r="B7" s="10" t="s">
        <v>3168</v>
      </c>
      <c r="C7" s="9" t="s">
        <v>3158</v>
      </c>
      <c r="D7" s="9" t="s">
        <v>3169</v>
      </c>
      <c r="E7" s="9" t="s">
        <v>3160</v>
      </c>
    </row>
    <row r="8" customFormat="false" ht="25.35" hidden="false" customHeight="false" outlineLevel="0" collapsed="false">
      <c r="A8" s="10" t="s">
        <v>34</v>
      </c>
      <c r="B8" s="10" t="s">
        <v>3168</v>
      </c>
      <c r="C8" s="9" t="s">
        <v>3165</v>
      </c>
      <c r="D8" s="9" t="s">
        <v>3170</v>
      </c>
      <c r="E8" s="9" t="s">
        <v>3160</v>
      </c>
    </row>
    <row r="9" customFormat="false" ht="25.35" hidden="false" customHeight="false" outlineLevel="0" collapsed="false">
      <c r="A9" s="10" t="s">
        <v>34</v>
      </c>
      <c r="B9" s="10" t="s">
        <v>3168</v>
      </c>
      <c r="C9" s="9" t="s">
        <v>3161</v>
      </c>
      <c r="D9" s="9" t="s">
        <v>3171</v>
      </c>
      <c r="E9" s="9" t="s">
        <v>3160</v>
      </c>
    </row>
    <row r="10" customFormat="false" ht="15" hidden="false" customHeight="false" outlineLevel="0" collapsed="false">
      <c r="A10" s="10" t="s">
        <v>34</v>
      </c>
      <c r="B10" s="10" t="s">
        <v>3172</v>
      </c>
      <c r="C10" s="9" t="s">
        <v>3173</v>
      </c>
      <c r="D10" s="9" t="s">
        <v>3174</v>
      </c>
      <c r="E10" s="9" t="s">
        <v>3160</v>
      </c>
    </row>
    <row r="11" customFormat="false" ht="15" hidden="false" customHeight="false" outlineLevel="0" collapsed="false">
      <c r="A11" s="10" t="s">
        <v>34</v>
      </c>
      <c r="B11" s="10" t="s">
        <v>3172</v>
      </c>
      <c r="C11" s="9" t="s">
        <v>3175</v>
      </c>
      <c r="D11" s="9" t="s">
        <v>3176</v>
      </c>
      <c r="E11" s="9" t="s">
        <v>3160</v>
      </c>
    </row>
    <row r="12" customFormat="false" ht="15" hidden="false" customHeight="false" outlineLevel="0" collapsed="false">
      <c r="A12" s="10" t="s">
        <v>34</v>
      </c>
      <c r="B12" s="10" t="s">
        <v>3172</v>
      </c>
      <c r="C12" s="9" t="s">
        <v>3177</v>
      </c>
      <c r="D12" s="9" t="s">
        <v>3178</v>
      </c>
      <c r="E12" s="9" t="s">
        <v>3160</v>
      </c>
    </row>
    <row r="13" customFormat="false" ht="15" hidden="false" customHeight="false" outlineLevel="0" collapsed="false">
      <c r="A13" s="10" t="s">
        <v>34</v>
      </c>
      <c r="B13" s="9" t="s">
        <v>3179</v>
      </c>
      <c r="C13" s="9" t="s">
        <v>3175</v>
      </c>
      <c r="D13" s="9" t="s">
        <v>3180</v>
      </c>
      <c r="E13" s="9" t="s">
        <v>3160</v>
      </c>
    </row>
    <row r="14" customFormat="false" ht="15" hidden="false" customHeight="false" outlineLevel="0" collapsed="false">
      <c r="A14" s="10" t="s">
        <v>34</v>
      </c>
      <c r="B14" s="9" t="s">
        <v>3181</v>
      </c>
      <c r="C14" s="9" t="s">
        <v>3175</v>
      </c>
      <c r="D14" s="9" t="s">
        <v>3182</v>
      </c>
      <c r="E14" s="9" t="s">
        <v>3160</v>
      </c>
    </row>
    <row r="15" customFormat="false" ht="15" hidden="false" customHeight="false" outlineLevel="0" collapsed="false">
      <c r="A15" s="10" t="s">
        <v>34</v>
      </c>
      <c r="B15" s="9" t="s">
        <v>3181</v>
      </c>
      <c r="C15" s="9" t="s">
        <v>3158</v>
      </c>
      <c r="D15" s="9" t="s">
        <v>3183</v>
      </c>
      <c r="E15" s="9" t="s">
        <v>3160</v>
      </c>
    </row>
    <row r="16" customFormat="false" ht="15" hidden="false" customHeight="false" outlineLevel="0" collapsed="false">
      <c r="A16" s="10" t="s">
        <v>34</v>
      </c>
      <c r="B16" s="9" t="s">
        <v>3181</v>
      </c>
      <c r="C16" s="9" t="s">
        <v>3161</v>
      </c>
      <c r="D16" s="9" t="s">
        <v>3184</v>
      </c>
      <c r="E16" s="9" t="s">
        <v>3160</v>
      </c>
    </row>
    <row r="17" customFormat="false" ht="15" hidden="false" customHeight="false" outlineLevel="0" collapsed="false">
      <c r="A17" s="10" t="s">
        <v>34</v>
      </c>
      <c r="B17" s="9" t="s">
        <v>3185</v>
      </c>
      <c r="C17" s="9" t="s">
        <v>3175</v>
      </c>
      <c r="D17" s="9" t="s">
        <v>3186</v>
      </c>
      <c r="E17" s="9" t="s">
        <v>3160</v>
      </c>
    </row>
    <row r="18" customFormat="false" ht="15" hidden="false" customHeight="false" outlineLevel="0" collapsed="false">
      <c r="A18" s="10" t="s">
        <v>34</v>
      </c>
      <c r="B18" s="9" t="s">
        <v>3185</v>
      </c>
      <c r="C18" s="9" t="s">
        <v>3158</v>
      </c>
      <c r="D18" s="9" t="s">
        <v>3187</v>
      </c>
      <c r="E18" s="9" t="s">
        <v>3160</v>
      </c>
    </row>
    <row r="19" customFormat="false" ht="15" hidden="false" customHeight="false" outlineLevel="0" collapsed="false">
      <c r="A19" s="10" t="s">
        <v>34</v>
      </c>
      <c r="B19" s="9" t="s">
        <v>3185</v>
      </c>
      <c r="C19" s="9" t="s">
        <v>3161</v>
      </c>
      <c r="D19" s="9" t="s">
        <v>3188</v>
      </c>
      <c r="E19" s="9" t="s">
        <v>3160</v>
      </c>
    </row>
    <row r="20" customFormat="false" ht="15" hidden="false" customHeight="false" outlineLevel="0" collapsed="false">
      <c r="A20" s="10" t="s">
        <v>34</v>
      </c>
      <c r="B20" s="9" t="s">
        <v>3189</v>
      </c>
      <c r="C20" s="9" t="s">
        <v>3190</v>
      </c>
      <c r="D20" s="9" t="s">
        <v>3191</v>
      </c>
      <c r="E20" s="9" t="s">
        <v>3192</v>
      </c>
    </row>
    <row r="21" customFormat="false" ht="15" hidden="false" customHeight="false" outlineLevel="0" collapsed="false">
      <c r="A21" s="10" t="s">
        <v>34</v>
      </c>
      <c r="B21" s="9" t="s">
        <v>3189</v>
      </c>
      <c r="C21" s="9" t="s">
        <v>3193</v>
      </c>
      <c r="D21" s="9" t="s">
        <v>3194</v>
      </c>
      <c r="E21" s="9" t="s">
        <v>3192</v>
      </c>
    </row>
    <row r="22" customFormat="false" ht="15" hidden="false" customHeight="false" outlineLevel="0" collapsed="false">
      <c r="A22" s="10" t="s">
        <v>34</v>
      </c>
      <c r="B22" s="9" t="s">
        <v>3189</v>
      </c>
      <c r="C22" s="9" t="s">
        <v>3165</v>
      </c>
      <c r="D22" s="9" t="s">
        <v>3195</v>
      </c>
      <c r="E22" s="9" t="s">
        <v>3192</v>
      </c>
    </row>
    <row r="23" customFormat="false" ht="15" hidden="false" customHeight="false" outlineLevel="0" collapsed="false">
      <c r="A23" s="10" t="s">
        <v>34</v>
      </c>
      <c r="B23" s="9" t="s">
        <v>3189</v>
      </c>
      <c r="C23" s="9" t="s">
        <v>3196</v>
      </c>
      <c r="D23" s="9" t="s">
        <v>3197</v>
      </c>
      <c r="E23" s="9" t="s">
        <v>3192</v>
      </c>
    </row>
    <row r="24" customFormat="false" ht="15" hidden="false" customHeight="false" outlineLevel="0" collapsed="false">
      <c r="A24" s="10" t="s">
        <v>34</v>
      </c>
      <c r="B24" s="9" t="s">
        <v>3198</v>
      </c>
      <c r="C24" s="9" t="s">
        <v>3193</v>
      </c>
      <c r="D24" s="9" t="s">
        <v>3199</v>
      </c>
      <c r="E24" s="9" t="s">
        <v>3192</v>
      </c>
    </row>
    <row r="25" customFormat="false" ht="15" hidden="false" customHeight="false" outlineLevel="0" collapsed="false">
      <c r="A25" s="10" t="s">
        <v>34</v>
      </c>
      <c r="B25" s="9" t="s">
        <v>3198</v>
      </c>
      <c r="C25" s="9" t="s">
        <v>3196</v>
      </c>
      <c r="D25" s="9" t="s">
        <v>3200</v>
      </c>
      <c r="E25" s="9" t="s">
        <v>3192</v>
      </c>
    </row>
    <row r="26" customFormat="false" ht="15" hidden="false" customHeight="false" outlineLevel="0" collapsed="false">
      <c r="A26" s="10" t="s">
        <v>11</v>
      </c>
      <c r="B26" s="9" t="s">
        <v>3201</v>
      </c>
      <c r="C26" s="9" t="s">
        <v>3202</v>
      </c>
      <c r="D26" s="9" t="s">
        <v>3203</v>
      </c>
      <c r="E26" s="9" t="s">
        <v>3192</v>
      </c>
    </row>
    <row r="27" customFormat="false" ht="15" hidden="false" customHeight="false" outlineLevel="0" collapsed="false">
      <c r="A27" s="10" t="s">
        <v>11</v>
      </c>
      <c r="B27" s="9" t="s">
        <v>3189</v>
      </c>
      <c r="C27" s="9" t="s">
        <v>3204</v>
      </c>
      <c r="D27" s="9" t="s">
        <v>3205</v>
      </c>
      <c r="E27" s="9" t="s">
        <v>3192</v>
      </c>
    </row>
    <row r="28" customFormat="false" ht="15" hidden="false" customHeight="false" outlineLevel="0" collapsed="false">
      <c r="A28" s="10" t="s">
        <v>11</v>
      </c>
      <c r="B28" s="9" t="s">
        <v>3189</v>
      </c>
      <c r="C28" s="9" t="s">
        <v>3206</v>
      </c>
      <c r="D28" s="9" t="s">
        <v>3207</v>
      </c>
      <c r="E28" s="9" t="s">
        <v>3192</v>
      </c>
    </row>
    <row r="29" customFormat="false" ht="15" hidden="false" customHeight="false" outlineLevel="0" collapsed="false">
      <c r="A29" s="10" t="s">
        <v>11</v>
      </c>
      <c r="B29" s="9" t="s">
        <v>3189</v>
      </c>
      <c r="C29" s="9" t="s">
        <v>3202</v>
      </c>
      <c r="D29" s="9" t="s">
        <v>3208</v>
      </c>
      <c r="E29" s="9" t="s">
        <v>3192</v>
      </c>
    </row>
    <row r="30" customFormat="false" ht="15" hidden="false" customHeight="false" outlineLevel="0" collapsed="false">
      <c r="A30" s="10" t="s">
        <v>11</v>
      </c>
      <c r="B30" s="9" t="s">
        <v>3189</v>
      </c>
      <c r="C30" s="9" t="s">
        <v>3209</v>
      </c>
      <c r="D30" s="9" t="s">
        <v>3210</v>
      </c>
      <c r="E30" s="9" t="s">
        <v>3192</v>
      </c>
    </row>
    <row r="31" customFormat="false" ht="15" hidden="false" customHeight="false" outlineLevel="0" collapsed="false">
      <c r="A31" s="10" t="s">
        <v>11</v>
      </c>
      <c r="B31" s="9" t="s">
        <v>3198</v>
      </c>
      <c r="C31" s="9" t="s">
        <v>3202</v>
      </c>
      <c r="D31" s="9" t="s">
        <v>3211</v>
      </c>
      <c r="E31" s="9" t="s">
        <v>3192</v>
      </c>
    </row>
    <row r="32" customFormat="false" ht="15" hidden="false" customHeight="false" outlineLevel="0" collapsed="false">
      <c r="A32" s="10" t="s">
        <v>11</v>
      </c>
      <c r="B32" s="9" t="s">
        <v>3198</v>
      </c>
      <c r="C32" s="9" t="s">
        <v>3209</v>
      </c>
      <c r="D32" s="9" t="s">
        <v>3212</v>
      </c>
      <c r="E32" s="9" t="s">
        <v>3192</v>
      </c>
    </row>
    <row r="33" customFormat="false" ht="15" hidden="false" customHeight="false" outlineLevel="0" collapsed="false">
      <c r="A33" s="10" t="s">
        <v>3213</v>
      </c>
      <c r="B33" s="10" t="s">
        <v>3157</v>
      </c>
      <c r="C33" s="10" t="s">
        <v>3214</v>
      </c>
      <c r="D33" s="9" t="s">
        <v>3215</v>
      </c>
      <c r="E33" s="9" t="s">
        <v>3160</v>
      </c>
    </row>
    <row r="34" customFormat="false" ht="15" hidden="false" customHeight="false" outlineLevel="0" collapsed="false">
      <c r="A34" s="10" t="s">
        <v>3213</v>
      </c>
      <c r="B34" s="9" t="s">
        <v>3179</v>
      </c>
      <c r="C34" s="9" t="s">
        <v>3216</v>
      </c>
      <c r="D34" s="9" t="s">
        <v>3217</v>
      </c>
      <c r="E34" s="9" t="s">
        <v>3160</v>
      </c>
    </row>
    <row r="35" customFormat="false" ht="15" hidden="false" customHeight="false" outlineLevel="0" collapsed="false">
      <c r="A35" s="10" t="s">
        <v>3213</v>
      </c>
      <c r="B35" s="9" t="s">
        <v>3198</v>
      </c>
      <c r="C35" s="10" t="s">
        <v>3214</v>
      </c>
      <c r="D35" s="9" t="s">
        <v>3218</v>
      </c>
      <c r="E35" s="9" t="s">
        <v>3192</v>
      </c>
    </row>
    <row r="36" customFormat="false" ht="15" hidden="false" customHeight="false" outlineLevel="0" collapsed="false">
      <c r="A36" s="10" t="s">
        <v>3219</v>
      </c>
      <c r="B36" s="10" t="s">
        <v>3163</v>
      </c>
      <c r="C36" s="10" t="s">
        <v>3220</v>
      </c>
      <c r="D36" s="9" t="s">
        <v>3221</v>
      </c>
      <c r="E36" s="9" t="s">
        <v>3160</v>
      </c>
    </row>
    <row r="37" customFormat="false" ht="25.35" hidden="false" customHeight="false" outlineLevel="0" collapsed="false">
      <c r="A37" s="10" t="s">
        <v>3219</v>
      </c>
      <c r="B37" s="10" t="s">
        <v>3168</v>
      </c>
      <c r="C37" s="10" t="s">
        <v>3220</v>
      </c>
      <c r="D37" s="9" t="s">
        <v>3222</v>
      </c>
      <c r="E37" s="9" t="s">
        <v>3160</v>
      </c>
    </row>
    <row r="38" customFormat="false" ht="15" hidden="false" customHeight="false" outlineLevel="0" collapsed="false">
      <c r="A38" s="10" t="s">
        <v>3219</v>
      </c>
      <c r="B38" s="10" t="s">
        <v>3223</v>
      </c>
      <c r="C38" s="9" t="s">
        <v>3224</v>
      </c>
      <c r="D38" s="9" t="s">
        <v>3225</v>
      </c>
      <c r="E38" s="9" t="s">
        <v>3160</v>
      </c>
    </row>
    <row r="39" customFormat="false" ht="15" hidden="false" customHeight="false" outlineLevel="0" collapsed="false">
      <c r="A39" s="10" t="s">
        <v>3219</v>
      </c>
      <c r="B39" s="10" t="s">
        <v>3172</v>
      </c>
      <c r="C39" s="9" t="s">
        <v>3224</v>
      </c>
      <c r="D39" s="9" t="s">
        <v>3226</v>
      </c>
      <c r="E39" s="9" t="s">
        <v>3160</v>
      </c>
    </row>
    <row r="40" customFormat="false" ht="15" hidden="false" customHeight="false" outlineLevel="0" collapsed="false">
      <c r="A40" s="10" t="s">
        <v>3219</v>
      </c>
      <c r="B40" s="9" t="s">
        <v>3181</v>
      </c>
      <c r="C40" s="9" t="s">
        <v>3224</v>
      </c>
      <c r="D40" s="9" t="s">
        <v>3227</v>
      </c>
      <c r="E40" s="9" t="s">
        <v>3160</v>
      </c>
    </row>
    <row r="41" customFormat="false" ht="15" hidden="false" customHeight="false" outlineLevel="0" collapsed="false">
      <c r="A41" s="10" t="s">
        <v>3219</v>
      </c>
      <c r="B41" s="9" t="s">
        <v>3185</v>
      </c>
      <c r="C41" s="9" t="s">
        <v>3224</v>
      </c>
      <c r="D41" s="9" t="s">
        <v>3228</v>
      </c>
      <c r="E41" s="9" t="s">
        <v>3160</v>
      </c>
    </row>
    <row r="42" customFormat="false" ht="15" hidden="false" customHeight="false" outlineLevel="0" collapsed="false">
      <c r="A42" s="10" t="s">
        <v>3219</v>
      </c>
      <c r="B42" s="9" t="s">
        <v>3189</v>
      </c>
      <c r="C42" s="10" t="s">
        <v>3220</v>
      </c>
      <c r="D42" s="9" t="s">
        <v>3229</v>
      </c>
      <c r="E42" s="9" t="s">
        <v>3192</v>
      </c>
    </row>
    <row r="43" customFormat="false" ht="15" hidden="false" customHeight="false" outlineLevel="0" collapsed="false">
      <c r="A43" s="10" t="s">
        <v>3219</v>
      </c>
      <c r="B43" s="9" t="s">
        <v>3189</v>
      </c>
      <c r="C43" s="9" t="s">
        <v>3230</v>
      </c>
      <c r="D43" s="9" t="s">
        <v>3231</v>
      </c>
      <c r="E43" s="9" t="s">
        <v>3192</v>
      </c>
    </row>
  </sheetData>
  <autoFilter ref="A1:E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4" min="4" style="0" width="9"/>
    <col collapsed="false" customWidth="true" hidden="false" outlineLevel="0" max="5" min="5" style="0" width="34"/>
    <col collapsed="false" customWidth="true" hidden="false" outlineLevel="0" max="6" min="6" style="0" width="9"/>
    <col collapsed="false" customWidth="true" hidden="false" outlineLevel="0" max="7" min="7" style="0" width="30"/>
    <col collapsed="false" customWidth="true" hidden="false" outlineLevel="0" max="8" min="8" style="0" width="40"/>
    <col collapsed="false" customWidth="true" hidden="false" outlineLevel="0" max="9" min="9" style="0" width="26"/>
    <col collapsed="false" customWidth="true" hidden="false" outlineLevel="0" max="11" min="10" style="0" width="22"/>
  </cols>
  <sheetData>
    <row r="1" customFormat="false" ht="30" hidden="false" customHeight="true" outlineLevel="0" collapsed="false">
      <c r="A1" s="12" t="s">
        <v>3232</v>
      </c>
      <c r="B1" s="12"/>
      <c r="C1" s="12"/>
      <c r="D1" s="12"/>
      <c r="E1" s="12"/>
      <c r="F1" s="12"/>
      <c r="G1" s="12"/>
      <c r="H1" s="12"/>
      <c r="I1" s="12"/>
      <c r="J1" s="12"/>
      <c r="K1" s="12"/>
    </row>
    <row r="2" customFormat="false" ht="28.35" hidden="false" customHeight="false" outlineLevel="0" collapsed="false">
      <c r="A2" s="8" t="s">
        <v>322</v>
      </c>
      <c r="B2" s="8" t="s">
        <v>323</v>
      </c>
      <c r="C2" s="8" t="s">
        <v>3233</v>
      </c>
      <c r="D2" s="8" t="s">
        <v>51</v>
      </c>
      <c r="E2" s="8" t="s">
        <v>3234</v>
      </c>
      <c r="F2" s="11" t="s">
        <v>1954</v>
      </c>
      <c r="G2" s="8" t="s">
        <v>3235</v>
      </c>
      <c r="H2" s="11" t="s">
        <v>3236</v>
      </c>
      <c r="I2" s="8" t="s">
        <v>3237</v>
      </c>
      <c r="J2" s="11" t="s">
        <v>3238</v>
      </c>
      <c r="K2" s="11" t="s">
        <v>3239</v>
      </c>
    </row>
    <row r="3" customFormat="false" ht="15" hidden="false" customHeight="false" outlineLevel="0" collapsed="false">
      <c r="A3" s="9" t="n">
        <v>1</v>
      </c>
      <c r="B3" s="9" t="s">
        <v>326</v>
      </c>
      <c r="C3" s="10" t="s">
        <v>327</v>
      </c>
      <c r="D3" s="10" t="s">
        <v>30</v>
      </c>
      <c r="E3" s="9" t="s">
        <v>3240</v>
      </c>
      <c r="F3" s="10" t="s">
        <v>3241</v>
      </c>
      <c r="G3" s="9" t="s">
        <v>3242</v>
      </c>
      <c r="H3" s="10" t="s">
        <v>3243</v>
      </c>
      <c r="I3" s="9"/>
      <c r="J3" s="9" t="s">
        <v>2773</v>
      </c>
      <c r="K3" s="9" t="s">
        <v>2773</v>
      </c>
    </row>
    <row r="4" customFormat="false" ht="15" hidden="false" customHeight="false" outlineLevel="0" collapsed="false">
      <c r="A4" s="9" t="n">
        <v>1</v>
      </c>
      <c r="B4" s="9" t="s">
        <v>326</v>
      </c>
      <c r="C4" s="10" t="s">
        <v>327</v>
      </c>
      <c r="D4" s="10" t="s">
        <v>30</v>
      </c>
      <c r="E4" s="9" t="s">
        <v>3244</v>
      </c>
      <c r="F4" s="10" t="s">
        <v>3245</v>
      </c>
      <c r="G4" s="9" t="s">
        <v>3242</v>
      </c>
      <c r="H4" s="10" t="s">
        <v>3246</v>
      </c>
      <c r="I4" s="9"/>
      <c r="J4" s="10" t="s">
        <v>3247</v>
      </c>
      <c r="K4" s="10" t="s">
        <v>3247</v>
      </c>
    </row>
    <row r="5" customFormat="false" ht="15" hidden="false" customHeight="false" outlineLevel="0" collapsed="false">
      <c r="A5" s="9" t="n">
        <v>1</v>
      </c>
      <c r="B5" s="9" t="s">
        <v>326</v>
      </c>
      <c r="C5" s="10" t="s">
        <v>327</v>
      </c>
      <c r="D5" s="10" t="s">
        <v>30</v>
      </c>
      <c r="E5" s="9" t="s">
        <v>3248</v>
      </c>
      <c r="F5" s="10" t="s">
        <v>3249</v>
      </c>
      <c r="G5" s="9" t="s">
        <v>3242</v>
      </c>
      <c r="H5" s="10" t="s">
        <v>3250</v>
      </c>
      <c r="I5" s="9"/>
      <c r="J5" s="9" t="s">
        <v>2773</v>
      </c>
      <c r="K5" s="9" t="s">
        <v>2773</v>
      </c>
    </row>
    <row r="6" customFormat="false" ht="15" hidden="false" customHeight="false" outlineLevel="0" collapsed="false">
      <c r="A6" s="9" t="n">
        <v>1</v>
      </c>
      <c r="B6" s="9" t="s">
        <v>326</v>
      </c>
      <c r="C6" s="10" t="s">
        <v>327</v>
      </c>
      <c r="D6" s="10" t="s">
        <v>30</v>
      </c>
      <c r="E6" s="9" t="s">
        <v>3251</v>
      </c>
      <c r="F6" s="10" t="s">
        <v>3252</v>
      </c>
      <c r="G6" s="9" t="s">
        <v>3242</v>
      </c>
      <c r="H6" s="10" t="s">
        <v>3253</v>
      </c>
      <c r="I6" s="9"/>
      <c r="J6" s="9" t="s">
        <v>2773</v>
      </c>
      <c r="K6" s="9" t="s">
        <v>2773</v>
      </c>
    </row>
    <row r="7" customFormat="false" ht="26.85" hidden="false" customHeight="false" outlineLevel="0" collapsed="false">
      <c r="A7" s="9" t="n">
        <v>2</v>
      </c>
      <c r="B7" s="9" t="s">
        <v>330</v>
      </c>
      <c r="C7" s="10" t="s">
        <v>331</v>
      </c>
      <c r="D7" s="10" t="s">
        <v>30</v>
      </c>
      <c r="E7" s="9" t="s">
        <v>3254</v>
      </c>
      <c r="F7" s="10" t="s">
        <v>3255</v>
      </c>
      <c r="G7" s="9" t="s">
        <v>3242</v>
      </c>
      <c r="H7" s="10" t="s">
        <v>3256</v>
      </c>
      <c r="I7" s="9"/>
      <c r="J7" s="9" t="s">
        <v>2773</v>
      </c>
      <c r="K7" s="9" t="s">
        <v>2773</v>
      </c>
    </row>
    <row r="8" customFormat="false" ht="23.85" hidden="false" customHeight="false" outlineLevel="0" collapsed="false">
      <c r="A8" s="9" t="n">
        <v>2</v>
      </c>
      <c r="B8" s="9" t="s">
        <v>330</v>
      </c>
      <c r="C8" s="10" t="s">
        <v>331</v>
      </c>
      <c r="D8" s="10" t="s">
        <v>30</v>
      </c>
      <c r="E8" s="9" t="s">
        <v>3257</v>
      </c>
      <c r="F8" s="10" t="s">
        <v>3258</v>
      </c>
      <c r="G8" s="9" t="s">
        <v>3242</v>
      </c>
      <c r="H8" s="10" t="s">
        <v>3259</v>
      </c>
      <c r="I8" s="9"/>
      <c r="J8" s="9" t="s">
        <v>2773</v>
      </c>
      <c r="K8" s="9" t="s">
        <v>2773</v>
      </c>
    </row>
    <row r="9" customFormat="false" ht="15" hidden="false" customHeight="false" outlineLevel="0" collapsed="false">
      <c r="A9" s="9" t="n">
        <v>2</v>
      </c>
      <c r="B9" s="9" t="s">
        <v>330</v>
      </c>
      <c r="C9" s="10" t="s">
        <v>331</v>
      </c>
      <c r="D9" s="10" t="s">
        <v>30</v>
      </c>
      <c r="E9" s="9" t="s">
        <v>3260</v>
      </c>
      <c r="F9" s="10" t="s">
        <v>3261</v>
      </c>
      <c r="G9" s="9" t="s">
        <v>3242</v>
      </c>
      <c r="H9" s="10" t="s">
        <v>3262</v>
      </c>
      <c r="I9" s="9"/>
      <c r="J9" s="10" t="s">
        <v>3247</v>
      </c>
      <c r="K9" s="10" t="s">
        <v>3247</v>
      </c>
    </row>
    <row r="10" customFormat="false" ht="15" hidden="false" customHeight="false" outlineLevel="0" collapsed="false">
      <c r="A10" s="9" t="n">
        <v>3</v>
      </c>
      <c r="B10" s="9" t="s">
        <v>333</v>
      </c>
      <c r="C10" s="10" t="s">
        <v>334</v>
      </c>
      <c r="D10" s="10" t="s">
        <v>30</v>
      </c>
      <c r="E10" s="9" t="s">
        <v>3263</v>
      </c>
      <c r="F10" s="10" t="s">
        <v>3264</v>
      </c>
      <c r="G10" s="9" t="s">
        <v>3242</v>
      </c>
      <c r="H10" s="10" t="s">
        <v>3265</v>
      </c>
      <c r="I10" s="9"/>
      <c r="J10" s="9" t="s">
        <v>1956</v>
      </c>
      <c r="K10" s="9" t="s">
        <v>1956</v>
      </c>
    </row>
    <row r="11" customFormat="false" ht="15" hidden="false" customHeight="false" outlineLevel="0" collapsed="false">
      <c r="A11" s="9" t="n">
        <v>3</v>
      </c>
      <c r="B11" s="9" t="s">
        <v>333</v>
      </c>
      <c r="C11" s="10" t="s">
        <v>334</v>
      </c>
      <c r="D11" s="10" t="s">
        <v>30</v>
      </c>
      <c r="E11" s="9" t="s">
        <v>3266</v>
      </c>
      <c r="F11" s="10" t="s">
        <v>3267</v>
      </c>
      <c r="G11" s="9" t="s">
        <v>3242</v>
      </c>
      <c r="H11" s="10" t="s">
        <v>3268</v>
      </c>
      <c r="I11" s="9"/>
      <c r="J11" s="9" t="s">
        <v>1956</v>
      </c>
      <c r="K11" s="9" t="s">
        <v>1956</v>
      </c>
    </row>
    <row r="12" customFormat="false" ht="15" hidden="false" customHeight="false" outlineLevel="0" collapsed="false">
      <c r="A12" s="9" t="n">
        <v>3</v>
      </c>
      <c r="B12" s="9" t="s">
        <v>333</v>
      </c>
      <c r="C12" s="10" t="s">
        <v>334</v>
      </c>
      <c r="D12" s="10" t="s">
        <v>30</v>
      </c>
      <c r="E12" s="9" t="s">
        <v>3269</v>
      </c>
      <c r="F12" s="10" t="s">
        <v>3270</v>
      </c>
      <c r="G12" s="9" t="s">
        <v>3242</v>
      </c>
      <c r="H12" s="10" t="s">
        <v>3271</v>
      </c>
      <c r="I12" s="9"/>
      <c r="J12" s="9" t="s">
        <v>1956</v>
      </c>
      <c r="K12" s="9" t="s">
        <v>1956</v>
      </c>
    </row>
    <row r="13" customFormat="false" ht="15" hidden="false" customHeight="false" outlineLevel="0" collapsed="false">
      <c r="A13" s="9" t="n">
        <v>4</v>
      </c>
      <c r="B13" s="9" t="s">
        <v>336</v>
      </c>
      <c r="C13" s="10" t="s">
        <v>337</v>
      </c>
      <c r="D13" s="10" t="s">
        <v>30</v>
      </c>
      <c r="E13" s="10" t="s">
        <v>3272</v>
      </c>
      <c r="F13" s="10" t="s">
        <v>3273</v>
      </c>
      <c r="G13" s="9" t="s">
        <v>3242</v>
      </c>
      <c r="H13" s="10" t="s">
        <v>3274</v>
      </c>
      <c r="I13" s="9"/>
      <c r="J13" s="9" t="s">
        <v>2773</v>
      </c>
      <c r="K13" s="9" t="s">
        <v>2773</v>
      </c>
    </row>
    <row r="14" customFormat="false" ht="23.85" hidden="false" customHeight="false" outlineLevel="0" collapsed="false">
      <c r="A14" s="9" t="n">
        <v>4</v>
      </c>
      <c r="B14" s="9" t="s">
        <v>336</v>
      </c>
      <c r="C14" s="10" t="s">
        <v>337</v>
      </c>
      <c r="D14" s="10" t="s">
        <v>30</v>
      </c>
      <c r="E14" s="10" t="s">
        <v>3275</v>
      </c>
      <c r="F14" s="10" t="s">
        <v>3276</v>
      </c>
      <c r="G14" s="9" t="s">
        <v>3242</v>
      </c>
      <c r="H14" s="10" t="s">
        <v>3277</v>
      </c>
      <c r="I14" s="9"/>
      <c r="J14" s="9" t="s">
        <v>2773</v>
      </c>
      <c r="K14" s="9" t="s">
        <v>2773</v>
      </c>
    </row>
    <row r="15" customFormat="false" ht="23.85" hidden="false" customHeight="false" outlineLevel="0" collapsed="false">
      <c r="A15" s="9" t="n">
        <v>5</v>
      </c>
      <c r="B15" s="9" t="s">
        <v>339</v>
      </c>
      <c r="C15" s="10" t="s">
        <v>340</v>
      </c>
      <c r="D15" s="10" t="s">
        <v>30</v>
      </c>
      <c r="E15" s="9" t="s">
        <v>3278</v>
      </c>
      <c r="F15" s="10" t="s">
        <v>3279</v>
      </c>
      <c r="G15" s="9" t="s">
        <v>3242</v>
      </c>
      <c r="H15" s="10" t="s">
        <v>3280</v>
      </c>
      <c r="I15" s="9"/>
      <c r="J15" s="10" t="s">
        <v>3247</v>
      </c>
      <c r="K15" s="10" t="s">
        <v>3247</v>
      </c>
    </row>
    <row r="16" customFormat="false" ht="15" hidden="false" customHeight="false" outlineLevel="0" collapsed="false">
      <c r="A16" s="9" t="n">
        <v>5</v>
      </c>
      <c r="B16" s="9" t="s">
        <v>339</v>
      </c>
      <c r="C16" s="10" t="s">
        <v>340</v>
      </c>
      <c r="D16" s="10" t="s">
        <v>30</v>
      </c>
      <c r="E16" s="9" t="s">
        <v>3281</v>
      </c>
      <c r="F16" s="10" t="s">
        <v>3282</v>
      </c>
      <c r="G16" s="9" t="s">
        <v>3242</v>
      </c>
      <c r="H16" s="10" t="s">
        <v>3283</v>
      </c>
      <c r="I16" s="9"/>
      <c r="J16" s="9" t="s">
        <v>2232</v>
      </c>
      <c r="K16" s="9" t="s">
        <v>3284</v>
      </c>
    </row>
    <row r="17" customFormat="false" ht="15" hidden="false" customHeight="false" outlineLevel="0" collapsed="false">
      <c r="A17" s="9" t="n">
        <v>6</v>
      </c>
      <c r="B17" s="9" t="s">
        <v>342</v>
      </c>
      <c r="C17" s="10" t="s">
        <v>3285</v>
      </c>
      <c r="D17" s="10" t="s">
        <v>30</v>
      </c>
      <c r="E17" s="9" t="s">
        <v>3286</v>
      </c>
      <c r="F17" s="10" t="s">
        <v>3287</v>
      </c>
      <c r="G17" s="9" t="s">
        <v>3242</v>
      </c>
      <c r="H17" s="10" t="s">
        <v>3288</v>
      </c>
      <c r="I17" s="9"/>
      <c r="J17" s="10" t="s">
        <v>3247</v>
      </c>
      <c r="K17" s="10" t="s">
        <v>3247</v>
      </c>
    </row>
    <row r="18" customFormat="false" ht="15" hidden="false" customHeight="false" outlineLevel="0" collapsed="false">
      <c r="A18" s="9" t="n">
        <v>6</v>
      </c>
      <c r="B18" s="9" t="s">
        <v>342</v>
      </c>
      <c r="C18" s="10" t="s">
        <v>3285</v>
      </c>
      <c r="D18" s="10" t="s">
        <v>30</v>
      </c>
      <c r="E18" s="9" t="s">
        <v>3289</v>
      </c>
      <c r="F18" s="10" t="s">
        <v>3290</v>
      </c>
      <c r="G18" s="9" t="s">
        <v>3242</v>
      </c>
      <c r="H18" s="10" t="s">
        <v>3291</v>
      </c>
      <c r="I18" s="9"/>
      <c r="J18" s="10" t="s">
        <v>3247</v>
      </c>
      <c r="K18" s="10" t="s">
        <v>3247</v>
      </c>
    </row>
    <row r="19" customFormat="false" ht="15" hidden="false" customHeight="false" outlineLevel="0" collapsed="false">
      <c r="A19" s="9" t="n">
        <v>6</v>
      </c>
      <c r="B19" s="9" t="s">
        <v>342</v>
      </c>
      <c r="C19" s="10" t="s">
        <v>3285</v>
      </c>
      <c r="D19" s="10" t="s">
        <v>30</v>
      </c>
      <c r="E19" s="9" t="s">
        <v>3292</v>
      </c>
      <c r="F19" s="10" t="s">
        <v>3293</v>
      </c>
      <c r="G19" s="9" t="s">
        <v>3242</v>
      </c>
      <c r="H19" s="10" t="s">
        <v>3294</v>
      </c>
      <c r="I19" s="9"/>
      <c r="J19" s="10" t="s">
        <v>3247</v>
      </c>
      <c r="K19" s="10" t="s">
        <v>3247</v>
      </c>
    </row>
    <row r="20" customFormat="false" ht="15" hidden="false" customHeight="false" outlineLevel="0" collapsed="false">
      <c r="A20" s="9" t="n">
        <v>6</v>
      </c>
      <c r="B20" s="9" t="s">
        <v>342</v>
      </c>
      <c r="C20" s="10" t="s">
        <v>3285</v>
      </c>
      <c r="D20" s="10" t="s">
        <v>30</v>
      </c>
      <c r="E20" s="9" t="s">
        <v>3295</v>
      </c>
      <c r="F20" s="10" t="s">
        <v>3296</v>
      </c>
      <c r="G20" s="9" t="s">
        <v>3242</v>
      </c>
      <c r="H20" s="10" t="s">
        <v>3297</v>
      </c>
      <c r="I20" s="9"/>
      <c r="J20" s="10" t="s">
        <v>3247</v>
      </c>
      <c r="K20" s="10" t="s">
        <v>3247</v>
      </c>
    </row>
    <row r="21" customFormat="false" ht="15" hidden="false" customHeight="false" outlineLevel="0" collapsed="false">
      <c r="A21" s="9" t="n">
        <v>7</v>
      </c>
      <c r="B21" s="9" t="s">
        <v>347</v>
      </c>
      <c r="C21" s="10" t="s">
        <v>348</v>
      </c>
      <c r="D21" s="10" t="s">
        <v>30</v>
      </c>
      <c r="E21" s="9" t="s">
        <v>3298</v>
      </c>
      <c r="F21" s="10" t="s">
        <v>3299</v>
      </c>
      <c r="G21" s="9" t="s">
        <v>3242</v>
      </c>
      <c r="H21" s="10" t="s">
        <v>3300</v>
      </c>
      <c r="I21" s="9"/>
      <c r="J21" s="9" t="s">
        <v>2773</v>
      </c>
      <c r="K21" s="9" t="s">
        <v>2773</v>
      </c>
    </row>
    <row r="22" customFormat="false" ht="26.85" hidden="false" customHeight="false" outlineLevel="0" collapsed="false">
      <c r="A22" s="9" t="n">
        <v>7</v>
      </c>
      <c r="B22" s="9" t="s">
        <v>347</v>
      </c>
      <c r="C22" s="10" t="s">
        <v>348</v>
      </c>
      <c r="D22" s="10" t="s">
        <v>30</v>
      </c>
      <c r="E22" s="9" t="s">
        <v>3301</v>
      </c>
      <c r="F22" s="10" t="s">
        <v>3302</v>
      </c>
      <c r="G22" s="9" t="s">
        <v>3242</v>
      </c>
      <c r="H22" s="10" t="s">
        <v>3303</v>
      </c>
      <c r="I22" s="9"/>
      <c r="J22" s="9" t="s">
        <v>2773</v>
      </c>
      <c r="K22" s="9" t="s">
        <v>2773</v>
      </c>
    </row>
    <row r="23" customFormat="false" ht="15" hidden="false" customHeight="false" outlineLevel="0" collapsed="false">
      <c r="A23" s="9" t="n">
        <v>7</v>
      </c>
      <c r="B23" s="9" t="s">
        <v>347</v>
      </c>
      <c r="C23" s="10" t="s">
        <v>348</v>
      </c>
      <c r="D23" s="10" t="s">
        <v>30</v>
      </c>
      <c r="E23" s="9" t="s">
        <v>3304</v>
      </c>
      <c r="F23" s="10" t="s">
        <v>3305</v>
      </c>
      <c r="G23" s="9" t="s">
        <v>3242</v>
      </c>
      <c r="H23" s="10" t="s">
        <v>3306</v>
      </c>
      <c r="I23" s="9"/>
      <c r="J23" s="9" t="s">
        <v>2232</v>
      </c>
      <c r="K23" s="9" t="s">
        <v>3284</v>
      </c>
    </row>
    <row r="24" customFormat="false" ht="26.85" hidden="false" customHeight="false" outlineLevel="0" collapsed="false">
      <c r="A24" s="9" t="n">
        <v>8</v>
      </c>
      <c r="B24" s="9" t="s">
        <v>350</v>
      </c>
      <c r="C24" s="10" t="s">
        <v>351</v>
      </c>
      <c r="D24" s="10" t="s">
        <v>28</v>
      </c>
      <c r="E24" s="9" t="s">
        <v>3307</v>
      </c>
      <c r="F24" s="10" t="s">
        <v>2338</v>
      </c>
      <c r="G24" s="9" t="s">
        <v>3242</v>
      </c>
      <c r="H24" s="10" t="s">
        <v>3308</v>
      </c>
      <c r="I24" s="9"/>
      <c r="J24" s="9" t="s">
        <v>2232</v>
      </c>
      <c r="K24" s="9" t="s">
        <v>3284</v>
      </c>
    </row>
    <row r="25" customFormat="false" ht="26.85" hidden="false" customHeight="false" outlineLevel="0" collapsed="false">
      <c r="A25" s="9" t="n">
        <v>8</v>
      </c>
      <c r="B25" s="9" t="s">
        <v>350</v>
      </c>
      <c r="C25" s="10" t="s">
        <v>351</v>
      </c>
      <c r="D25" s="10" t="s">
        <v>28</v>
      </c>
      <c r="E25" s="9" t="s">
        <v>3309</v>
      </c>
      <c r="F25" s="10" t="s">
        <v>3310</v>
      </c>
      <c r="G25" s="9" t="s">
        <v>3242</v>
      </c>
      <c r="H25" s="10" t="s">
        <v>3311</v>
      </c>
      <c r="I25" s="9"/>
      <c r="J25" s="10" t="s">
        <v>3247</v>
      </c>
      <c r="K25" s="10" t="s">
        <v>3247</v>
      </c>
    </row>
    <row r="26" customFormat="false" ht="26.85" hidden="false" customHeight="false" outlineLevel="0" collapsed="false">
      <c r="A26" s="9" t="n">
        <v>8</v>
      </c>
      <c r="B26" s="9" t="s">
        <v>350</v>
      </c>
      <c r="C26" s="10" t="s">
        <v>351</v>
      </c>
      <c r="D26" s="10" t="s">
        <v>28</v>
      </c>
      <c r="E26" s="9" t="s">
        <v>2701</v>
      </c>
      <c r="F26" s="10" t="s">
        <v>3312</v>
      </c>
      <c r="G26" s="9" t="s">
        <v>3242</v>
      </c>
      <c r="H26" s="10" t="s">
        <v>3313</v>
      </c>
      <c r="I26" s="9"/>
      <c r="J26" s="9" t="s">
        <v>1956</v>
      </c>
      <c r="K26" s="9" t="s">
        <v>1956</v>
      </c>
    </row>
    <row r="27" customFormat="false" ht="26.85" hidden="false" customHeight="false" outlineLevel="0" collapsed="false">
      <c r="A27" s="9" t="n">
        <v>8</v>
      </c>
      <c r="B27" s="9" t="s">
        <v>350</v>
      </c>
      <c r="C27" s="10" t="s">
        <v>351</v>
      </c>
      <c r="D27" s="10" t="s">
        <v>28</v>
      </c>
      <c r="E27" s="9" t="s">
        <v>3314</v>
      </c>
      <c r="F27" s="10" t="s">
        <v>3315</v>
      </c>
      <c r="G27" s="9" t="s">
        <v>3242</v>
      </c>
      <c r="H27" s="10" t="s">
        <v>3316</v>
      </c>
      <c r="I27" s="9"/>
      <c r="J27" s="9" t="s">
        <v>2773</v>
      </c>
      <c r="K27" s="9" t="s">
        <v>2773</v>
      </c>
    </row>
    <row r="28" customFormat="false" ht="23.85" hidden="false" customHeight="false" outlineLevel="0" collapsed="false">
      <c r="A28" s="9" t="n">
        <v>9</v>
      </c>
      <c r="B28" s="9" t="s">
        <v>353</v>
      </c>
      <c r="C28" s="10" t="s">
        <v>3317</v>
      </c>
      <c r="D28" s="10" t="s">
        <v>24</v>
      </c>
      <c r="E28" s="9" t="s">
        <v>3318</v>
      </c>
      <c r="F28" s="10" t="s">
        <v>3319</v>
      </c>
      <c r="G28" s="9" t="s">
        <v>3242</v>
      </c>
      <c r="H28" s="10" t="s">
        <v>3320</v>
      </c>
      <c r="I28" s="9"/>
      <c r="J28" s="10" t="s">
        <v>3247</v>
      </c>
      <c r="K28" s="10" t="s">
        <v>3247</v>
      </c>
    </row>
    <row r="29" customFormat="false" ht="23.85" hidden="false" customHeight="false" outlineLevel="0" collapsed="false">
      <c r="A29" s="9" t="n">
        <v>9</v>
      </c>
      <c r="B29" s="9" t="s">
        <v>353</v>
      </c>
      <c r="C29" s="10" t="s">
        <v>3317</v>
      </c>
      <c r="D29" s="10" t="s">
        <v>24</v>
      </c>
      <c r="E29" s="9" t="s">
        <v>3321</v>
      </c>
      <c r="F29" s="10" t="s">
        <v>3322</v>
      </c>
      <c r="G29" s="9" t="s">
        <v>3242</v>
      </c>
      <c r="H29" s="10" t="s">
        <v>3323</v>
      </c>
      <c r="I29" s="9"/>
      <c r="J29" s="10" t="s">
        <v>3247</v>
      </c>
      <c r="K29" s="10" t="s">
        <v>3247</v>
      </c>
    </row>
    <row r="30" customFormat="false" ht="23.85" hidden="false" customHeight="false" outlineLevel="0" collapsed="false">
      <c r="A30" s="9" t="n">
        <v>9</v>
      </c>
      <c r="B30" s="9" t="s">
        <v>353</v>
      </c>
      <c r="C30" s="10" t="s">
        <v>3317</v>
      </c>
      <c r="D30" s="10" t="s">
        <v>24</v>
      </c>
      <c r="E30" s="9" t="s">
        <v>3324</v>
      </c>
      <c r="F30" s="10" t="s">
        <v>3325</v>
      </c>
      <c r="G30" s="9" t="s">
        <v>3242</v>
      </c>
      <c r="H30" s="10" t="s">
        <v>3326</v>
      </c>
      <c r="I30" s="9" t="s">
        <v>3327</v>
      </c>
      <c r="J30" s="9" t="s">
        <v>1975</v>
      </c>
      <c r="K30" s="9" t="s">
        <v>1975</v>
      </c>
    </row>
    <row r="31" customFormat="false" ht="23.85" hidden="false" customHeight="false" outlineLevel="0" collapsed="false">
      <c r="A31" s="9" t="n">
        <v>9</v>
      </c>
      <c r="B31" s="9" t="s">
        <v>353</v>
      </c>
      <c r="C31" s="10" t="s">
        <v>3317</v>
      </c>
      <c r="D31" s="10" t="s">
        <v>24</v>
      </c>
      <c r="E31" s="9" t="s">
        <v>3328</v>
      </c>
      <c r="F31" s="10" t="s">
        <v>3329</v>
      </c>
      <c r="G31" s="9" t="s">
        <v>3330</v>
      </c>
      <c r="H31" s="10" t="s">
        <v>3331</v>
      </c>
      <c r="I31" s="9"/>
      <c r="J31" s="10" t="s">
        <v>3247</v>
      </c>
      <c r="K31" s="10" t="s">
        <v>3247</v>
      </c>
    </row>
    <row r="32" customFormat="false" ht="23.85" hidden="false" customHeight="false" outlineLevel="0" collapsed="false">
      <c r="A32" s="9" t="n">
        <v>10</v>
      </c>
      <c r="B32" s="9" t="s">
        <v>366</v>
      </c>
      <c r="C32" s="10" t="s">
        <v>367</v>
      </c>
      <c r="D32" s="10" t="s">
        <v>30</v>
      </c>
      <c r="E32" s="9" t="s">
        <v>3332</v>
      </c>
      <c r="F32" s="10" t="s">
        <v>3333</v>
      </c>
      <c r="G32" s="9" t="s">
        <v>3330</v>
      </c>
      <c r="H32" s="10" t="s">
        <v>3334</v>
      </c>
      <c r="I32" s="9"/>
      <c r="J32" s="10" t="s">
        <v>3247</v>
      </c>
      <c r="K32" s="10" t="s">
        <v>3247</v>
      </c>
    </row>
    <row r="33" customFormat="false" ht="15" hidden="false" customHeight="false" outlineLevel="0" collapsed="false">
      <c r="A33" s="9" t="n">
        <v>10</v>
      </c>
      <c r="B33" s="9" t="s">
        <v>366</v>
      </c>
      <c r="C33" s="10" t="s">
        <v>367</v>
      </c>
      <c r="D33" s="10" t="s">
        <v>30</v>
      </c>
      <c r="E33" s="9" t="s">
        <v>3335</v>
      </c>
      <c r="F33" s="10" t="s">
        <v>3336</v>
      </c>
      <c r="G33" s="9" t="s">
        <v>3330</v>
      </c>
      <c r="H33" s="10" t="s">
        <v>3337</v>
      </c>
      <c r="I33" s="9"/>
      <c r="J33" s="10" t="s">
        <v>3247</v>
      </c>
      <c r="K33" s="10" t="s">
        <v>3247</v>
      </c>
    </row>
    <row r="34" customFormat="false" ht="23.85" hidden="false" customHeight="false" outlineLevel="0" collapsed="false">
      <c r="A34" s="9" t="n">
        <v>11</v>
      </c>
      <c r="B34" s="9" t="s">
        <v>369</v>
      </c>
      <c r="C34" s="10" t="s">
        <v>3338</v>
      </c>
      <c r="D34" s="10" t="s">
        <v>3339</v>
      </c>
      <c r="E34" s="9" t="s">
        <v>3340</v>
      </c>
      <c r="F34" s="10" t="s">
        <v>3341</v>
      </c>
      <c r="G34" s="9" t="s">
        <v>3242</v>
      </c>
      <c r="H34" s="10" t="s">
        <v>3342</v>
      </c>
      <c r="I34" s="9"/>
      <c r="J34" s="9" t="s">
        <v>1975</v>
      </c>
      <c r="K34" s="9" t="s">
        <v>1975</v>
      </c>
    </row>
    <row r="35" customFormat="false" ht="23.85" hidden="false" customHeight="false" outlineLevel="0" collapsed="false">
      <c r="A35" s="9" t="n">
        <v>11</v>
      </c>
      <c r="B35" s="9" t="s">
        <v>369</v>
      </c>
      <c r="C35" s="10" t="s">
        <v>3338</v>
      </c>
      <c r="D35" s="10" t="s">
        <v>3339</v>
      </c>
      <c r="E35" s="9" t="s">
        <v>3343</v>
      </c>
      <c r="F35" s="10" t="s">
        <v>3344</v>
      </c>
      <c r="G35" s="9" t="s">
        <v>3242</v>
      </c>
      <c r="H35" s="10" t="s">
        <v>3345</v>
      </c>
      <c r="I35" s="9"/>
      <c r="J35" s="9" t="s">
        <v>1975</v>
      </c>
      <c r="K35" s="9" t="s">
        <v>1975</v>
      </c>
    </row>
    <row r="36" customFormat="false" ht="23.85" hidden="false" customHeight="false" outlineLevel="0" collapsed="false">
      <c r="A36" s="9" t="n">
        <v>12</v>
      </c>
      <c r="B36" s="9" t="s">
        <v>387</v>
      </c>
      <c r="C36" s="10" t="s">
        <v>3346</v>
      </c>
      <c r="D36" s="10" t="s">
        <v>3339</v>
      </c>
      <c r="E36" s="9" t="s">
        <v>3347</v>
      </c>
      <c r="F36" s="10" t="s">
        <v>3348</v>
      </c>
      <c r="G36" s="9" t="s">
        <v>3242</v>
      </c>
      <c r="H36" s="10" t="s">
        <v>3349</v>
      </c>
      <c r="I36" s="9"/>
      <c r="J36" s="9" t="s">
        <v>1975</v>
      </c>
      <c r="K36" s="9" t="s">
        <v>1975</v>
      </c>
    </row>
    <row r="37" customFormat="false" ht="23.85" hidden="false" customHeight="false" outlineLevel="0" collapsed="false">
      <c r="A37" s="9" t="n">
        <v>12</v>
      </c>
      <c r="B37" s="9" t="s">
        <v>387</v>
      </c>
      <c r="C37" s="10" t="s">
        <v>3346</v>
      </c>
      <c r="D37" s="10" t="s">
        <v>3339</v>
      </c>
      <c r="E37" s="9" t="s">
        <v>3350</v>
      </c>
      <c r="F37" s="10" t="s">
        <v>3351</v>
      </c>
      <c r="G37" s="9" t="s">
        <v>3242</v>
      </c>
      <c r="H37" s="10" t="s">
        <v>3352</v>
      </c>
      <c r="I37" s="9"/>
      <c r="J37" s="9" t="s">
        <v>1975</v>
      </c>
      <c r="K37" s="9" t="s">
        <v>1975</v>
      </c>
    </row>
    <row r="38" customFormat="false" ht="26.85" hidden="false" customHeight="false" outlineLevel="0" collapsed="false">
      <c r="A38" s="9" t="n">
        <v>12</v>
      </c>
      <c r="B38" s="9" t="s">
        <v>387</v>
      </c>
      <c r="C38" s="10" t="s">
        <v>3346</v>
      </c>
      <c r="D38" s="10" t="s">
        <v>3339</v>
      </c>
      <c r="E38" s="9" t="s">
        <v>3353</v>
      </c>
      <c r="F38" s="10" t="s">
        <v>3354</v>
      </c>
      <c r="G38" s="10" t="s">
        <v>3355</v>
      </c>
      <c r="H38" s="10" t="s">
        <v>3356</v>
      </c>
      <c r="I38" s="9"/>
      <c r="J38" s="10" t="s">
        <v>3247</v>
      </c>
      <c r="K38" s="10" t="s">
        <v>3247</v>
      </c>
    </row>
    <row r="39" customFormat="false" ht="23.85" hidden="false" customHeight="false" outlineLevel="0" collapsed="false">
      <c r="A39" s="9" t="n">
        <v>12</v>
      </c>
      <c r="B39" s="9" t="s">
        <v>387</v>
      </c>
      <c r="C39" s="10" t="s">
        <v>3346</v>
      </c>
      <c r="D39" s="10" t="s">
        <v>3339</v>
      </c>
      <c r="E39" s="9" t="s">
        <v>1978</v>
      </c>
      <c r="F39" s="10" t="s">
        <v>3325</v>
      </c>
      <c r="G39" s="9" t="s">
        <v>3242</v>
      </c>
      <c r="H39" s="10" t="s">
        <v>3326</v>
      </c>
      <c r="I39" s="9"/>
      <c r="J39" s="9" t="s">
        <v>1975</v>
      </c>
      <c r="K39" s="9" t="s">
        <v>1975</v>
      </c>
    </row>
    <row r="40" customFormat="false" ht="23.85" hidden="false" customHeight="false" outlineLevel="0" collapsed="false">
      <c r="A40" s="9" t="n">
        <v>13</v>
      </c>
      <c r="B40" s="9" t="s">
        <v>402</v>
      </c>
      <c r="C40" s="10" t="s">
        <v>3357</v>
      </c>
      <c r="D40" s="10" t="s">
        <v>30</v>
      </c>
      <c r="E40" s="9" t="s">
        <v>3358</v>
      </c>
      <c r="F40" s="10" t="s">
        <v>3359</v>
      </c>
      <c r="G40" s="9" t="s">
        <v>3242</v>
      </c>
      <c r="H40" s="10" t="s">
        <v>3360</v>
      </c>
      <c r="I40" s="9"/>
      <c r="J40" s="9" t="s">
        <v>1975</v>
      </c>
      <c r="K40" s="9" t="s">
        <v>1975</v>
      </c>
    </row>
    <row r="41" customFormat="false" ht="15" hidden="false" customHeight="false" outlineLevel="0" collapsed="false">
      <c r="A41" s="9" t="n">
        <v>13</v>
      </c>
      <c r="B41" s="9" t="s">
        <v>402</v>
      </c>
      <c r="C41" s="10" t="s">
        <v>3357</v>
      </c>
      <c r="D41" s="10" t="s">
        <v>30</v>
      </c>
      <c r="E41" s="9" t="s">
        <v>3361</v>
      </c>
      <c r="F41" s="10" t="s">
        <v>3362</v>
      </c>
      <c r="G41" s="9" t="s">
        <v>3242</v>
      </c>
      <c r="H41" s="10" t="s">
        <v>3363</v>
      </c>
      <c r="I41" s="9"/>
      <c r="J41" s="9" t="s">
        <v>1975</v>
      </c>
      <c r="K41" s="9" t="s">
        <v>1975</v>
      </c>
    </row>
    <row r="42" customFormat="false" ht="23.85" hidden="false" customHeight="false" outlineLevel="0" collapsed="false">
      <c r="A42" s="9" t="n">
        <v>13</v>
      </c>
      <c r="B42" s="9" t="s">
        <v>402</v>
      </c>
      <c r="C42" s="10" t="s">
        <v>3357</v>
      </c>
      <c r="D42" s="10" t="s">
        <v>30</v>
      </c>
      <c r="E42" s="9" t="s">
        <v>3364</v>
      </c>
      <c r="F42" s="10" t="s">
        <v>3365</v>
      </c>
      <c r="G42" s="9" t="s">
        <v>3242</v>
      </c>
      <c r="H42" s="10" t="s">
        <v>3366</v>
      </c>
      <c r="I42" s="9" t="s">
        <v>3367</v>
      </c>
      <c r="J42" s="9" t="s">
        <v>1975</v>
      </c>
      <c r="K42" s="9" t="s">
        <v>1975</v>
      </c>
    </row>
    <row r="43" customFormat="false" ht="15" hidden="false" customHeight="false" outlineLevel="0" collapsed="false">
      <c r="A43" s="9" t="n">
        <v>14</v>
      </c>
      <c r="B43" s="9" t="s">
        <v>409</v>
      </c>
      <c r="C43" s="10" t="s">
        <v>3368</v>
      </c>
      <c r="D43" s="10" t="s">
        <v>27</v>
      </c>
      <c r="E43" s="9" t="s">
        <v>3369</v>
      </c>
      <c r="F43" s="10" t="s">
        <v>3370</v>
      </c>
      <c r="G43" s="9" t="s">
        <v>3242</v>
      </c>
      <c r="H43" s="10" t="s">
        <v>3371</v>
      </c>
      <c r="I43" s="9"/>
      <c r="J43" s="9" t="s">
        <v>1975</v>
      </c>
      <c r="K43" s="9" t="s">
        <v>1975</v>
      </c>
    </row>
    <row r="44" customFormat="false" ht="15" hidden="false" customHeight="false" outlineLevel="0" collapsed="false">
      <c r="A44" s="9" t="n">
        <v>14</v>
      </c>
      <c r="B44" s="9" t="s">
        <v>409</v>
      </c>
      <c r="C44" s="10" t="s">
        <v>3368</v>
      </c>
      <c r="D44" s="10" t="s">
        <v>27</v>
      </c>
      <c r="E44" s="9" t="s">
        <v>3372</v>
      </c>
      <c r="F44" s="10" t="s">
        <v>3373</v>
      </c>
      <c r="G44" s="9" t="s">
        <v>3242</v>
      </c>
      <c r="H44" s="10" t="s">
        <v>3374</v>
      </c>
      <c r="I44" s="9"/>
      <c r="J44" s="9" t="s">
        <v>1975</v>
      </c>
      <c r="K44" s="9" t="s">
        <v>1975</v>
      </c>
    </row>
    <row r="45" customFormat="false" ht="23.85" hidden="false" customHeight="false" outlineLevel="0" collapsed="false">
      <c r="A45" s="9" t="n">
        <v>14</v>
      </c>
      <c r="B45" s="9" t="s">
        <v>409</v>
      </c>
      <c r="C45" s="10" t="s">
        <v>3368</v>
      </c>
      <c r="D45" s="10" t="s">
        <v>27</v>
      </c>
      <c r="E45" s="9" t="s">
        <v>3375</v>
      </c>
      <c r="F45" s="10" t="s">
        <v>3376</v>
      </c>
      <c r="G45" s="9" t="s">
        <v>3242</v>
      </c>
      <c r="H45" s="10" t="s">
        <v>3377</v>
      </c>
      <c r="I45" s="9"/>
      <c r="J45" s="9" t="s">
        <v>1975</v>
      </c>
      <c r="K45" s="9" t="s">
        <v>1975</v>
      </c>
    </row>
    <row r="46" customFormat="false" ht="15" hidden="false" customHeight="false" outlineLevel="0" collapsed="false">
      <c r="A46" s="9" t="n">
        <v>15</v>
      </c>
      <c r="B46" s="9" t="s">
        <v>416</v>
      </c>
      <c r="C46" s="10" t="s">
        <v>417</v>
      </c>
      <c r="D46" s="10" t="s">
        <v>30</v>
      </c>
      <c r="E46" s="9" t="s">
        <v>3378</v>
      </c>
      <c r="F46" s="10" t="s">
        <v>3379</v>
      </c>
      <c r="G46" s="9" t="s">
        <v>3242</v>
      </c>
      <c r="H46" s="10" t="s">
        <v>3380</v>
      </c>
      <c r="I46" s="9"/>
      <c r="J46" s="9" t="s">
        <v>2232</v>
      </c>
      <c r="K46" s="9" t="s">
        <v>3284</v>
      </c>
    </row>
    <row r="47" customFormat="false" ht="15" hidden="false" customHeight="false" outlineLevel="0" collapsed="false">
      <c r="A47" s="9" t="n">
        <v>15</v>
      </c>
      <c r="B47" s="9" t="s">
        <v>416</v>
      </c>
      <c r="C47" s="10" t="s">
        <v>417</v>
      </c>
      <c r="D47" s="10" t="s">
        <v>30</v>
      </c>
      <c r="E47" s="9" t="s">
        <v>3381</v>
      </c>
      <c r="F47" s="10" t="s">
        <v>3382</v>
      </c>
      <c r="G47" s="9" t="s">
        <v>3242</v>
      </c>
      <c r="H47" s="10" t="s">
        <v>3383</v>
      </c>
      <c r="I47" s="9"/>
      <c r="J47" s="9" t="s">
        <v>2232</v>
      </c>
      <c r="K47" s="9" t="s">
        <v>3284</v>
      </c>
    </row>
    <row r="48" customFormat="false" ht="15" hidden="false" customHeight="false" outlineLevel="0" collapsed="false">
      <c r="A48" s="9" t="n">
        <v>15</v>
      </c>
      <c r="B48" s="9" t="s">
        <v>416</v>
      </c>
      <c r="C48" s="10" t="s">
        <v>417</v>
      </c>
      <c r="D48" s="10" t="s">
        <v>30</v>
      </c>
      <c r="E48" s="9" t="s">
        <v>3384</v>
      </c>
      <c r="F48" s="10" t="s">
        <v>3385</v>
      </c>
      <c r="G48" s="9" t="s">
        <v>3242</v>
      </c>
      <c r="H48" s="10" t="s">
        <v>3386</v>
      </c>
      <c r="I48" s="9"/>
      <c r="J48" s="9" t="s">
        <v>2232</v>
      </c>
      <c r="K48" s="9" t="s">
        <v>3284</v>
      </c>
    </row>
    <row r="49" customFormat="false" ht="15" hidden="false" customHeight="false" outlineLevel="0" collapsed="false">
      <c r="A49" s="9" t="n">
        <v>15</v>
      </c>
      <c r="B49" s="9" t="s">
        <v>416</v>
      </c>
      <c r="C49" s="10" t="s">
        <v>417</v>
      </c>
      <c r="D49" s="10" t="s">
        <v>30</v>
      </c>
      <c r="E49" s="9" t="s">
        <v>3387</v>
      </c>
      <c r="F49" s="10" t="s">
        <v>3388</v>
      </c>
      <c r="G49" s="9" t="s">
        <v>3242</v>
      </c>
      <c r="H49" s="10" t="s">
        <v>3389</v>
      </c>
      <c r="I49" s="9"/>
      <c r="J49" s="10" t="s">
        <v>3247</v>
      </c>
      <c r="K49" s="10" t="s">
        <v>3247</v>
      </c>
    </row>
    <row r="50" customFormat="false" ht="23.85" hidden="false" customHeight="false" outlineLevel="0" collapsed="false">
      <c r="A50" s="9" t="n">
        <v>16</v>
      </c>
      <c r="B50" s="9" t="s">
        <v>420</v>
      </c>
      <c r="C50" s="10" t="s">
        <v>3390</v>
      </c>
      <c r="D50" s="10" t="s">
        <v>3339</v>
      </c>
      <c r="E50" s="9" t="s">
        <v>3391</v>
      </c>
      <c r="F50" s="10" t="s">
        <v>3392</v>
      </c>
      <c r="G50" s="9" t="s">
        <v>3242</v>
      </c>
      <c r="H50" s="10" t="s">
        <v>3393</v>
      </c>
      <c r="I50" s="9"/>
      <c r="J50" s="10" t="s">
        <v>3247</v>
      </c>
      <c r="K50" s="10" t="s">
        <v>3247</v>
      </c>
    </row>
    <row r="51" customFormat="false" ht="23.85" hidden="false" customHeight="false" outlineLevel="0" collapsed="false">
      <c r="A51" s="9" t="n">
        <v>16</v>
      </c>
      <c r="B51" s="9" t="s">
        <v>420</v>
      </c>
      <c r="C51" s="10" t="s">
        <v>3390</v>
      </c>
      <c r="D51" s="10" t="s">
        <v>3339</v>
      </c>
      <c r="E51" s="9" t="s">
        <v>3378</v>
      </c>
      <c r="F51" s="10" t="s">
        <v>3379</v>
      </c>
      <c r="G51" s="9" t="s">
        <v>3242</v>
      </c>
      <c r="H51" s="10" t="s">
        <v>3380</v>
      </c>
      <c r="I51" s="9"/>
      <c r="J51" s="9" t="s">
        <v>2232</v>
      </c>
      <c r="K51" s="9" t="s">
        <v>3284</v>
      </c>
    </row>
    <row r="52" customFormat="false" ht="23.85" hidden="false" customHeight="false" outlineLevel="0" collapsed="false">
      <c r="A52" s="9" t="n">
        <v>16</v>
      </c>
      <c r="B52" s="9" t="s">
        <v>420</v>
      </c>
      <c r="C52" s="10" t="s">
        <v>3390</v>
      </c>
      <c r="D52" s="10" t="s">
        <v>3339</v>
      </c>
      <c r="E52" s="9" t="s">
        <v>3381</v>
      </c>
      <c r="F52" s="10" t="s">
        <v>3382</v>
      </c>
      <c r="G52" s="9" t="s">
        <v>3242</v>
      </c>
      <c r="H52" s="10" t="s">
        <v>3383</v>
      </c>
      <c r="I52" s="9"/>
      <c r="J52" s="9" t="s">
        <v>2232</v>
      </c>
      <c r="K52" s="9" t="s">
        <v>3284</v>
      </c>
    </row>
    <row r="53" customFormat="false" ht="23.85" hidden="false" customHeight="false" outlineLevel="0" collapsed="false">
      <c r="A53" s="9" t="n">
        <v>16</v>
      </c>
      <c r="B53" s="9" t="s">
        <v>420</v>
      </c>
      <c r="C53" s="10" t="s">
        <v>3390</v>
      </c>
      <c r="D53" s="10" t="s">
        <v>3339</v>
      </c>
      <c r="E53" s="9" t="s">
        <v>3394</v>
      </c>
      <c r="F53" s="10" t="s">
        <v>3395</v>
      </c>
      <c r="G53" s="9" t="s">
        <v>3242</v>
      </c>
      <c r="H53" s="10" t="s">
        <v>3396</v>
      </c>
      <c r="I53" s="9"/>
      <c r="J53" s="10" t="s">
        <v>3247</v>
      </c>
      <c r="K53" s="10" t="s">
        <v>3247</v>
      </c>
    </row>
    <row r="54" customFormat="false" ht="15" hidden="false" customHeight="false" outlineLevel="0" collapsed="false">
      <c r="A54" s="9" t="n">
        <v>17</v>
      </c>
      <c r="B54" s="9" t="s">
        <v>434</v>
      </c>
      <c r="C54" s="10" t="s">
        <v>435</v>
      </c>
      <c r="D54" s="10" t="s">
        <v>29</v>
      </c>
      <c r="E54" s="9" t="s">
        <v>2144</v>
      </c>
      <c r="F54" s="10" t="s">
        <v>2145</v>
      </c>
      <c r="G54" s="9" t="s">
        <v>3242</v>
      </c>
      <c r="H54" s="10" t="s">
        <v>3397</v>
      </c>
      <c r="I54" s="9"/>
      <c r="J54" s="9" t="s">
        <v>2773</v>
      </c>
      <c r="K54" s="9" t="s">
        <v>2773</v>
      </c>
    </row>
    <row r="55" customFormat="false" ht="15" hidden="false" customHeight="false" outlineLevel="0" collapsed="false">
      <c r="A55" s="9" t="n">
        <v>17</v>
      </c>
      <c r="B55" s="9" t="s">
        <v>434</v>
      </c>
      <c r="C55" s="10" t="s">
        <v>435</v>
      </c>
      <c r="D55" s="10" t="s">
        <v>29</v>
      </c>
      <c r="E55" s="9" t="s">
        <v>3398</v>
      </c>
      <c r="F55" s="10" t="s">
        <v>3399</v>
      </c>
      <c r="G55" s="9" t="s">
        <v>3242</v>
      </c>
      <c r="H55" s="10" t="s">
        <v>3400</v>
      </c>
      <c r="I55" s="9"/>
      <c r="J55" s="10" t="s">
        <v>3247</v>
      </c>
      <c r="K55" s="10" t="s">
        <v>3247</v>
      </c>
    </row>
    <row r="56" customFormat="false" ht="15" hidden="false" customHeight="false" outlineLevel="0" collapsed="false">
      <c r="A56" s="9" t="n">
        <v>17</v>
      </c>
      <c r="B56" s="9" t="s">
        <v>434</v>
      </c>
      <c r="C56" s="10" t="s">
        <v>435</v>
      </c>
      <c r="D56" s="10" t="s">
        <v>29</v>
      </c>
      <c r="E56" s="9" t="s">
        <v>3401</v>
      </c>
      <c r="F56" s="10" t="s">
        <v>3402</v>
      </c>
      <c r="G56" s="9" t="s">
        <v>3242</v>
      </c>
      <c r="H56" s="10" t="s">
        <v>3403</v>
      </c>
      <c r="I56" s="9"/>
      <c r="J56" s="10" t="s">
        <v>3247</v>
      </c>
      <c r="K56" s="10" t="s">
        <v>3247</v>
      </c>
    </row>
    <row r="57" customFormat="false" ht="35.05" hidden="false" customHeight="false" outlineLevel="0" collapsed="false">
      <c r="A57" s="9" t="n">
        <v>18</v>
      </c>
      <c r="B57" s="9" t="s">
        <v>438</v>
      </c>
      <c r="C57" s="10" t="s">
        <v>3404</v>
      </c>
      <c r="D57" s="10" t="s">
        <v>29</v>
      </c>
      <c r="E57" s="9" t="s">
        <v>3405</v>
      </c>
      <c r="F57" s="10" t="s">
        <v>3406</v>
      </c>
      <c r="G57" s="9" t="s">
        <v>3242</v>
      </c>
      <c r="H57" s="10" t="s">
        <v>3407</v>
      </c>
      <c r="I57" s="9"/>
      <c r="J57" s="9" t="s">
        <v>2773</v>
      </c>
      <c r="K57" s="9" t="s">
        <v>2773</v>
      </c>
    </row>
    <row r="58" customFormat="false" ht="15" hidden="false" customHeight="false" outlineLevel="0" collapsed="false">
      <c r="A58" s="9" t="n">
        <v>18</v>
      </c>
      <c r="B58" s="9" t="s">
        <v>438</v>
      </c>
      <c r="C58" s="10" t="s">
        <v>3404</v>
      </c>
      <c r="D58" s="10" t="s">
        <v>29</v>
      </c>
      <c r="E58" s="9" t="s">
        <v>3408</v>
      </c>
      <c r="F58" s="10" t="s">
        <v>3409</v>
      </c>
      <c r="G58" s="9" t="s">
        <v>3242</v>
      </c>
      <c r="H58" s="10" t="s">
        <v>3410</v>
      </c>
      <c r="I58" s="9"/>
      <c r="J58" s="9" t="s">
        <v>2773</v>
      </c>
      <c r="K58" s="9" t="s">
        <v>2773</v>
      </c>
    </row>
    <row r="59" customFormat="false" ht="26.85" hidden="false" customHeight="false" outlineLevel="0" collapsed="false">
      <c r="A59" s="9" t="n">
        <v>19</v>
      </c>
      <c r="B59" s="9" t="s">
        <v>443</v>
      </c>
      <c r="C59" s="10" t="s">
        <v>3411</v>
      </c>
      <c r="D59" s="10" t="s">
        <v>28</v>
      </c>
      <c r="E59" s="9" t="s">
        <v>3353</v>
      </c>
      <c r="F59" s="10" t="s">
        <v>3354</v>
      </c>
      <c r="G59" s="10" t="s">
        <v>3355</v>
      </c>
      <c r="H59" s="10" t="s">
        <v>3356</v>
      </c>
      <c r="I59" s="9"/>
      <c r="J59" s="10" t="s">
        <v>3247</v>
      </c>
      <c r="K59" s="10" t="s">
        <v>3247</v>
      </c>
    </row>
    <row r="60" customFormat="false" ht="23.85" hidden="false" customHeight="false" outlineLevel="0" collapsed="false">
      <c r="A60" s="9" t="n">
        <v>19</v>
      </c>
      <c r="B60" s="9" t="s">
        <v>443</v>
      </c>
      <c r="C60" s="10" t="s">
        <v>3411</v>
      </c>
      <c r="D60" s="10" t="s">
        <v>28</v>
      </c>
      <c r="E60" s="9" t="s">
        <v>3394</v>
      </c>
      <c r="F60" s="10" t="s">
        <v>3395</v>
      </c>
      <c r="G60" s="9" t="s">
        <v>3242</v>
      </c>
      <c r="H60" s="10" t="s">
        <v>3396</v>
      </c>
      <c r="I60" s="9"/>
      <c r="J60" s="10" t="s">
        <v>3247</v>
      </c>
      <c r="K60" s="10" t="s">
        <v>3247</v>
      </c>
    </row>
    <row r="61" customFormat="false" ht="23.85" hidden="false" customHeight="false" outlineLevel="0" collapsed="false">
      <c r="A61" s="9" t="n">
        <v>19</v>
      </c>
      <c r="B61" s="9" t="s">
        <v>443</v>
      </c>
      <c r="C61" s="10" t="s">
        <v>3411</v>
      </c>
      <c r="D61" s="10" t="s">
        <v>28</v>
      </c>
      <c r="E61" s="9" t="s">
        <v>3412</v>
      </c>
      <c r="F61" s="10" t="s">
        <v>3413</v>
      </c>
      <c r="G61" s="9" t="s">
        <v>3242</v>
      </c>
      <c r="H61" s="10" t="s">
        <v>3414</v>
      </c>
      <c r="I61" s="9"/>
      <c r="J61" s="9" t="s">
        <v>2232</v>
      </c>
      <c r="K61" s="9" t="s">
        <v>3284</v>
      </c>
    </row>
    <row r="62" customFormat="false" ht="23.85" hidden="false" customHeight="false" outlineLevel="0" collapsed="false">
      <c r="A62" s="9" t="n">
        <v>19</v>
      </c>
      <c r="B62" s="9" t="s">
        <v>443</v>
      </c>
      <c r="C62" s="10" t="s">
        <v>3411</v>
      </c>
      <c r="D62" s="10" t="s">
        <v>28</v>
      </c>
      <c r="E62" s="9" t="s">
        <v>3415</v>
      </c>
      <c r="F62" s="10" t="s">
        <v>3416</v>
      </c>
      <c r="G62" s="9" t="s">
        <v>3242</v>
      </c>
      <c r="H62" s="10" t="s">
        <v>3417</v>
      </c>
      <c r="I62" s="9"/>
      <c r="J62" s="9" t="s">
        <v>2232</v>
      </c>
      <c r="K62" s="9" t="s">
        <v>3284</v>
      </c>
    </row>
    <row r="63" customFormat="false" ht="15" hidden="false" customHeight="false" outlineLevel="0" collapsed="false">
      <c r="A63" s="9" t="n">
        <v>20</v>
      </c>
      <c r="B63" s="9" t="s">
        <v>456</v>
      </c>
      <c r="C63" s="10" t="s">
        <v>457</v>
      </c>
      <c r="D63" s="10" t="s">
        <v>28</v>
      </c>
      <c r="E63" s="9" t="s">
        <v>3415</v>
      </c>
      <c r="F63" s="10" t="s">
        <v>3416</v>
      </c>
      <c r="G63" s="9" t="s">
        <v>3242</v>
      </c>
      <c r="H63" s="10" t="s">
        <v>3417</v>
      </c>
      <c r="I63" s="9"/>
      <c r="J63" s="9" t="s">
        <v>2232</v>
      </c>
      <c r="K63" s="9" t="s">
        <v>3284</v>
      </c>
    </row>
    <row r="64" customFormat="false" ht="15" hidden="false" customHeight="false" outlineLevel="0" collapsed="false">
      <c r="A64" s="9" t="n">
        <v>20</v>
      </c>
      <c r="B64" s="9" t="s">
        <v>456</v>
      </c>
      <c r="C64" s="10" t="s">
        <v>457</v>
      </c>
      <c r="D64" s="10" t="s">
        <v>28</v>
      </c>
      <c r="E64" s="9" t="s">
        <v>3418</v>
      </c>
      <c r="F64" s="10" t="s">
        <v>3419</v>
      </c>
      <c r="G64" s="9" t="s">
        <v>3242</v>
      </c>
      <c r="H64" s="10" t="s">
        <v>3420</v>
      </c>
      <c r="I64" s="9"/>
      <c r="J64" s="9" t="s">
        <v>2232</v>
      </c>
      <c r="K64" s="9" t="s">
        <v>3284</v>
      </c>
    </row>
    <row r="65" customFormat="false" ht="15" hidden="false" customHeight="false" outlineLevel="0" collapsed="false">
      <c r="A65" s="9" t="n">
        <v>20</v>
      </c>
      <c r="B65" s="9" t="s">
        <v>456</v>
      </c>
      <c r="C65" s="10" t="s">
        <v>457</v>
      </c>
      <c r="D65" s="10" t="s">
        <v>28</v>
      </c>
      <c r="E65" s="9" t="s">
        <v>3412</v>
      </c>
      <c r="F65" s="10" t="s">
        <v>3413</v>
      </c>
      <c r="G65" s="9" t="s">
        <v>3242</v>
      </c>
      <c r="H65" s="10" t="s">
        <v>3414</v>
      </c>
      <c r="I65" s="9"/>
      <c r="J65" s="9" t="s">
        <v>2232</v>
      </c>
      <c r="K65" s="9" t="s">
        <v>3284</v>
      </c>
    </row>
    <row r="66" customFormat="false" ht="15" hidden="false" customHeight="false" outlineLevel="0" collapsed="false">
      <c r="A66" s="9" t="n">
        <v>21</v>
      </c>
      <c r="B66" s="9" t="s">
        <v>460</v>
      </c>
      <c r="C66" s="10" t="s">
        <v>461</v>
      </c>
      <c r="D66" s="10" t="s">
        <v>27</v>
      </c>
      <c r="E66" s="9" t="s">
        <v>3421</v>
      </c>
      <c r="F66" s="10" t="s">
        <v>3422</v>
      </c>
      <c r="G66" s="9" t="s">
        <v>3242</v>
      </c>
      <c r="H66" s="10" t="s">
        <v>3423</v>
      </c>
      <c r="I66" s="9"/>
      <c r="J66" s="9" t="s">
        <v>2773</v>
      </c>
      <c r="K66" s="9" t="s">
        <v>2773</v>
      </c>
    </row>
    <row r="67" customFormat="false" ht="15" hidden="false" customHeight="false" outlineLevel="0" collapsed="false">
      <c r="A67" s="9" t="n">
        <v>21</v>
      </c>
      <c r="B67" s="9" t="s">
        <v>460</v>
      </c>
      <c r="C67" s="10" t="s">
        <v>461</v>
      </c>
      <c r="D67" s="10" t="s">
        <v>27</v>
      </c>
      <c r="E67" s="9" t="s">
        <v>3424</v>
      </c>
      <c r="F67" s="10" t="s">
        <v>3425</v>
      </c>
      <c r="G67" s="9" t="s">
        <v>3242</v>
      </c>
      <c r="H67" s="10" t="s">
        <v>3426</v>
      </c>
      <c r="I67" s="9"/>
      <c r="J67" s="9" t="s">
        <v>2773</v>
      </c>
      <c r="K67" s="9" t="s">
        <v>2773</v>
      </c>
    </row>
    <row r="68" customFormat="false" ht="15" hidden="false" customHeight="false" outlineLevel="0" collapsed="false">
      <c r="A68" s="9" t="n">
        <v>21</v>
      </c>
      <c r="B68" s="9" t="s">
        <v>460</v>
      </c>
      <c r="C68" s="10" t="s">
        <v>461</v>
      </c>
      <c r="D68" s="10" t="s">
        <v>27</v>
      </c>
      <c r="E68" s="9" t="s">
        <v>3427</v>
      </c>
      <c r="F68" s="10" t="s">
        <v>3428</v>
      </c>
      <c r="G68" s="9" t="s">
        <v>3242</v>
      </c>
      <c r="H68" s="10" t="s">
        <v>3429</v>
      </c>
      <c r="I68" s="9"/>
      <c r="J68" s="9" t="s">
        <v>2773</v>
      </c>
      <c r="K68" s="9" t="s">
        <v>2773</v>
      </c>
    </row>
    <row r="69" customFormat="false" ht="26.85" hidden="false" customHeight="false" outlineLevel="0" collapsed="false">
      <c r="A69" s="9" t="n">
        <v>21</v>
      </c>
      <c r="B69" s="9" t="s">
        <v>460</v>
      </c>
      <c r="C69" s="10" t="s">
        <v>461</v>
      </c>
      <c r="D69" s="10" t="s">
        <v>27</v>
      </c>
      <c r="E69" s="9" t="s">
        <v>3430</v>
      </c>
      <c r="F69" s="10" t="s">
        <v>3431</v>
      </c>
      <c r="G69" s="10" t="s">
        <v>3355</v>
      </c>
      <c r="H69" s="10" t="s">
        <v>3432</v>
      </c>
      <c r="I69" s="9"/>
      <c r="J69" s="10" t="s">
        <v>3247</v>
      </c>
      <c r="K69" s="10" t="s">
        <v>3247</v>
      </c>
    </row>
    <row r="70" customFormat="false" ht="23.85" hidden="false" customHeight="false" outlineLevel="0" collapsed="false">
      <c r="A70" s="9" t="n">
        <v>22</v>
      </c>
      <c r="B70" s="9" t="s">
        <v>464</v>
      </c>
      <c r="C70" s="10" t="s">
        <v>3433</v>
      </c>
      <c r="D70" s="10" t="s">
        <v>3434</v>
      </c>
      <c r="E70" s="9" t="s">
        <v>3435</v>
      </c>
      <c r="F70" s="10" t="s">
        <v>3436</v>
      </c>
      <c r="G70" s="9" t="s">
        <v>3330</v>
      </c>
      <c r="H70" s="10" t="s">
        <v>3437</v>
      </c>
      <c r="I70" s="9"/>
      <c r="J70" s="10" t="s">
        <v>3247</v>
      </c>
      <c r="K70" s="10" t="s">
        <v>3247</v>
      </c>
    </row>
    <row r="71" customFormat="false" ht="23.85" hidden="false" customHeight="false" outlineLevel="0" collapsed="false">
      <c r="A71" s="9" t="n">
        <v>22</v>
      </c>
      <c r="B71" s="9" t="s">
        <v>464</v>
      </c>
      <c r="C71" s="10" t="s">
        <v>3433</v>
      </c>
      <c r="D71" s="10" t="s">
        <v>3434</v>
      </c>
      <c r="E71" s="9" t="s">
        <v>3438</v>
      </c>
      <c r="F71" s="10" t="s">
        <v>3439</v>
      </c>
      <c r="G71" s="9" t="s">
        <v>3330</v>
      </c>
      <c r="H71" s="10" t="s">
        <v>3440</v>
      </c>
      <c r="I71" s="9"/>
      <c r="J71" s="10" t="s">
        <v>3247</v>
      </c>
      <c r="K71" s="10" t="s">
        <v>3247</v>
      </c>
    </row>
    <row r="72" customFormat="false" ht="23.85" hidden="false" customHeight="false" outlineLevel="0" collapsed="false">
      <c r="A72" s="9" t="n">
        <v>22</v>
      </c>
      <c r="B72" s="9" t="s">
        <v>464</v>
      </c>
      <c r="C72" s="10" t="s">
        <v>3433</v>
      </c>
      <c r="D72" s="10" t="s">
        <v>3434</v>
      </c>
      <c r="E72" s="9" t="s">
        <v>3441</v>
      </c>
      <c r="F72" s="10" t="s">
        <v>3442</v>
      </c>
      <c r="G72" s="9" t="s">
        <v>3330</v>
      </c>
      <c r="H72" s="10" t="s">
        <v>3443</v>
      </c>
      <c r="I72" s="9"/>
      <c r="J72" s="10" t="s">
        <v>3247</v>
      </c>
      <c r="K72" s="10" t="s">
        <v>3247</v>
      </c>
    </row>
    <row r="73" customFormat="false" ht="23.85" hidden="false" customHeight="false" outlineLevel="0" collapsed="false">
      <c r="A73" s="9" t="n">
        <v>22</v>
      </c>
      <c r="B73" s="9" t="s">
        <v>464</v>
      </c>
      <c r="C73" s="10" t="s">
        <v>3433</v>
      </c>
      <c r="D73" s="10" t="s">
        <v>3434</v>
      </c>
      <c r="E73" s="9" t="s">
        <v>3444</v>
      </c>
      <c r="F73" s="10" t="s">
        <v>3445</v>
      </c>
      <c r="G73" s="9" t="s">
        <v>3330</v>
      </c>
      <c r="H73" s="10" t="s">
        <v>3446</v>
      </c>
      <c r="I73" s="9" t="s">
        <v>3367</v>
      </c>
      <c r="J73" s="10" t="s">
        <v>3247</v>
      </c>
      <c r="K73" s="10" t="s">
        <v>3247</v>
      </c>
    </row>
    <row r="74" customFormat="false" ht="15" hidden="false" customHeight="false" outlineLevel="0" collapsed="false">
      <c r="A74" s="9" t="n">
        <v>23</v>
      </c>
      <c r="B74" s="9" t="s">
        <v>475</v>
      </c>
      <c r="C74" s="10" t="s">
        <v>476</v>
      </c>
      <c r="D74" s="10" t="s">
        <v>29</v>
      </c>
      <c r="E74" s="9" t="s">
        <v>3447</v>
      </c>
      <c r="F74" s="10" t="s">
        <v>3448</v>
      </c>
      <c r="G74" s="9" t="s">
        <v>3242</v>
      </c>
      <c r="H74" s="10" t="s">
        <v>3449</v>
      </c>
      <c r="I74" s="9"/>
      <c r="J74" s="9" t="s">
        <v>2773</v>
      </c>
      <c r="K74" s="9" t="s">
        <v>2773</v>
      </c>
    </row>
    <row r="75" customFormat="false" ht="15" hidden="false" customHeight="false" outlineLevel="0" collapsed="false">
      <c r="A75" s="9" t="n">
        <v>23</v>
      </c>
      <c r="B75" s="9" t="s">
        <v>475</v>
      </c>
      <c r="C75" s="10" t="s">
        <v>476</v>
      </c>
      <c r="D75" s="10" t="s">
        <v>29</v>
      </c>
      <c r="E75" s="9" t="s">
        <v>3450</v>
      </c>
      <c r="F75" s="10" t="s">
        <v>3451</v>
      </c>
      <c r="G75" s="9" t="s">
        <v>3242</v>
      </c>
      <c r="H75" s="10" t="s">
        <v>3452</v>
      </c>
      <c r="I75" s="9"/>
      <c r="J75" s="9" t="s">
        <v>2232</v>
      </c>
      <c r="K75" s="9" t="s">
        <v>3284</v>
      </c>
    </row>
    <row r="76" customFormat="false" ht="26.85" hidden="false" customHeight="false" outlineLevel="0" collapsed="false">
      <c r="A76" s="9" t="n">
        <v>23</v>
      </c>
      <c r="B76" s="9" t="s">
        <v>475</v>
      </c>
      <c r="C76" s="10" t="s">
        <v>476</v>
      </c>
      <c r="D76" s="10" t="s">
        <v>29</v>
      </c>
      <c r="E76" s="9" t="s">
        <v>3453</v>
      </c>
      <c r="F76" s="10" t="s">
        <v>3454</v>
      </c>
      <c r="G76" s="10" t="s">
        <v>3355</v>
      </c>
      <c r="H76" s="10" t="s">
        <v>3455</v>
      </c>
      <c r="I76" s="9"/>
      <c r="J76" s="10" t="s">
        <v>3247</v>
      </c>
      <c r="K76" s="10" t="s">
        <v>3247</v>
      </c>
    </row>
    <row r="77" customFormat="false" ht="15" hidden="false" customHeight="false" outlineLevel="0" collapsed="false">
      <c r="A77" s="9" t="n">
        <v>24</v>
      </c>
      <c r="B77" s="9" t="s">
        <v>479</v>
      </c>
      <c r="C77" s="10" t="s">
        <v>3456</v>
      </c>
      <c r="D77" s="10" t="s">
        <v>27</v>
      </c>
      <c r="E77" s="9" t="s">
        <v>3457</v>
      </c>
      <c r="F77" s="10" t="s">
        <v>3362</v>
      </c>
      <c r="G77" s="9" t="s">
        <v>3242</v>
      </c>
      <c r="H77" s="10" t="s">
        <v>3363</v>
      </c>
      <c r="I77" s="9"/>
      <c r="J77" s="9" t="s">
        <v>1975</v>
      </c>
      <c r="K77" s="9" t="s">
        <v>1975</v>
      </c>
    </row>
    <row r="78" customFormat="false" ht="15" hidden="false" customHeight="false" outlineLevel="0" collapsed="false">
      <c r="A78" s="9" t="n">
        <v>24</v>
      </c>
      <c r="B78" s="9" t="s">
        <v>479</v>
      </c>
      <c r="C78" s="10" t="s">
        <v>3456</v>
      </c>
      <c r="D78" s="10" t="s">
        <v>27</v>
      </c>
      <c r="E78" s="9" t="s">
        <v>3438</v>
      </c>
      <c r="F78" s="10" t="s">
        <v>3439</v>
      </c>
      <c r="G78" s="9" t="s">
        <v>3330</v>
      </c>
      <c r="H78" s="10" t="s">
        <v>3440</v>
      </c>
      <c r="I78" s="9"/>
      <c r="J78" s="10" t="s">
        <v>3247</v>
      </c>
      <c r="K78" s="10" t="s">
        <v>3247</v>
      </c>
    </row>
    <row r="79" customFormat="false" ht="15" hidden="false" customHeight="false" outlineLevel="0" collapsed="false">
      <c r="A79" s="9" t="n">
        <v>24</v>
      </c>
      <c r="B79" s="9" t="s">
        <v>479</v>
      </c>
      <c r="C79" s="10" t="s">
        <v>3456</v>
      </c>
      <c r="D79" s="10" t="s">
        <v>27</v>
      </c>
      <c r="E79" s="9" t="s">
        <v>1978</v>
      </c>
      <c r="F79" s="10" t="s">
        <v>3325</v>
      </c>
      <c r="G79" s="9" t="s">
        <v>3242</v>
      </c>
      <c r="H79" s="10" t="s">
        <v>3326</v>
      </c>
      <c r="I79" s="9"/>
      <c r="J79" s="9" t="s">
        <v>1975</v>
      </c>
      <c r="K79" s="9" t="s">
        <v>1975</v>
      </c>
    </row>
    <row r="80" customFormat="false" ht="15" hidden="false" customHeight="false" outlineLevel="0" collapsed="false">
      <c r="A80" s="9" t="n">
        <v>25</v>
      </c>
      <c r="B80" s="9" t="s">
        <v>486</v>
      </c>
      <c r="C80" s="10" t="s">
        <v>3458</v>
      </c>
      <c r="D80" s="10" t="s">
        <v>28</v>
      </c>
      <c r="E80" s="9" t="s">
        <v>3459</v>
      </c>
      <c r="F80" s="10" t="s">
        <v>3460</v>
      </c>
      <c r="G80" s="9" t="s">
        <v>3242</v>
      </c>
      <c r="H80" s="10" t="s">
        <v>3461</v>
      </c>
      <c r="I80" s="9"/>
      <c r="J80" s="9" t="s">
        <v>2232</v>
      </c>
      <c r="K80" s="9" t="s">
        <v>3284</v>
      </c>
    </row>
    <row r="81" customFormat="false" ht="15" hidden="false" customHeight="false" outlineLevel="0" collapsed="false">
      <c r="A81" s="9" t="n">
        <v>25</v>
      </c>
      <c r="B81" s="9" t="s">
        <v>486</v>
      </c>
      <c r="C81" s="10" t="s">
        <v>3458</v>
      </c>
      <c r="D81" s="10" t="s">
        <v>28</v>
      </c>
      <c r="E81" s="9" t="s">
        <v>3462</v>
      </c>
      <c r="F81" s="10" t="s">
        <v>3463</v>
      </c>
      <c r="G81" s="9" t="s">
        <v>3242</v>
      </c>
      <c r="H81" s="10" t="s">
        <v>3464</v>
      </c>
      <c r="I81" s="9"/>
      <c r="J81" s="9" t="s">
        <v>2232</v>
      </c>
      <c r="K81" s="9" t="s">
        <v>3284</v>
      </c>
    </row>
    <row r="82" customFormat="false" ht="15" hidden="false" customHeight="false" outlineLevel="0" collapsed="false">
      <c r="A82" s="9" t="n">
        <v>25</v>
      </c>
      <c r="B82" s="9" t="s">
        <v>486</v>
      </c>
      <c r="C82" s="10" t="s">
        <v>3458</v>
      </c>
      <c r="D82" s="10" t="s">
        <v>28</v>
      </c>
      <c r="E82" s="9" t="s">
        <v>3465</v>
      </c>
      <c r="F82" s="10" t="s">
        <v>3466</v>
      </c>
      <c r="G82" s="9" t="s">
        <v>3242</v>
      </c>
      <c r="H82" s="10" t="s">
        <v>3467</v>
      </c>
      <c r="I82" s="9"/>
      <c r="J82" s="10" t="s">
        <v>3247</v>
      </c>
      <c r="K82" s="10" t="s">
        <v>3247</v>
      </c>
    </row>
    <row r="83" customFormat="false" ht="15" hidden="false" customHeight="false" outlineLevel="0" collapsed="false">
      <c r="A83" s="9" t="n">
        <v>26</v>
      </c>
      <c r="B83" s="9" t="s">
        <v>495</v>
      </c>
      <c r="C83" s="10" t="s">
        <v>3468</v>
      </c>
      <c r="D83" s="10" t="s">
        <v>28</v>
      </c>
      <c r="E83" s="9" t="s">
        <v>3469</v>
      </c>
      <c r="F83" s="10" t="s">
        <v>3470</v>
      </c>
      <c r="G83" s="9" t="s">
        <v>3242</v>
      </c>
      <c r="H83" s="10" t="s">
        <v>3471</v>
      </c>
      <c r="I83" s="9"/>
      <c r="J83" s="9" t="s">
        <v>2232</v>
      </c>
      <c r="K83" s="9" t="s">
        <v>3284</v>
      </c>
    </row>
    <row r="84" customFormat="false" ht="15" hidden="false" customHeight="false" outlineLevel="0" collapsed="false">
      <c r="A84" s="9" t="n">
        <v>26</v>
      </c>
      <c r="B84" s="9" t="s">
        <v>495</v>
      </c>
      <c r="C84" s="10" t="s">
        <v>3468</v>
      </c>
      <c r="D84" s="10" t="s">
        <v>28</v>
      </c>
      <c r="E84" s="9" t="s">
        <v>3472</v>
      </c>
      <c r="F84" s="10" t="s">
        <v>3473</v>
      </c>
      <c r="G84" s="9" t="s">
        <v>3242</v>
      </c>
      <c r="H84" s="10" t="s">
        <v>3474</v>
      </c>
      <c r="I84" s="9"/>
      <c r="J84" s="9" t="s">
        <v>2232</v>
      </c>
      <c r="K84" s="9" t="s">
        <v>3284</v>
      </c>
    </row>
    <row r="85" customFormat="false" ht="15" hidden="false" customHeight="false" outlineLevel="0" collapsed="false">
      <c r="A85" s="9" t="n">
        <v>26</v>
      </c>
      <c r="B85" s="9" t="s">
        <v>495</v>
      </c>
      <c r="C85" s="10" t="s">
        <v>3468</v>
      </c>
      <c r="D85" s="10" t="s">
        <v>28</v>
      </c>
      <c r="E85" s="9" t="s">
        <v>3475</v>
      </c>
      <c r="F85" s="10" t="s">
        <v>3476</v>
      </c>
      <c r="G85" s="9" t="s">
        <v>3242</v>
      </c>
      <c r="H85" s="10" t="s">
        <v>3477</v>
      </c>
      <c r="I85" s="9"/>
      <c r="J85" s="9" t="s">
        <v>2232</v>
      </c>
      <c r="K85" s="9" t="s">
        <v>3284</v>
      </c>
    </row>
    <row r="86" customFormat="false" ht="15" hidden="false" customHeight="false" outlineLevel="0" collapsed="false">
      <c r="A86" s="9" t="n">
        <v>26</v>
      </c>
      <c r="B86" s="9" t="s">
        <v>495</v>
      </c>
      <c r="C86" s="10" t="s">
        <v>3468</v>
      </c>
      <c r="D86" s="10" t="s">
        <v>28</v>
      </c>
      <c r="E86" s="9" t="s">
        <v>3478</v>
      </c>
      <c r="F86" s="10" t="s">
        <v>3479</v>
      </c>
      <c r="G86" s="9" t="s">
        <v>3242</v>
      </c>
      <c r="H86" s="10" t="s">
        <v>3480</v>
      </c>
      <c r="I86" s="9"/>
      <c r="J86" s="9" t="s">
        <v>2232</v>
      </c>
      <c r="K86" s="9" t="s">
        <v>3284</v>
      </c>
    </row>
    <row r="87" customFormat="false" ht="23.85" hidden="false" customHeight="false" outlineLevel="0" collapsed="false">
      <c r="A87" s="9" t="n">
        <v>27</v>
      </c>
      <c r="B87" s="9" t="s">
        <v>502</v>
      </c>
      <c r="C87" s="10" t="s">
        <v>3481</v>
      </c>
      <c r="D87" s="10" t="s">
        <v>3482</v>
      </c>
      <c r="E87" s="9" t="s">
        <v>3483</v>
      </c>
      <c r="F87" s="10" t="s">
        <v>3484</v>
      </c>
      <c r="G87" s="9" t="s">
        <v>3242</v>
      </c>
      <c r="H87" s="10" t="s">
        <v>3485</v>
      </c>
      <c r="I87" s="9"/>
      <c r="J87" s="9" t="s">
        <v>2232</v>
      </c>
      <c r="K87" s="10" t="s">
        <v>3247</v>
      </c>
    </row>
    <row r="88" customFormat="false" ht="23.85" hidden="false" customHeight="false" outlineLevel="0" collapsed="false">
      <c r="A88" s="9" t="n">
        <v>27</v>
      </c>
      <c r="B88" s="9" t="s">
        <v>502</v>
      </c>
      <c r="C88" s="10" t="s">
        <v>3481</v>
      </c>
      <c r="D88" s="10" t="s">
        <v>3482</v>
      </c>
      <c r="E88" s="9" t="s">
        <v>3486</v>
      </c>
      <c r="F88" s="10" t="s">
        <v>3487</v>
      </c>
      <c r="G88" s="9" t="s">
        <v>3242</v>
      </c>
      <c r="H88" s="10" t="s">
        <v>3488</v>
      </c>
      <c r="I88" s="9"/>
      <c r="J88" s="9" t="s">
        <v>2232</v>
      </c>
      <c r="K88" s="9" t="s">
        <v>3284</v>
      </c>
    </row>
    <row r="89" customFormat="false" ht="23.85" hidden="false" customHeight="false" outlineLevel="0" collapsed="false">
      <c r="A89" s="9" t="n">
        <v>27</v>
      </c>
      <c r="B89" s="9" t="s">
        <v>502</v>
      </c>
      <c r="C89" s="10" t="s">
        <v>3481</v>
      </c>
      <c r="D89" s="10" t="s">
        <v>3482</v>
      </c>
      <c r="E89" s="9" t="s">
        <v>3489</v>
      </c>
      <c r="F89" s="10" t="s">
        <v>3490</v>
      </c>
      <c r="G89" s="9" t="s">
        <v>3242</v>
      </c>
      <c r="H89" s="10" t="s">
        <v>3491</v>
      </c>
      <c r="I89" s="9"/>
      <c r="J89" s="9" t="s">
        <v>2232</v>
      </c>
      <c r="K89" s="9" t="s">
        <v>3284</v>
      </c>
    </row>
    <row r="90" customFormat="false" ht="23.85" hidden="false" customHeight="false" outlineLevel="0" collapsed="false">
      <c r="A90" s="9" t="n">
        <v>27</v>
      </c>
      <c r="B90" s="9" t="s">
        <v>502</v>
      </c>
      <c r="C90" s="10" t="s">
        <v>3481</v>
      </c>
      <c r="D90" s="10" t="s">
        <v>3482</v>
      </c>
      <c r="E90" s="9" t="s">
        <v>3492</v>
      </c>
      <c r="F90" s="10" t="s">
        <v>3493</v>
      </c>
      <c r="G90" s="9" t="s">
        <v>3242</v>
      </c>
      <c r="H90" s="10" t="s">
        <v>3494</v>
      </c>
      <c r="I90" s="9"/>
      <c r="J90" s="9" t="s">
        <v>2232</v>
      </c>
      <c r="K90" s="10" t="s">
        <v>3247</v>
      </c>
    </row>
    <row r="91" customFormat="false" ht="26.85" hidden="false" customHeight="false" outlineLevel="0" collapsed="false">
      <c r="A91" s="9" t="n">
        <v>28</v>
      </c>
      <c r="B91" s="9" t="s">
        <v>515</v>
      </c>
      <c r="C91" s="10" t="s">
        <v>3495</v>
      </c>
      <c r="D91" s="10" t="s">
        <v>24</v>
      </c>
      <c r="E91" s="9" t="s">
        <v>3496</v>
      </c>
      <c r="F91" s="10" t="s">
        <v>3497</v>
      </c>
      <c r="G91" s="9" t="s">
        <v>3242</v>
      </c>
      <c r="H91" s="10" t="s">
        <v>3498</v>
      </c>
      <c r="I91" s="9" t="s">
        <v>3499</v>
      </c>
      <c r="J91" s="9" t="s">
        <v>2232</v>
      </c>
      <c r="K91" s="9" t="s">
        <v>3284</v>
      </c>
    </row>
    <row r="92" customFormat="false" ht="23.85" hidden="false" customHeight="false" outlineLevel="0" collapsed="false">
      <c r="A92" s="9" t="n">
        <v>28</v>
      </c>
      <c r="B92" s="9" t="s">
        <v>515</v>
      </c>
      <c r="C92" s="10" t="s">
        <v>3495</v>
      </c>
      <c r="D92" s="10" t="s">
        <v>24</v>
      </c>
      <c r="E92" s="9" t="s">
        <v>3483</v>
      </c>
      <c r="F92" s="10" t="s">
        <v>3484</v>
      </c>
      <c r="G92" s="9" t="s">
        <v>3242</v>
      </c>
      <c r="H92" s="10" t="s">
        <v>3485</v>
      </c>
      <c r="I92" s="9" t="s">
        <v>3500</v>
      </c>
      <c r="J92" s="9" t="s">
        <v>2232</v>
      </c>
      <c r="K92" s="10" t="s">
        <v>3247</v>
      </c>
    </row>
    <row r="93" customFormat="false" ht="15" hidden="false" customHeight="false" outlineLevel="0" collapsed="false">
      <c r="A93" s="9" t="n">
        <v>28</v>
      </c>
      <c r="B93" s="9" t="s">
        <v>515</v>
      </c>
      <c r="C93" s="10" t="s">
        <v>3495</v>
      </c>
      <c r="D93" s="10" t="s">
        <v>24</v>
      </c>
      <c r="E93" s="9" t="s">
        <v>3501</v>
      </c>
      <c r="F93" s="10" t="s">
        <v>3487</v>
      </c>
      <c r="G93" s="9" t="s">
        <v>3242</v>
      </c>
      <c r="H93" s="10" t="s">
        <v>3488</v>
      </c>
      <c r="I93" s="9"/>
      <c r="J93" s="9" t="s">
        <v>2232</v>
      </c>
      <c r="K93" s="9" t="s">
        <v>3284</v>
      </c>
    </row>
    <row r="94" customFormat="false" ht="26.85" hidden="false" customHeight="false" outlineLevel="0" collapsed="false">
      <c r="A94" s="9" t="n">
        <v>29</v>
      </c>
      <c r="B94" s="9" t="s">
        <v>520</v>
      </c>
      <c r="C94" s="10" t="s">
        <v>3502</v>
      </c>
      <c r="D94" s="10" t="s">
        <v>3503</v>
      </c>
      <c r="E94" s="9" t="s">
        <v>3504</v>
      </c>
      <c r="F94" s="10" t="s">
        <v>3505</v>
      </c>
      <c r="G94" s="9" t="s">
        <v>3242</v>
      </c>
      <c r="H94" s="10" t="s">
        <v>3506</v>
      </c>
      <c r="I94" s="9"/>
      <c r="J94" s="9" t="s">
        <v>2773</v>
      </c>
      <c r="K94" s="9" t="s">
        <v>2773</v>
      </c>
    </row>
    <row r="95" customFormat="false" ht="26.85" hidden="false" customHeight="false" outlineLevel="0" collapsed="false">
      <c r="A95" s="9" t="n">
        <v>29</v>
      </c>
      <c r="B95" s="9" t="s">
        <v>520</v>
      </c>
      <c r="C95" s="10" t="s">
        <v>3502</v>
      </c>
      <c r="D95" s="10" t="s">
        <v>3503</v>
      </c>
      <c r="E95" s="9" t="s">
        <v>3507</v>
      </c>
      <c r="F95" s="10" t="s">
        <v>3508</v>
      </c>
      <c r="G95" s="9" t="s">
        <v>3242</v>
      </c>
      <c r="H95" s="10" t="s">
        <v>3509</v>
      </c>
      <c r="I95" s="9"/>
      <c r="J95" s="9" t="s">
        <v>3039</v>
      </c>
      <c r="K95" s="9" t="s">
        <v>3039</v>
      </c>
    </row>
    <row r="96" customFormat="false" ht="26.85" hidden="false" customHeight="false" outlineLevel="0" collapsed="false">
      <c r="A96" s="9" t="n">
        <v>29</v>
      </c>
      <c r="B96" s="9" t="s">
        <v>520</v>
      </c>
      <c r="C96" s="10" t="s">
        <v>3502</v>
      </c>
      <c r="D96" s="10" t="s">
        <v>3503</v>
      </c>
      <c r="E96" s="9" t="s">
        <v>3510</v>
      </c>
      <c r="F96" s="10" t="s">
        <v>3511</v>
      </c>
      <c r="G96" s="9" t="s">
        <v>3242</v>
      </c>
      <c r="H96" s="10" t="s">
        <v>3512</v>
      </c>
      <c r="I96" s="9" t="s">
        <v>3513</v>
      </c>
      <c r="J96" s="9" t="s">
        <v>2773</v>
      </c>
      <c r="K96" s="9" t="s">
        <v>2773</v>
      </c>
    </row>
    <row r="97" customFormat="false" ht="23.85" hidden="false" customHeight="false" outlineLevel="0" collapsed="false">
      <c r="A97" s="9" t="n">
        <v>30</v>
      </c>
      <c r="B97" s="9" t="s">
        <v>527</v>
      </c>
      <c r="C97" s="10" t="s">
        <v>3514</v>
      </c>
      <c r="D97" s="10" t="s">
        <v>24</v>
      </c>
      <c r="E97" s="9" t="s">
        <v>3515</v>
      </c>
      <c r="F97" s="10" t="s">
        <v>3516</v>
      </c>
      <c r="G97" s="9" t="s">
        <v>3242</v>
      </c>
      <c r="H97" s="10" t="s">
        <v>3517</v>
      </c>
      <c r="I97" s="9"/>
      <c r="J97" s="9" t="s">
        <v>2232</v>
      </c>
      <c r="K97" s="9" t="s">
        <v>3284</v>
      </c>
    </row>
    <row r="98" customFormat="false" ht="23.85" hidden="false" customHeight="false" outlineLevel="0" collapsed="false">
      <c r="A98" s="9" t="n">
        <v>30</v>
      </c>
      <c r="B98" s="9" t="s">
        <v>527</v>
      </c>
      <c r="C98" s="10" t="s">
        <v>3514</v>
      </c>
      <c r="D98" s="10" t="s">
        <v>24</v>
      </c>
      <c r="E98" s="9" t="s">
        <v>3518</v>
      </c>
      <c r="F98" s="10" t="s">
        <v>3519</v>
      </c>
      <c r="G98" s="9" t="s">
        <v>3242</v>
      </c>
      <c r="H98" s="10" t="s">
        <v>3520</v>
      </c>
      <c r="I98" s="9"/>
      <c r="J98" s="9" t="s">
        <v>2232</v>
      </c>
      <c r="K98" s="9" t="s">
        <v>3284</v>
      </c>
    </row>
    <row r="99" customFormat="false" ht="23.85" hidden="false" customHeight="false" outlineLevel="0" collapsed="false">
      <c r="A99" s="9" t="n">
        <v>30</v>
      </c>
      <c r="B99" s="9" t="s">
        <v>527</v>
      </c>
      <c r="C99" s="10" t="s">
        <v>3514</v>
      </c>
      <c r="D99" s="10" t="s">
        <v>24</v>
      </c>
      <c r="E99" s="9" t="s">
        <v>3521</v>
      </c>
      <c r="F99" s="10" t="s">
        <v>3522</v>
      </c>
      <c r="G99" s="9" t="s">
        <v>3242</v>
      </c>
      <c r="H99" s="10" t="s">
        <v>3523</v>
      </c>
      <c r="I99" s="9"/>
      <c r="J99" s="10" t="s">
        <v>3247</v>
      </c>
      <c r="K99" s="10" t="s">
        <v>3247</v>
      </c>
    </row>
    <row r="100" customFormat="false" ht="23.85" hidden="false" customHeight="false" outlineLevel="0" collapsed="false">
      <c r="A100" s="9" t="n">
        <v>30</v>
      </c>
      <c r="B100" s="9" t="s">
        <v>527</v>
      </c>
      <c r="C100" s="10" t="s">
        <v>3514</v>
      </c>
      <c r="D100" s="10" t="s">
        <v>24</v>
      </c>
      <c r="E100" s="9" t="s">
        <v>3524</v>
      </c>
      <c r="F100" s="10" t="s">
        <v>3525</v>
      </c>
      <c r="G100" s="9" t="s">
        <v>3330</v>
      </c>
      <c r="H100" s="10" t="s">
        <v>3526</v>
      </c>
      <c r="I100" s="9"/>
      <c r="J100" s="10" t="s">
        <v>3247</v>
      </c>
      <c r="K100" s="10" t="s">
        <v>3247</v>
      </c>
    </row>
    <row r="101" customFormat="false" ht="15" hidden="false" customHeight="false" outlineLevel="0" collapsed="false">
      <c r="A101" s="9" t="n">
        <v>31</v>
      </c>
      <c r="B101" s="9" t="s">
        <v>538</v>
      </c>
      <c r="C101" s="10" t="s">
        <v>3527</v>
      </c>
      <c r="D101" s="10" t="s">
        <v>3528</v>
      </c>
      <c r="E101" s="9" t="s">
        <v>3501</v>
      </c>
      <c r="F101" s="10" t="s">
        <v>3487</v>
      </c>
      <c r="G101" s="9" t="s">
        <v>3242</v>
      </c>
      <c r="H101" s="10" t="s">
        <v>3488</v>
      </c>
      <c r="I101" s="9"/>
      <c r="J101" s="9" t="s">
        <v>2232</v>
      </c>
      <c r="K101" s="9" t="s">
        <v>3284</v>
      </c>
    </row>
    <row r="102" customFormat="false" ht="15" hidden="false" customHeight="false" outlineLevel="0" collapsed="false">
      <c r="A102" s="9" t="n">
        <v>31</v>
      </c>
      <c r="B102" s="9" t="s">
        <v>538</v>
      </c>
      <c r="C102" s="10" t="s">
        <v>3527</v>
      </c>
      <c r="D102" s="10" t="s">
        <v>3528</v>
      </c>
      <c r="E102" s="9" t="s">
        <v>3489</v>
      </c>
      <c r="F102" s="10" t="s">
        <v>3490</v>
      </c>
      <c r="G102" s="9" t="s">
        <v>3242</v>
      </c>
      <c r="H102" s="10" t="s">
        <v>3491</v>
      </c>
      <c r="I102" s="9"/>
      <c r="J102" s="9" t="s">
        <v>2232</v>
      </c>
      <c r="K102" s="9" t="s">
        <v>3284</v>
      </c>
    </row>
    <row r="103" customFormat="false" ht="23.85" hidden="false" customHeight="false" outlineLevel="0" collapsed="false">
      <c r="A103" s="9" t="n">
        <v>31</v>
      </c>
      <c r="B103" s="9" t="s">
        <v>538</v>
      </c>
      <c r="C103" s="10" t="s">
        <v>3527</v>
      </c>
      <c r="D103" s="10" t="s">
        <v>3528</v>
      </c>
      <c r="E103" s="9" t="s">
        <v>3529</v>
      </c>
      <c r="F103" s="10" t="s">
        <v>3530</v>
      </c>
      <c r="G103" s="9" t="s">
        <v>3242</v>
      </c>
      <c r="H103" s="10" t="s">
        <v>3531</v>
      </c>
      <c r="I103" s="9"/>
      <c r="J103" s="10" t="s">
        <v>3247</v>
      </c>
      <c r="K103" s="10" t="s">
        <v>3247</v>
      </c>
    </row>
    <row r="104" customFormat="false" ht="15" hidden="false" customHeight="false" outlineLevel="0" collapsed="false">
      <c r="A104" s="9" t="n">
        <v>31</v>
      </c>
      <c r="B104" s="9" t="s">
        <v>538</v>
      </c>
      <c r="C104" s="10" t="s">
        <v>3527</v>
      </c>
      <c r="D104" s="10" t="s">
        <v>3528</v>
      </c>
      <c r="E104" s="9" t="s">
        <v>3532</v>
      </c>
      <c r="F104" s="10" t="s">
        <v>3533</v>
      </c>
      <c r="G104" s="9" t="s">
        <v>3330</v>
      </c>
      <c r="H104" s="10" t="s">
        <v>3534</v>
      </c>
      <c r="I104" s="9"/>
      <c r="J104" s="10" t="s">
        <v>3247</v>
      </c>
      <c r="K104" s="10" t="s">
        <v>3247</v>
      </c>
    </row>
    <row r="105" customFormat="false" ht="15" hidden="false" customHeight="false" outlineLevel="0" collapsed="false">
      <c r="A105" s="9" t="n">
        <v>32</v>
      </c>
      <c r="B105" s="9" t="s">
        <v>543</v>
      </c>
      <c r="C105" s="10" t="s">
        <v>3535</v>
      </c>
      <c r="D105" s="10" t="s">
        <v>24</v>
      </c>
      <c r="E105" s="9" t="s">
        <v>3536</v>
      </c>
      <c r="F105" s="10" t="s">
        <v>3537</v>
      </c>
      <c r="G105" s="9" t="s">
        <v>3330</v>
      </c>
      <c r="H105" s="10" t="s">
        <v>3538</v>
      </c>
      <c r="I105" s="9"/>
      <c r="J105" s="10" t="s">
        <v>3247</v>
      </c>
      <c r="K105" s="10" t="s">
        <v>3247</v>
      </c>
    </row>
    <row r="106" customFormat="false" ht="23.85" hidden="false" customHeight="false" outlineLevel="0" collapsed="false">
      <c r="A106" s="9" t="n">
        <v>32</v>
      </c>
      <c r="B106" s="9" t="s">
        <v>543</v>
      </c>
      <c r="C106" s="10" t="s">
        <v>3535</v>
      </c>
      <c r="D106" s="10" t="s">
        <v>24</v>
      </c>
      <c r="E106" s="9" t="s">
        <v>3539</v>
      </c>
      <c r="F106" s="10" t="s">
        <v>3540</v>
      </c>
      <c r="G106" s="9" t="s">
        <v>3330</v>
      </c>
      <c r="H106" s="10" t="s">
        <v>3541</v>
      </c>
      <c r="I106" s="9"/>
      <c r="J106" s="10" t="s">
        <v>3247</v>
      </c>
      <c r="K106" s="10" t="s">
        <v>3247</v>
      </c>
    </row>
    <row r="107" customFormat="false" ht="23.85" hidden="false" customHeight="false" outlineLevel="0" collapsed="false">
      <c r="A107" s="9" t="n">
        <v>32</v>
      </c>
      <c r="B107" s="9" t="s">
        <v>543</v>
      </c>
      <c r="C107" s="10" t="s">
        <v>3535</v>
      </c>
      <c r="D107" s="10" t="s">
        <v>24</v>
      </c>
      <c r="E107" s="9" t="s">
        <v>3542</v>
      </c>
      <c r="F107" s="10" t="s">
        <v>3543</v>
      </c>
      <c r="G107" s="9" t="s">
        <v>3330</v>
      </c>
      <c r="H107" s="10" t="s">
        <v>3544</v>
      </c>
      <c r="I107" s="9"/>
      <c r="J107" s="10" t="s">
        <v>3247</v>
      </c>
      <c r="K107" s="10" t="s">
        <v>3247</v>
      </c>
    </row>
    <row r="108" customFormat="false" ht="15" hidden="false" customHeight="false" outlineLevel="0" collapsed="false">
      <c r="A108" s="9" t="n">
        <v>33</v>
      </c>
      <c r="B108" s="9" t="s">
        <v>553</v>
      </c>
      <c r="C108" s="10" t="s">
        <v>3545</v>
      </c>
      <c r="D108" s="10" t="s">
        <v>25</v>
      </c>
      <c r="E108" s="9" t="s">
        <v>3546</v>
      </c>
      <c r="F108" s="10" t="s">
        <v>3547</v>
      </c>
      <c r="G108" s="9" t="s">
        <v>3330</v>
      </c>
      <c r="H108" s="10" t="s">
        <v>3548</v>
      </c>
      <c r="I108" s="9"/>
      <c r="J108" s="10" t="s">
        <v>3247</v>
      </c>
      <c r="K108" s="10" t="s">
        <v>3247</v>
      </c>
    </row>
    <row r="109" customFormat="false" ht="26.85" hidden="false" customHeight="false" outlineLevel="0" collapsed="false">
      <c r="A109" s="9" t="n">
        <v>33</v>
      </c>
      <c r="B109" s="9" t="s">
        <v>553</v>
      </c>
      <c r="C109" s="10" t="s">
        <v>3545</v>
      </c>
      <c r="D109" s="10" t="s">
        <v>25</v>
      </c>
      <c r="E109" s="9" t="s">
        <v>3549</v>
      </c>
      <c r="F109" s="10" t="s">
        <v>2979</v>
      </c>
      <c r="G109" s="9" t="s">
        <v>3242</v>
      </c>
      <c r="H109" s="10" t="s">
        <v>3550</v>
      </c>
      <c r="I109" s="9"/>
      <c r="J109" s="9" t="s">
        <v>2232</v>
      </c>
      <c r="K109" s="9" t="s">
        <v>3284</v>
      </c>
    </row>
    <row r="110" customFormat="false" ht="15" hidden="false" customHeight="false" outlineLevel="0" collapsed="false">
      <c r="A110" s="9" t="n">
        <v>33</v>
      </c>
      <c r="B110" s="9" t="s">
        <v>553</v>
      </c>
      <c r="C110" s="10" t="s">
        <v>3545</v>
      </c>
      <c r="D110" s="10" t="s">
        <v>25</v>
      </c>
      <c r="E110" s="9" t="s">
        <v>3551</v>
      </c>
      <c r="F110" s="10" t="s">
        <v>3552</v>
      </c>
      <c r="G110" s="9" t="s">
        <v>3242</v>
      </c>
      <c r="H110" s="10" t="s">
        <v>3553</v>
      </c>
      <c r="I110" s="9"/>
      <c r="J110" s="9" t="s">
        <v>2232</v>
      </c>
      <c r="K110" s="9" t="s">
        <v>3284</v>
      </c>
    </row>
    <row r="111" customFormat="false" ht="15" hidden="false" customHeight="false" outlineLevel="0" collapsed="false">
      <c r="A111" s="9" t="n">
        <v>34</v>
      </c>
      <c r="B111" s="9" t="s">
        <v>560</v>
      </c>
      <c r="C111" s="10" t="s">
        <v>561</v>
      </c>
      <c r="D111" s="10" t="s">
        <v>25</v>
      </c>
      <c r="E111" s="9" t="s">
        <v>3554</v>
      </c>
      <c r="F111" s="10" t="s">
        <v>3555</v>
      </c>
      <c r="G111" s="9" t="s">
        <v>3242</v>
      </c>
      <c r="H111" s="10" t="s">
        <v>3556</v>
      </c>
      <c r="I111" s="9"/>
      <c r="J111" s="10" t="s">
        <v>3247</v>
      </c>
      <c r="K111" s="10" t="s">
        <v>3247</v>
      </c>
    </row>
    <row r="112" customFormat="false" ht="15" hidden="false" customHeight="false" outlineLevel="0" collapsed="false">
      <c r="A112" s="9" t="n">
        <v>34</v>
      </c>
      <c r="B112" s="9" t="s">
        <v>560</v>
      </c>
      <c r="C112" s="10" t="s">
        <v>561</v>
      </c>
      <c r="D112" s="10" t="s">
        <v>25</v>
      </c>
      <c r="E112" s="9" t="s">
        <v>3557</v>
      </c>
      <c r="F112" s="10" t="s">
        <v>3558</v>
      </c>
      <c r="G112" s="9" t="s">
        <v>3242</v>
      </c>
      <c r="H112" s="10" t="s">
        <v>3559</v>
      </c>
      <c r="I112" s="9"/>
      <c r="J112" s="10" t="s">
        <v>3247</v>
      </c>
      <c r="K112" s="10" t="s">
        <v>3247</v>
      </c>
    </row>
    <row r="113" customFormat="false" ht="15" hidden="false" customHeight="false" outlineLevel="0" collapsed="false">
      <c r="A113" s="9" t="n">
        <v>34</v>
      </c>
      <c r="B113" s="9" t="s">
        <v>560</v>
      </c>
      <c r="C113" s="10" t="s">
        <v>561</v>
      </c>
      <c r="D113" s="10" t="s">
        <v>25</v>
      </c>
      <c r="E113" s="9" t="s">
        <v>3560</v>
      </c>
      <c r="F113" s="10" t="s">
        <v>3561</v>
      </c>
      <c r="G113" s="9" t="s">
        <v>3242</v>
      </c>
      <c r="H113" s="10" t="s">
        <v>3562</v>
      </c>
      <c r="I113" s="9"/>
      <c r="J113" s="10" t="s">
        <v>3247</v>
      </c>
      <c r="K113" s="10" t="s">
        <v>3247</v>
      </c>
    </row>
    <row r="114" customFormat="false" ht="15" hidden="false" customHeight="false" outlineLevel="0" collapsed="false">
      <c r="A114" s="9" t="n">
        <v>35</v>
      </c>
      <c r="B114" s="9" t="s">
        <v>564</v>
      </c>
      <c r="C114" s="10" t="s">
        <v>3563</v>
      </c>
      <c r="D114" s="10" t="s">
        <v>25</v>
      </c>
      <c r="E114" s="9" t="s">
        <v>3564</v>
      </c>
      <c r="F114" s="10" t="s">
        <v>3565</v>
      </c>
      <c r="G114" s="9" t="s">
        <v>3242</v>
      </c>
      <c r="H114" s="10" t="s">
        <v>3566</v>
      </c>
      <c r="I114" s="9"/>
      <c r="J114" s="9" t="s">
        <v>2232</v>
      </c>
      <c r="K114" s="9" t="s">
        <v>3284</v>
      </c>
    </row>
    <row r="115" customFormat="false" ht="26.85" hidden="false" customHeight="false" outlineLevel="0" collapsed="false">
      <c r="A115" s="9" t="n">
        <v>35</v>
      </c>
      <c r="B115" s="9" t="s">
        <v>564</v>
      </c>
      <c r="C115" s="10" t="s">
        <v>3563</v>
      </c>
      <c r="D115" s="10" t="s">
        <v>25</v>
      </c>
      <c r="E115" s="9" t="s">
        <v>3567</v>
      </c>
      <c r="F115" s="10" t="s">
        <v>3568</v>
      </c>
      <c r="G115" s="9" t="s">
        <v>3242</v>
      </c>
      <c r="H115" s="10" t="s">
        <v>3569</v>
      </c>
      <c r="I115" s="9"/>
      <c r="J115" s="9" t="s">
        <v>2773</v>
      </c>
      <c r="K115" s="9" t="s">
        <v>2773</v>
      </c>
    </row>
    <row r="116" customFormat="false" ht="15" hidden="false" customHeight="false" outlineLevel="0" collapsed="false">
      <c r="A116" s="9" t="n">
        <v>35</v>
      </c>
      <c r="B116" s="9" t="s">
        <v>564</v>
      </c>
      <c r="C116" s="10" t="s">
        <v>3563</v>
      </c>
      <c r="D116" s="10" t="s">
        <v>25</v>
      </c>
      <c r="E116" s="9" t="s">
        <v>3570</v>
      </c>
      <c r="F116" s="10" t="s">
        <v>2351</v>
      </c>
      <c r="G116" s="9" t="s">
        <v>3242</v>
      </c>
      <c r="H116" s="10" t="s">
        <v>3571</v>
      </c>
      <c r="I116" s="9"/>
      <c r="J116" s="9" t="s">
        <v>2232</v>
      </c>
      <c r="K116" s="9" t="s">
        <v>3284</v>
      </c>
    </row>
    <row r="117" customFormat="false" ht="15" hidden="false" customHeight="false" outlineLevel="0" collapsed="false">
      <c r="A117" s="9" t="n">
        <v>35</v>
      </c>
      <c r="B117" s="9" t="s">
        <v>564</v>
      </c>
      <c r="C117" s="10" t="s">
        <v>3563</v>
      </c>
      <c r="D117" s="10" t="s">
        <v>25</v>
      </c>
      <c r="E117" s="9" t="s">
        <v>3572</v>
      </c>
      <c r="F117" s="10" t="s">
        <v>3573</v>
      </c>
      <c r="G117" s="9" t="s">
        <v>3242</v>
      </c>
      <c r="H117" s="10" t="s">
        <v>3574</v>
      </c>
      <c r="I117" s="9"/>
      <c r="J117" s="10" t="s">
        <v>3247</v>
      </c>
      <c r="K117" s="10" t="s">
        <v>3247</v>
      </c>
    </row>
    <row r="118" customFormat="false" ht="15" hidden="false" customHeight="false" outlineLevel="0" collapsed="false">
      <c r="A118" s="9" t="n">
        <v>36</v>
      </c>
      <c r="B118" s="9" t="s">
        <v>573</v>
      </c>
      <c r="C118" s="10" t="s">
        <v>3575</v>
      </c>
      <c r="D118" s="10" t="s">
        <v>25</v>
      </c>
      <c r="E118" s="9" t="s">
        <v>3576</v>
      </c>
      <c r="F118" s="10" t="s">
        <v>3577</v>
      </c>
      <c r="G118" s="9" t="s">
        <v>3242</v>
      </c>
      <c r="H118" s="10" t="s">
        <v>3578</v>
      </c>
      <c r="I118" s="9"/>
      <c r="J118" s="9" t="s">
        <v>2232</v>
      </c>
      <c r="K118" s="9" t="s">
        <v>3284</v>
      </c>
    </row>
    <row r="119" customFormat="false" ht="15" hidden="false" customHeight="false" outlineLevel="0" collapsed="false">
      <c r="A119" s="9" t="n">
        <v>36</v>
      </c>
      <c r="B119" s="9" t="s">
        <v>573</v>
      </c>
      <c r="C119" s="10" t="s">
        <v>3575</v>
      </c>
      <c r="D119" s="10" t="s">
        <v>25</v>
      </c>
      <c r="E119" s="9" t="s">
        <v>3579</v>
      </c>
      <c r="F119" s="10" t="s">
        <v>3580</v>
      </c>
      <c r="G119" s="9" t="s">
        <v>3242</v>
      </c>
      <c r="H119" s="10" t="s">
        <v>3581</v>
      </c>
      <c r="I119" s="9"/>
      <c r="J119" s="9" t="s">
        <v>2232</v>
      </c>
      <c r="K119" s="9" t="s">
        <v>3284</v>
      </c>
    </row>
    <row r="120" customFormat="false" ht="15" hidden="false" customHeight="false" outlineLevel="0" collapsed="false">
      <c r="A120" s="9" t="n">
        <v>36</v>
      </c>
      <c r="B120" s="9" t="s">
        <v>573</v>
      </c>
      <c r="C120" s="10" t="s">
        <v>3575</v>
      </c>
      <c r="D120" s="10" t="s">
        <v>25</v>
      </c>
      <c r="E120" s="9" t="s">
        <v>3582</v>
      </c>
      <c r="F120" s="10" t="s">
        <v>3583</v>
      </c>
      <c r="G120" s="9" t="s">
        <v>3242</v>
      </c>
      <c r="H120" s="10" t="s">
        <v>3584</v>
      </c>
      <c r="I120" s="9"/>
      <c r="J120" s="9" t="s">
        <v>2232</v>
      </c>
      <c r="K120" s="9" t="s">
        <v>3284</v>
      </c>
    </row>
    <row r="121" customFormat="false" ht="15" hidden="false" customHeight="false" outlineLevel="0" collapsed="false">
      <c r="A121" s="9" t="n">
        <v>36</v>
      </c>
      <c r="B121" s="9" t="s">
        <v>573</v>
      </c>
      <c r="C121" s="10" t="s">
        <v>3575</v>
      </c>
      <c r="D121" s="10" t="s">
        <v>25</v>
      </c>
      <c r="E121" s="9" t="s">
        <v>3585</v>
      </c>
      <c r="F121" s="10" t="s">
        <v>3586</v>
      </c>
      <c r="G121" s="9" t="s">
        <v>3242</v>
      </c>
      <c r="H121" s="10" t="s">
        <v>3587</v>
      </c>
      <c r="I121" s="9" t="s">
        <v>3588</v>
      </c>
      <c r="J121" s="9" t="s">
        <v>3039</v>
      </c>
      <c r="K121" s="9" t="s">
        <v>3039</v>
      </c>
    </row>
    <row r="122" customFormat="false" ht="26.85" hidden="false" customHeight="false" outlineLevel="0" collapsed="false">
      <c r="A122" s="9" t="n">
        <v>37</v>
      </c>
      <c r="B122" s="9" t="s">
        <v>580</v>
      </c>
      <c r="C122" s="10" t="s">
        <v>3589</v>
      </c>
      <c r="D122" s="10" t="s">
        <v>24</v>
      </c>
      <c r="E122" s="9" t="s">
        <v>3590</v>
      </c>
      <c r="F122" s="10" t="s">
        <v>3591</v>
      </c>
      <c r="G122" s="9" t="s">
        <v>3242</v>
      </c>
      <c r="H122" s="10" t="s">
        <v>3592</v>
      </c>
      <c r="I122" s="9"/>
      <c r="J122" s="9" t="s">
        <v>2665</v>
      </c>
      <c r="K122" s="9" t="s">
        <v>2665</v>
      </c>
    </row>
    <row r="123" customFormat="false" ht="26.85" hidden="false" customHeight="false" outlineLevel="0" collapsed="false">
      <c r="A123" s="9" t="n">
        <v>37</v>
      </c>
      <c r="B123" s="9" t="s">
        <v>580</v>
      </c>
      <c r="C123" s="10" t="s">
        <v>3589</v>
      </c>
      <c r="D123" s="10" t="s">
        <v>24</v>
      </c>
      <c r="E123" s="9" t="s">
        <v>3593</v>
      </c>
      <c r="F123" s="10" t="s">
        <v>3594</v>
      </c>
      <c r="G123" s="9" t="s">
        <v>3242</v>
      </c>
      <c r="H123" s="10" t="s">
        <v>3595</v>
      </c>
      <c r="I123" s="9"/>
      <c r="J123" s="9" t="s">
        <v>2665</v>
      </c>
      <c r="K123" s="9" t="s">
        <v>2665</v>
      </c>
    </row>
    <row r="124" customFormat="false" ht="26.85" hidden="false" customHeight="false" outlineLevel="0" collapsed="false">
      <c r="A124" s="9" t="n">
        <v>37</v>
      </c>
      <c r="B124" s="9" t="s">
        <v>580</v>
      </c>
      <c r="C124" s="10" t="s">
        <v>3589</v>
      </c>
      <c r="D124" s="10" t="s">
        <v>24</v>
      </c>
      <c r="E124" s="9" t="s">
        <v>3596</v>
      </c>
      <c r="F124" s="10" t="s">
        <v>3568</v>
      </c>
      <c r="G124" s="9" t="s">
        <v>3242</v>
      </c>
      <c r="H124" s="10" t="s">
        <v>3569</v>
      </c>
      <c r="I124" s="9"/>
      <c r="J124" s="9" t="s">
        <v>2773</v>
      </c>
      <c r="K124" s="9" t="s">
        <v>2773</v>
      </c>
    </row>
    <row r="125" customFormat="false" ht="26.85" hidden="false" customHeight="false" outlineLevel="0" collapsed="false">
      <c r="A125" s="9" t="n">
        <v>38</v>
      </c>
      <c r="B125" s="9" t="s">
        <v>589</v>
      </c>
      <c r="C125" s="10" t="s">
        <v>3597</v>
      </c>
      <c r="D125" s="10" t="s">
        <v>24</v>
      </c>
      <c r="E125" s="9" t="s">
        <v>3598</v>
      </c>
      <c r="F125" s="10" t="s">
        <v>3599</v>
      </c>
      <c r="G125" s="9" t="s">
        <v>3242</v>
      </c>
      <c r="H125" s="10" t="s">
        <v>3600</v>
      </c>
      <c r="I125" s="9"/>
      <c r="J125" s="9" t="s">
        <v>2665</v>
      </c>
      <c r="K125" s="9" t="s">
        <v>2665</v>
      </c>
    </row>
    <row r="126" customFormat="false" ht="26.85" hidden="false" customHeight="false" outlineLevel="0" collapsed="false">
      <c r="A126" s="9" t="n">
        <v>38</v>
      </c>
      <c r="B126" s="9" t="s">
        <v>589</v>
      </c>
      <c r="C126" s="10" t="s">
        <v>3597</v>
      </c>
      <c r="D126" s="10" t="s">
        <v>24</v>
      </c>
      <c r="E126" s="9" t="s">
        <v>3601</v>
      </c>
      <c r="F126" s="10" t="s">
        <v>3602</v>
      </c>
      <c r="G126" s="9" t="s">
        <v>3242</v>
      </c>
      <c r="H126" s="10" t="s">
        <v>3603</v>
      </c>
      <c r="I126" s="9"/>
      <c r="J126" s="9" t="s">
        <v>2665</v>
      </c>
      <c r="K126" s="9" t="s">
        <v>2665</v>
      </c>
    </row>
    <row r="127" customFormat="false" ht="26.85" hidden="false" customHeight="false" outlineLevel="0" collapsed="false">
      <c r="A127" s="9" t="n">
        <v>38</v>
      </c>
      <c r="B127" s="9" t="s">
        <v>589</v>
      </c>
      <c r="C127" s="10" t="s">
        <v>3597</v>
      </c>
      <c r="D127" s="10" t="s">
        <v>24</v>
      </c>
      <c r="E127" s="9" t="s">
        <v>3604</v>
      </c>
      <c r="F127" s="10" t="s">
        <v>3605</v>
      </c>
      <c r="G127" s="9" t="s">
        <v>3242</v>
      </c>
      <c r="H127" s="10" t="s">
        <v>3606</v>
      </c>
      <c r="I127" s="9"/>
      <c r="J127" s="9" t="s">
        <v>2665</v>
      </c>
      <c r="K127" s="9" t="s">
        <v>2665</v>
      </c>
    </row>
    <row r="128" customFormat="false" ht="15" hidden="false" customHeight="false" outlineLevel="0" collapsed="false">
      <c r="A128" s="9" t="n">
        <v>39</v>
      </c>
      <c r="B128" s="9" t="s">
        <v>596</v>
      </c>
      <c r="C128" s="10" t="s">
        <v>597</v>
      </c>
      <c r="D128" s="10" t="s">
        <v>24</v>
      </c>
      <c r="E128" s="9" t="s">
        <v>3607</v>
      </c>
      <c r="F128" s="10" t="s">
        <v>3608</v>
      </c>
      <c r="G128" s="9" t="s">
        <v>3242</v>
      </c>
      <c r="H128" s="10" t="s">
        <v>3609</v>
      </c>
      <c r="I128" s="9"/>
      <c r="J128" s="9" t="s">
        <v>2665</v>
      </c>
      <c r="K128" s="9" t="s">
        <v>2665</v>
      </c>
    </row>
    <row r="129" customFormat="false" ht="15" hidden="false" customHeight="false" outlineLevel="0" collapsed="false">
      <c r="A129" s="9" t="n">
        <v>40</v>
      </c>
      <c r="B129" s="9" t="s">
        <v>600</v>
      </c>
      <c r="C129" s="10" t="s">
        <v>3610</v>
      </c>
      <c r="D129" s="10" t="s">
        <v>25</v>
      </c>
      <c r="E129" s="9" t="s">
        <v>3611</v>
      </c>
      <c r="F129" s="10" t="s">
        <v>3612</v>
      </c>
      <c r="G129" s="9" t="s">
        <v>3242</v>
      </c>
      <c r="H129" s="10" t="s">
        <v>3613</v>
      </c>
      <c r="I129" s="9"/>
      <c r="J129" s="9" t="s">
        <v>2773</v>
      </c>
      <c r="K129" s="9" t="s">
        <v>2773</v>
      </c>
    </row>
    <row r="130" customFormat="false" ht="15" hidden="false" customHeight="false" outlineLevel="0" collapsed="false">
      <c r="A130" s="9" t="n">
        <v>40</v>
      </c>
      <c r="B130" s="9" t="s">
        <v>600</v>
      </c>
      <c r="C130" s="10" t="s">
        <v>3610</v>
      </c>
      <c r="D130" s="10" t="s">
        <v>25</v>
      </c>
      <c r="E130" s="9" t="s">
        <v>3614</v>
      </c>
      <c r="F130" s="10" t="s">
        <v>3615</v>
      </c>
      <c r="G130" s="9" t="s">
        <v>3242</v>
      </c>
      <c r="H130" s="10" t="s">
        <v>3616</v>
      </c>
      <c r="I130" s="9"/>
      <c r="J130" s="9" t="s">
        <v>2773</v>
      </c>
      <c r="K130" s="9" t="s">
        <v>2773</v>
      </c>
    </row>
    <row r="131" customFormat="false" ht="15" hidden="false" customHeight="false" outlineLevel="0" collapsed="false">
      <c r="A131" s="9" t="n">
        <v>40</v>
      </c>
      <c r="B131" s="9" t="s">
        <v>600</v>
      </c>
      <c r="C131" s="10" t="s">
        <v>3610</v>
      </c>
      <c r="D131" s="10" t="s">
        <v>25</v>
      </c>
      <c r="E131" s="9" t="s">
        <v>3617</v>
      </c>
      <c r="F131" s="10" t="s">
        <v>3618</v>
      </c>
      <c r="G131" s="9" t="s">
        <v>3242</v>
      </c>
      <c r="H131" s="10" t="s">
        <v>3619</v>
      </c>
      <c r="I131" s="9"/>
      <c r="J131" s="9" t="s">
        <v>2773</v>
      </c>
      <c r="K131" s="9" t="s">
        <v>2773</v>
      </c>
    </row>
    <row r="132" customFormat="false" ht="15" hidden="false" customHeight="false" outlineLevel="0" collapsed="false">
      <c r="A132" s="9" t="n">
        <v>41</v>
      </c>
      <c r="B132" s="9" t="s">
        <v>609</v>
      </c>
      <c r="C132" s="10" t="s">
        <v>3620</v>
      </c>
      <c r="D132" s="10" t="s">
        <v>24</v>
      </c>
      <c r="E132" s="9" t="s">
        <v>3604</v>
      </c>
      <c r="F132" s="10" t="s">
        <v>3605</v>
      </c>
      <c r="G132" s="9" t="s">
        <v>3242</v>
      </c>
      <c r="H132" s="10" t="s">
        <v>3606</v>
      </c>
      <c r="I132" s="9"/>
      <c r="J132" s="9" t="s">
        <v>2665</v>
      </c>
      <c r="K132" s="9" t="s">
        <v>2665</v>
      </c>
    </row>
    <row r="133" customFormat="false" ht="15" hidden="false" customHeight="false" outlineLevel="0" collapsed="false">
      <c r="A133" s="9" t="n">
        <v>41</v>
      </c>
      <c r="B133" s="9" t="s">
        <v>609</v>
      </c>
      <c r="C133" s="10" t="s">
        <v>3620</v>
      </c>
      <c r="D133" s="10" t="s">
        <v>24</v>
      </c>
      <c r="E133" s="9" t="s">
        <v>3621</v>
      </c>
      <c r="F133" s="10" t="s">
        <v>3622</v>
      </c>
      <c r="G133" s="9" t="s">
        <v>3330</v>
      </c>
      <c r="H133" s="10" t="s">
        <v>3623</v>
      </c>
      <c r="I133" s="9"/>
      <c r="J133" s="10" t="s">
        <v>3247</v>
      </c>
      <c r="K133" s="10" t="s">
        <v>3247</v>
      </c>
    </row>
    <row r="134" customFormat="false" ht="15" hidden="false" customHeight="false" outlineLevel="0" collapsed="false">
      <c r="A134" s="9" t="n">
        <v>41</v>
      </c>
      <c r="B134" s="9" t="s">
        <v>609</v>
      </c>
      <c r="C134" s="10" t="s">
        <v>3620</v>
      </c>
      <c r="D134" s="10" t="s">
        <v>24</v>
      </c>
      <c r="E134" s="9" t="s">
        <v>3624</v>
      </c>
      <c r="F134" s="10" t="s">
        <v>3625</v>
      </c>
      <c r="G134" s="9" t="s">
        <v>3242</v>
      </c>
      <c r="H134" s="10" t="s">
        <v>3626</v>
      </c>
      <c r="I134" s="9"/>
      <c r="J134" s="9" t="s">
        <v>2232</v>
      </c>
      <c r="K134" s="9" t="s">
        <v>3284</v>
      </c>
    </row>
    <row r="135" customFormat="false" ht="15" hidden="false" customHeight="false" outlineLevel="0" collapsed="false">
      <c r="A135" s="9" t="n">
        <v>42</v>
      </c>
      <c r="B135" s="9" t="s">
        <v>614</v>
      </c>
      <c r="C135" s="10" t="s">
        <v>3627</v>
      </c>
      <c r="D135" s="10" t="s">
        <v>24</v>
      </c>
      <c r="E135" s="9" t="s">
        <v>3628</v>
      </c>
      <c r="F135" s="10" t="s">
        <v>3629</v>
      </c>
      <c r="G135" s="9" t="s">
        <v>3242</v>
      </c>
      <c r="H135" s="10" t="s">
        <v>3630</v>
      </c>
      <c r="I135" s="9"/>
      <c r="J135" s="10" t="s">
        <v>3247</v>
      </c>
      <c r="K135" s="10" t="s">
        <v>3247</v>
      </c>
    </row>
    <row r="136" customFormat="false" ht="15" hidden="false" customHeight="false" outlineLevel="0" collapsed="false">
      <c r="A136" s="9" t="n">
        <v>42</v>
      </c>
      <c r="B136" s="9" t="s">
        <v>614</v>
      </c>
      <c r="C136" s="10" t="s">
        <v>3627</v>
      </c>
      <c r="D136" s="10" t="s">
        <v>24</v>
      </c>
      <c r="E136" s="9" t="s">
        <v>3631</v>
      </c>
      <c r="F136" s="10" t="s">
        <v>3632</v>
      </c>
      <c r="G136" s="9" t="s">
        <v>3242</v>
      </c>
      <c r="H136" s="10" t="s">
        <v>3633</v>
      </c>
      <c r="I136" s="9"/>
      <c r="J136" s="10" t="s">
        <v>3247</v>
      </c>
      <c r="K136" s="10" t="s">
        <v>3247</v>
      </c>
    </row>
    <row r="137" customFormat="false" ht="15" hidden="false" customHeight="false" outlineLevel="0" collapsed="false">
      <c r="A137" s="9" t="n">
        <v>42</v>
      </c>
      <c r="B137" s="9" t="s">
        <v>614</v>
      </c>
      <c r="C137" s="10" t="s">
        <v>3627</v>
      </c>
      <c r="D137" s="10" t="s">
        <v>24</v>
      </c>
      <c r="E137" s="9" t="s">
        <v>3634</v>
      </c>
      <c r="F137" s="10" t="s">
        <v>3635</v>
      </c>
      <c r="G137" s="9" t="s">
        <v>3242</v>
      </c>
      <c r="H137" s="10" t="s">
        <v>3636</v>
      </c>
      <c r="I137" s="9"/>
      <c r="J137" s="10" t="s">
        <v>3247</v>
      </c>
      <c r="K137" s="10" t="s">
        <v>3247</v>
      </c>
    </row>
    <row r="138" customFormat="false" ht="23.85" hidden="false" customHeight="false" outlineLevel="0" collapsed="false">
      <c r="A138" s="9" t="n">
        <v>43</v>
      </c>
      <c r="B138" s="9" t="s">
        <v>619</v>
      </c>
      <c r="C138" s="10" t="s">
        <v>3637</v>
      </c>
      <c r="D138" s="10" t="s">
        <v>24</v>
      </c>
      <c r="E138" s="9" t="s">
        <v>3638</v>
      </c>
      <c r="F138" s="10" t="s">
        <v>3639</v>
      </c>
      <c r="G138" s="9" t="s">
        <v>3242</v>
      </c>
      <c r="H138" s="10" t="s">
        <v>3640</v>
      </c>
      <c r="I138" s="9"/>
      <c r="J138" s="10" t="s">
        <v>3247</v>
      </c>
      <c r="K138" s="10" t="s">
        <v>3247</v>
      </c>
    </row>
    <row r="139" customFormat="false" ht="23.85" hidden="false" customHeight="false" outlineLevel="0" collapsed="false">
      <c r="A139" s="9" t="n">
        <v>43</v>
      </c>
      <c r="B139" s="9" t="s">
        <v>619</v>
      </c>
      <c r="C139" s="10" t="s">
        <v>3637</v>
      </c>
      <c r="D139" s="10" t="s">
        <v>24</v>
      </c>
      <c r="E139" s="9" t="s">
        <v>3641</v>
      </c>
      <c r="F139" s="10" t="s">
        <v>3642</v>
      </c>
      <c r="G139" s="9" t="s">
        <v>3242</v>
      </c>
      <c r="H139" s="10" t="s">
        <v>3643</v>
      </c>
      <c r="I139" s="9"/>
      <c r="J139" s="10" t="s">
        <v>3247</v>
      </c>
      <c r="K139" s="10" t="s">
        <v>3247</v>
      </c>
    </row>
    <row r="140" customFormat="false" ht="23.85" hidden="false" customHeight="false" outlineLevel="0" collapsed="false">
      <c r="A140" s="9" t="n">
        <v>43</v>
      </c>
      <c r="B140" s="9" t="s">
        <v>619</v>
      </c>
      <c r="C140" s="10" t="s">
        <v>3637</v>
      </c>
      <c r="D140" s="10" t="s">
        <v>24</v>
      </c>
      <c r="E140" s="9" t="s">
        <v>3644</v>
      </c>
      <c r="F140" s="10" t="s">
        <v>3645</v>
      </c>
      <c r="G140" s="9" t="s">
        <v>3242</v>
      </c>
      <c r="H140" s="10" t="s">
        <v>3646</v>
      </c>
      <c r="I140" s="9"/>
      <c r="J140" s="10" t="s">
        <v>3247</v>
      </c>
      <c r="K140" s="10" t="s">
        <v>3247</v>
      </c>
    </row>
    <row r="141" customFormat="false" ht="23.85" hidden="false" customHeight="false" outlineLevel="0" collapsed="false">
      <c r="A141" s="9" t="n">
        <v>43</v>
      </c>
      <c r="B141" s="9" t="s">
        <v>619</v>
      </c>
      <c r="C141" s="10" t="s">
        <v>3637</v>
      </c>
      <c r="D141" s="10" t="s">
        <v>24</v>
      </c>
      <c r="E141" s="9" t="s">
        <v>3647</v>
      </c>
      <c r="F141" s="10" t="s">
        <v>3648</v>
      </c>
      <c r="G141" s="9" t="s">
        <v>3242</v>
      </c>
      <c r="H141" s="10" t="s">
        <v>3649</v>
      </c>
      <c r="I141" s="9"/>
      <c r="J141" s="10" t="s">
        <v>3247</v>
      </c>
      <c r="K141" s="10" t="s">
        <v>3247</v>
      </c>
    </row>
    <row r="142" customFormat="false" ht="23.85" hidden="false" customHeight="false" outlineLevel="0" collapsed="false">
      <c r="A142" s="9" t="n">
        <v>44</v>
      </c>
      <c r="B142" s="9" t="s">
        <v>634</v>
      </c>
      <c r="C142" s="10" t="s">
        <v>3650</v>
      </c>
      <c r="D142" s="10" t="s">
        <v>24</v>
      </c>
      <c r="E142" s="9" t="s">
        <v>3651</v>
      </c>
      <c r="F142" s="10" t="s">
        <v>3652</v>
      </c>
      <c r="G142" s="9" t="s">
        <v>3242</v>
      </c>
      <c r="H142" s="10" t="s">
        <v>3653</v>
      </c>
      <c r="I142" s="9"/>
      <c r="J142" s="10" t="s">
        <v>3247</v>
      </c>
      <c r="K142" s="10" t="s">
        <v>3247</v>
      </c>
    </row>
    <row r="143" customFormat="false" ht="23.85" hidden="false" customHeight="false" outlineLevel="0" collapsed="false">
      <c r="A143" s="9" t="n">
        <v>44</v>
      </c>
      <c r="B143" s="9" t="s">
        <v>634</v>
      </c>
      <c r="C143" s="10" t="s">
        <v>3650</v>
      </c>
      <c r="D143" s="10" t="s">
        <v>24</v>
      </c>
      <c r="E143" s="9" t="s">
        <v>3654</v>
      </c>
      <c r="F143" s="10" t="s">
        <v>3655</v>
      </c>
      <c r="G143" s="9" t="s">
        <v>3242</v>
      </c>
      <c r="H143" s="10" t="s">
        <v>3656</v>
      </c>
      <c r="I143" s="9"/>
      <c r="J143" s="10" t="s">
        <v>3247</v>
      </c>
      <c r="K143" s="10" t="s">
        <v>3247</v>
      </c>
    </row>
    <row r="144" customFormat="false" ht="26.85" hidden="false" customHeight="false" outlineLevel="0" collapsed="false">
      <c r="A144" s="9" t="n">
        <v>44</v>
      </c>
      <c r="B144" s="9" t="s">
        <v>634</v>
      </c>
      <c r="C144" s="10" t="s">
        <v>3650</v>
      </c>
      <c r="D144" s="10" t="s">
        <v>24</v>
      </c>
      <c r="E144" s="9" t="s">
        <v>3657</v>
      </c>
      <c r="F144" s="10" t="s">
        <v>3658</v>
      </c>
      <c r="G144" s="10" t="s">
        <v>3355</v>
      </c>
      <c r="H144" s="10" t="s">
        <v>3659</v>
      </c>
      <c r="I144" s="9"/>
      <c r="J144" s="10" t="s">
        <v>3247</v>
      </c>
      <c r="K144" s="10" t="s">
        <v>3247</v>
      </c>
    </row>
    <row r="145" customFormat="false" ht="15" hidden="false" customHeight="false" outlineLevel="0" collapsed="false">
      <c r="A145" s="9" t="n">
        <v>45</v>
      </c>
      <c r="B145" s="9" t="s">
        <v>645</v>
      </c>
      <c r="C145" s="10" t="s">
        <v>3660</v>
      </c>
      <c r="D145" s="10" t="s">
        <v>24</v>
      </c>
      <c r="E145" s="9" t="s">
        <v>3661</v>
      </c>
      <c r="F145" s="10" t="s">
        <v>3586</v>
      </c>
      <c r="G145" s="9" t="s">
        <v>3242</v>
      </c>
      <c r="H145" s="10" t="s">
        <v>3587</v>
      </c>
      <c r="I145" s="9"/>
      <c r="J145" s="9" t="s">
        <v>3039</v>
      </c>
      <c r="K145" s="9" t="s">
        <v>3039</v>
      </c>
    </row>
    <row r="146" customFormat="false" ht="15" hidden="false" customHeight="false" outlineLevel="0" collapsed="false">
      <c r="A146" s="9" t="n">
        <v>45</v>
      </c>
      <c r="B146" s="9" t="s">
        <v>645</v>
      </c>
      <c r="C146" s="10" t="s">
        <v>3660</v>
      </c>
      <c r="D146" s="10" t="s">
        <v>24</v>
      </c>
      <c r="E146" s="9" t="s">
        <v>3662</v>
      </c>
      <c r="F146" s="10" t="s">
        <v>3663</v>
      </c>
      <c r="G146" s="9" t="s">
        <v>3242</v>
      </c>
      <c r="H146" s="10" t="s">
        <v>3664</v>
      </c>
      <c r="I146" s="9"/>
      <c r="J146" s="9" t="s">
        <v>2232</v>
      </c>
      <c r="K146" s="9" t="s">
        <v>3284</v>
      </c>
    </row>
    <row r="147" customFormat="false" ht="15" hidden="false" customHeight="false" outlineLevel="0" collapsed="false">
      <c r="A147" s="9" t="n">
        <v>45</v>
      </c>
      <c r="B147" s="9" t="s">
        <v>645</v>
      </c>
      <c r="C147" s="10" t="s">
        <v>3660</v>
      </c>
      <c r="D147" s="10" t="s">
        <v>24</v>
      </c>
      <c r="E147" s="9" t="s">
        <v>3665</v>
      </c>
      <c r="F147" s="10" t="s">
        <v>3666</v>
      </c>
      <c r="G147" s="9" t="s">
        <v>3242</v>
      </c>
      <c r="H147" s="10" t="s">
        <v>3667</v>
      </c>
      <c r="I147" s="9"/>
      <c r="J147" s="9" t="s">
        <v>3039</v>
      </c>
      <c r="K147" s="9" t="s">
        <v>3039</v>
      </c>
    </row>
    <row r="148" customFormat="false" ht="15" hidden="false" customHeight="false" outlineLevel="0" collapsed="false">
      <c r="A148" s="9" t="n">
        <v>46</v>
      </c>
      <c r="B148" s="9" t="s">
        <v>652</v>
      </c>
      <c r="C148" s="10" t="s">
        <v>653</v>
      </c>
      <c r="D148" s="10" t="s">
        <v>24</v>
      </c>
      <c r="E148" s="9" t="s">
        <v>3668</v>
      </c>
      <c r="F148" s="10" t="s">
        <v>3669</v>
      </c>
      <c r="G148" s="9" t="s">
        <v>3330</v>
      </c>
      <c r="H148" s="10" t="s">
        <v>3670</v>
      </c>
      <c r="I148" s="9"/>
      <c r="J148" s="10" t="s">
        <v>3247</v>
      </c>
      <c r="K148" s="10" t="s">
        <v>3247</v>
      </c>
    </row>
    <row r="149" customFormat="false" ht="15" hidden="false" customHeight="false" outlineLevel="0" collapsed="false">
      <c r="A149" s="9" t="n">
        <v>46</v>
      </c>
      <c r="B149" s="9" t="s">
        <v>652</v>
      </c>
      <c r="C149" s="10" t="s">
        <v>653</v>
      </c>
      <c r="D149" s="10" t="s">
        <v>24</v>
      </c>
      <c r="E149" s="9" t="s">
        <v>3671</v>
      </c>
      <c r="F149" s="10" t="s">
        <v>3672</v>
      </c>
      <c r="G149" s="9" t="s">
        <v>3330</v>
      </c>
      <c r="H149" s="10" t="s">
        <v>3673</v>
      </c>
      <c r="I149" s="9"/>
      <c r="J149" s="10" t="s">
        <v>3247</v>
      </c>
      <c r="K149" s="10" t="s">
        <v>3247</v>
      </c>
    </row>
    <row r="150" customFormat="false" ht="15" hidden="false" customHeight="false" outlineLevel="0" collapsed="false">
      <c r="A150" s="9" t="n">
        <v>46</v>
      </c>
      <c r="B150" s="9" t="s">
        <v>652</v>
      </c>
      <c r="C150" s="10" t="s">
        <v>653</v>
      </c>
      <c r="D150" s="10" t="s">
        <v>24</v>
      </c>
      <c r="E150" s="9" t="s">
        <v>3674</v>
      </c>
      <c r="F150" s="10" t="s">
        <v>3675</v>
      </c>
      <c r="G150" s="9" t="s">
        <v>3242</v>
      </c>
      <c r="H150" s="10" t="s">
        <v>3676</v>
      </c>
      <c r="I150" s="9"/>
      <c r="J150" s="10" t="s">
        <v>3247</v>
      </c>
      <c r="K150" s="10" t="s">
        <v>3247</v>
      </c>
    </row>
    <row r="151" customFormat="false" ht="15" hidden="false" customHeight="false" outlineLevel="0" collapsed="false">
      <c r="A151" s="9" t="n">
        <v>47</v>
      </c>
      <c r="B151" s="9" t="s">
        <v>656</v>
      </c>
      <c r="C151" s="10" t="s">
        <v>3677</v>
      </c>
      <c r="D151" s="10" t="s">
        <v>3678</v>
      </c>
      <c r="E151" s="9" t="s">
        <v>3679</v>
      </c>
      <c r="F151" s="10" t="s">
        <v>3680</v>
      </c>
      <c r="G151" s="9" t="s">
        <v>3242</v>
      </c>
      <c r="H151" s="10" t="s">
        <v>3681</v>
      </c>
      <c r="I151" s="9"/>
      <c r="J151" s="9" t="s">
        <v>2232</v>
      </c>
      <c r="K151" s="9" t="s">
        <v>3284</v>
      </c>
    </row>
    <row r="152" customFormat="false" ht="15" hidden="false" customHeight="false" outlineLevel="0" collapsed="false">
      <c r="A152" s="9" t="n">
        <v>47</v>
      </c>
      <c r="B152" s="9" t="s">
        <v>656</v>
      </c>
      <c r="C152" s="10" t="s">
        <v>3677</v>
      </c>
      <c r="D152" s="10" t="s">
        <v>3678</v>
      </c>
      <c r="E152" s="9" t="s">
        <v>3682</v>
      </c>
      <c r="F152" s="10" t="s">
        <v>3683</v>
      </c>
      <c r="G152" s="9" t="s">
        <v>3242</v>
      </c>
      <c r="H152" s="10" t="s">
        <v>3684</v>
      </c>
      <c r="I152" s="9"/>
      <c r="J152" s="9" t="s">
        <v>2232</v>
      </c>
      <c r="K152" s="9" t="s">
        <v>3284</v>
      </c>
    </row>
    <row r="153" customFormat="false" ht="15" hidden="false" customHeight="false" outlineLevel="0" collapsed="false">
      <c r="A153" s="9" t="n">
        <v>47</v>
      </c>
      <c r="B153" s="9" t="s">
        <v>656</v>
      </c>
      <c r="C153" s="10" t="s">
        <v>3677</v>
      </c>
      <c r="D153" s="10" t="s">
        <v>3678</v>
      </c>
      <c r="E153" s="9" t="s">
        <v>3685</v>
      </c>
      <c r="F153" s="10" t="s">
        <v>3686</v>
      </c>
      <c r="G153" s="9" t="s">
        <v>3242</v>
      </c>
      <c r="H153" s="10" t="s">
        <v>3687</v>
      </c>
      <c r="I153" s="9"/>
      <c r="J153" s="9" t="s">
        <v>2232</v>
      </c>
      <c r="K153" s="9" t="s">
        <v>3284</v>
      </c>
    </row>
    <row r="154" customFormat="false" ht="26.85" hidden="false" customHeight="false" outlineLevel="0" collapsed="false">
      <c r="A154" s="9" t="n">
        <v>48</v>
      </c>
      <c r="B154" s="9" t="s">
        <v>666</v>
      </c>
      <c r="C154" s="10" t="s">
        <v>3688</v>
      </c>
      <c r="D154" s="10" t="s">
        <v>25</v>
      </c>
      <c r="E154" s="9" t="s">
        <v>3689</v>
      </c>
      <c r="F154" s="10" t="s">
        <v>3690</v>
      </c>
      <c r="G154" s="9" t="s">
        <v>3242</v>
      </c>
      <c r="H154" s="10" t="s">
        <v>3691</v>
      </c>
      <c r="I154" s="9"/>
      <c r="J154" s="9" t="s">
        <v>2232</v>
      </c>
      <c r="K154" s="9" t="s">
        <v>3284</v>
      </c>
    </row>
    <row r="155" customFormat="false" ht="23.85" hidden="false" customHeight="false" outlineLevel="0" collapsed="false">
      <c r="A155" s="9" t="n">
        <v>48</v>
      </c>
      <c r="B155" s="9" t="s">
        <v>666</v>
      </c>
      <c r="C155" s="10" t="s">
        <v>3688</v>
      </c>
      <c r="D155" s="10" t="s">
        <v>25</v>
      </c>
      <c r="E155" s="9" t="s">
        <v>3692</v>
      </c>
      <c r="F155" s="10" t="s">
        <v>3693</v>
      </c>
      <c r="G155" s="9" t="s">
        <v>3242</v>
      </c>
      <c r="H155" s="10" t="s">
        <v>3694</v>
      </c>
      <c r="I155" s="9"/>
      <c r="J155" s="9" t="s">
        <v>2232</v>
      </c>
      <c r="K155" s="9" t="s">
        <v>3284</v>
      </c>
    </row>
    <row r="156" customFormat="false" ht="23.85" hidden="false" customHeight="false" outlineLevel="0" collapsed="false">
      <c r="A156" s="9" t="n">
        <v>48</v>
      </c>
      <c r="B156" s="9" t="s">
        <v>666</v>
      </c>
      <c r="C156" s="10" t="s">
        <v>3688</v>
      </c>
      <c r="D156" s="10" t="s">
        <v>25</v>
      </c>
      <c r="E156" s="9" t="s">
        <v>3695</v>
      </c>
      <c r="F156" s="10" t="s">
        <v>3696</v>
      </c>
      <c r="G156" s="9" t="s">
        <v>3242</v>
      </c>
      <c r="H156" s="10" t="s">
        <v>3697</v>
      </c>
      <c r="I156" s="9" t="s">
        <v>3698</v>
      </c>
      <c r="J156" s="9" t="s">
        <v>2232</v>
      </c>
      <c r="K156" s="9" t="s">
        <v>3284</v>
      </c>
    </row>
    <row r="157" customFormat="false" ht="23.85" hidden="false" customHeight="false" outlineLevel="0" collapsed="false">
      <c r="A157" s="9" t="n">
        <v>48</v>
      </c>
      <c r="B157" s="9" t="s">
        <v>666</v>
      </c>
      <c r="C157" s="10" t="s">
        <v>3688</v>
      </c>
      <c r="D157" s="10" t="s">
        <v>25</v>
      </c>
      <c r="E157" s="9" t="s">
        <v>3699</v>
      </c>
      <c r="F157" s="10" t="s">
        <v>3700</v>
      </c>
      <c r="G157" s="9" t="s">
        <v>3242</v>
      </c>
      <c r="H157" s="10" t="s">
        <v>3701</v>
      </c>
      <c r="I157" s="9"/>
      <c r="J157" s="9" t="s">
        <v>2232</v>
      </c>
      <c r="K157" s="9" t="s">
        <v>3284</v>
      </c>
    </row>
    <row r="158" customFormat="false" ht="26.85" hidden="false" customHeight="false" outlineLevel="0" collapsed="false">
      <c r="A158" s="9" t="n">
        <v>49</v>
      </c>
      <c r="B158" s="9" t="s">
        <v>679</v>
      </c>
      <c r="C158" s="10" t="s">
        <v>3702</v>
      </c>
      <c r="D158" s="10" t="s">
        <v>24</v>
      </c>
      <c r="E158" s="9" t="s">
        <v>3703</v>
      </c>
      <c r="F158" s="10" t="s">
        <v>3704</v>
      </c>
      <c r="G158" s="10" t="s">
        <v>3355</v>
      </c>
      <c r="H158" s="10" t="s">
        <v>3705</v>
      </c>
      <c r="I158" s="9"/>
      <c r="J158" s="10" t="s">
        <v>3247</v>
      </c>
      <c r="K158" s="10" t="s">
        <v>3247</v>
      </c>
    </row>
    <row r="159" customFormat="false" ht="23.85" hidden="false" customHeight="false" outlineLevel="0" collapsed="false">
      <c r="A159" s="9" t="n">
        <v>49</v>
      </c>
      <c r="B159" s="9" t="s">
        <v>679</v>
      </c>
      <c r="C159" s="10" t="s">
        <v>3702</v>
      </c>
      <c r="D159" s="10" t="s">
        <v>24</v>
      </c>
      <c r="E159" s="9" t="s">
        <v>3706</v>
      </c>
      <c r="F159" s="10" t="s">
        <v>3707</v>
      </c>
      <c r="G159" s="9" t="s">
        <v>3242</v>
      </c>
      <c r="H159" s="10" t="s">
        <v>3708</v>
      </c>
      <c r="I159" s="9"/>
      <c r="J159" s="10" t="s">
        <v>3247</v>
      </c>
      <c r="K159" s="10" t="s">
        <v>3247</v>
      </c>
    </row>
    <row r="160" customFormat="false" ht="15" hidden="false" customHeight="false" outlineLevel="0" collapsed="false">
      <c r="A160" s="9" t="n">
        <v>49</v>
      </c>
      <c r="B160" s="9" t="s">
        <v>679</v>
      </c>
      <c r="C160" s="10" t="s">
        <v>3702</v>
      </c>
      <c r="D160" s="10" t="s">
        <v>24</v>
      </c>
      <c r="E160" s="9" t="s">
        <v>3709</v>
      </c>
      <c r="F160" s="10" t="s">
        <v>3710</v>
      </c>
      <c r="G160" s="9" t="s">
        <v>3242</v>
      </c>
      <c r="H160" s="10" t="s">
        <v>3711</v>
      </c>
      <c r="I160" s="9"/>
      <c r="J160" s="9" t="s">
        <v>2232</v>
      </c>
      <c r="K160" s="9" t="s">
        <v>3284</v>
      </c>
    </row>
    <row r="161" customFormat="false" ht="15" hidden="false" customHeight="false" outlineLevel="0" collapsed="false">
      <c r="A161" s="9" t="n">
        <v>49</v>
      </c>
      <c r="B161" s="9" t="s">
        <v>679</v>
      </c>
      <c r="C161" s="10" t="s">
        <v>3702</v>
      </c>
      <c r="D161" s="10" t="s">
        <v>24</v>
      </c>
      <c r="E161" s="9" t="s">
        <v>3712</v>
      </c>
      <c r="F161" s="10" t="s">
        <v>3713</v>
      </c>
      <c r="G161" s="9" t="s">
        <v>3330</v>
      </c>
      <c r="H161" s="10" t="s">
        <v>3714</v>
      </c>
      <c r="I161" s="9"/>
      <c r="J161" s="10" t="s">
        <v>3247</v>
      </c>
      <c r="K161" s="10" t="s">
        <v>3247</v>
      </c>
    </row>
    <row r="162" customFormat="false" ht="15" hidden="false" customHeight="false" outlineLevel="0" collapsed="false">
      <c r="A162" s="9" t="n">
        <v>50</v>
      </c>
      <c r="B162" s="9" t="s">
        <v>684</v>
      </c>
      <c r="C162" s="10" t="s">
        <v>3715</v>
      </c>
      <c r="D162" s="10" t="s">
        <v>29</v>
      </c>
      <c r="E162" s="9" t="s">
        <v>3716</v>
      </c>
      <c r="F162" s="10" t="s">
        <v>3717</v>
      </c>
      <c r="G162" s="9" t="s">
        <v>3242</v>
      </c>
      <c r="H162" s="10" t="s">
        <v>3718</v>
      </c>
      <c r="I162" s="9"/>
      <c r="J162" s="10" t="s">
        <v>3247</v>
      </c>
      <c r="K162" s="10" t="s">
        <v>3247</v>
      </c>
    </row>
    <row r="163" customFormat="false" ht="15" hidden="false" customHeight="false" outlineLevel="0" collapsed="false">
      <c r="A163" s="9" t="n">
        <v>50</v>
      </c>
      <c r="B163" s="9" t="s">
        <v>684</v>
      </c>
      <c r="C163" s="10" t="s">
        <v>3715</v>
      </c>
      <c r="D163" s="10" t="s">
        <v>29</v>
      </c>
      <c r="E163" s="9" t="s">
        <v>3719</v>
      </c>
      <c r="F163" s="10" t="s">
        <v>3720</v>
      </c>
      <c r="G163" s="9" t="s">
        <v>3242</v>
      </c>
      <c r="H163" s="10" t="s">
        <v>3721</v>
      </c>
      <c r="I163" s="9"/>
      <c r="J163" s="10" t="s">
        <v>3247</v>
      </c>
      <c r="K163" s="10" t="s">
        <v>3247</v>
      </c>
    </row>
    <row r="164" customFormat="false" ht="15" hidden="false" customHeight="false" outlineLevel="0" collapsed="false">
      <c r="A164" s="9" t="n">
        <v>50</v>
      </c>
      <c r="B164" s="9" t="s">
        <v>684</v>
      </c>
      <c r="C164" s="10" t="s">
        <v>3715</v>
      </c>
      <c r="D164" s="10" t="s">
        <v>29</v>
      </c>
      <c r="E164" s="9" t="s">
        <v>3722</v>
      </c>
      <c r="F164" s="10" t="s">
        <v>3723</v>
      </c>
      <c r="G164" s="9" t="s">
        <v>3242</v>
      </c>
      <c r="H164" s="10" t="s">
        <v>3724</v>
      </c>
      <c r="I164" s="9"/>
      <c r="J164" s="10" t="s">
        <v>3247</v>
      </c>
      <c r="K164" s="10" t="s">
        <v>3247</v>
      </c>
    </row>
    <row r="165" customFormat="false" ht="15" hidden="false" customHeight="false" outlineLevel="0" collapsed="false">
      <c r="A165" s="9" t="n">
        <v>50</v>
      </c>
      <c r="B165" s="9" t="s">
        <v>684</v>
      </c>
      <c r="C165" s="10" t="s">
        <v>3715</v>
      </c>
      <c r="D165" s="10" t="s">
        <v>29</v>
      </c>
      <c r="E165" s="9" t="s">
        <v>3725</v>
      </c>
      <c r="F165" s="10" t="s">
        <v>3726</v>
      </c>
      <c r="G165" s="9" t="s">
        <v>3242</v>
      </c>
      <c r="H165" s="10" t="s">
        <v>3727</v>
      </c>
      <c r="I165" s="9"/>
      <c r="J165" s="10" t="s">
        <v>3247</v>
      </c>
      <c r="K165" s="10" t="s">
        <v>3247</v>
      </c>
    </row>
    <row r="166" customFormat="false" ht="15" hidden="false" customHeight="false" outlineLevel="0" collapsed="false">
      <c r="A166" s="9" t="n">
        <v>51</v>
      </c>
      <c r="B166" s="9" t="s">
        <v>689</v>
      </c>
      <c r="C166" s="10" t="s">
        <v>3728</v>
      </c>
      <c r="D166" s="10" t="s">
        <v>24</v>
      </c>
      <c r="E166" s="9" t="s">
        <v>3729</v>
      </c>
      <c r="F166" s="10" t="s">
        <v>3730</v>
      </c>
      <c r="G166" s="9" t="s">
        <v>3242</v>
      </c>
      <c r="H166" s="10" t="s">
        <v>3731</v>
      </c>
      <c r="I166" s="9"/>
      <c r="J166" s="9" t="s">
        <v>2232</v>
      </c>
      <c r="K166" s="9" t="s">
        <v>3284</v>
      </c>
    </row>
    <row r="167" customFormat="false" ht="15" hidden="false" customHeight="false" outlineLevel="0" collapsed="false">
      <c r="A167" s="9" t="n">
        <v>51</v>
      </c>
      <c r="B167" s="9" t="s">
        <v>689</v>
      </c>
      <c r="C167" s="10" t="s">
        <v>3728</v>
      </c>
      <c r="D167" s="10" t="s">
        <v>24</v>
      </c>
      <c r="E167" s="9" t="s">
        <v>3732</v>
      </c>
      <c r="F167" s="10" t="s">
        <v>3733</v>
      </c>
      <c r="G167" s="9" t="s">
        <v>3242</v>
      </c>
      <c r="H167" s="10" t="s">
        <v>3734</v>
      </c>
      <c r="I167" s="9"/>
      <c r="J167" s="9" t="s">
        <v>2232</v>
      </c>
      <c r="K167" s="9" t="s">
        <v>3284</v>
      </c>
    </row>
    <row r="168" customFormat="false" ht="15" hidden="false" customHeight="false" outlineLevel="0" collapsed="false">
      <c r="A168" s="9" t="n">
        <v>51</v>
      </c>
      <c r="B168" s="9" t="s">
        <v>689</v>
      </c>
      <c r="C168" s="10" t="s">
        <v>3728</v>
      </c>
      <c r="D168" s="10" t="s">
        <v>24</v>
      </c>
      <c r="E168" s="9" t="s">
        <v>3735</v>
      </c>
      <c r="F168" s="10" t="s">
        <v>3736</v>
      </c>
      <c r="G168" s="9" t="s">
        <v>3242</v>
      </c>
      <c r="H168" s="10" t="s">
        <v>3737</v>
      </c>
      <c r="I168" s="9"/>
      <c r="J168" s="9" t="s">
        <v>2630</v>
      </c>
      <c r="K168" s="9" t="s">
        <v>2630</v>
      </c>
    </row>
    <row r="169" customFormat="false" ht="23.85" hidden="false" customHeight="false" outlineLevel="0" collapsed="false">
      <c r="A169" s="9" t="n">
        <v>52</v>
      </c>
      <c r="B169" s="9" t="s">
        <v>698</v>
      </c>
      <c r="C169" s="10" t="s">
        <v>3738</v>
      </c>
      <c r="D169" s="10" t="s">
        <v>24</v>
      </c>
      <c r="E169" s="9" t="s">
        <v>3732</v>
      </c>
      <c r="F169" s="10" t="s">
        <v>3733</v>
      </c>
      <c r="G169" s="9" t="s">
        <v>3242</v>
      </c>
      <c r="H169" s="10" t="s">
        <v>3734</v>
      </c>
      <c r="I169" s="9"/>
      <c r="J169" s="9" t="s">
        <v>2232</v>
      </c>
      <c r="K169" s="9" t="s">
        <v>3284</v>
      </c>
    </row>
    <row r="170" customFormat="false" ht="23.85" hidden="false" customHeight="false" outlineLevel="0" collapsed="false">
      <c r="A170" s="9" t="n">
        <v>52</v>
      </c>
      <c r="B170" s="9" t="s">
        <v>698</v>
      </c>
      <c r="C170" s="10" t="s">
        <v>3738</v>
      </c>
      <c r="D170" s="10" t="s">
        <v>24</v>
      </c>
      <c r="E170" s="9" t="s">
        <v>3729</v>
      </c>
      <c r="F170" s="10" t="s">
        <v>3730</v>
      </c>
      <c r="G170" s="9" t="s">
        <v>3242</v>
      </c>
      <c r="H170" s="10" t="s">
        <v>3731</v>
      </c>
      <c r="I170" s="9"/>
      <c r="J170" s="9" t="s">
        <v>2232</v>
      </c>
      <c r="K170" s="9" t="s">
        <v>3284</v>
      </c>
    </row>
    <row r="171" customFormat="false" ht="23.85" hidden="false" customHeight="false" outlineLevel="0" collapsed="false">
      <c r="A171" s="9" t="n">
        <v>52</v>
      </c>
      <c r="B171" s="9" t="s">
        <v>698</v>
      </c>
      <c r="C171" s="10" t="s">
        <v>3738</v>
      </c>
      <c r="D171" s="10" t="s">
        <v>24</v>
      </c>
      <c r="E171" s="9" t="s">
        <v>3739</v>
      </c>
      <c r="F171" s="10" t="s">
        <v>3740</v>
      </c>
      <c r="G171" s="9" t="s">
        <v>3242</v>
      </c>
      <c r="H171" s="10" t="s">
        <v>3741</v>
      </c>
      <c r="I171" s="9"/>
      <c r="J171" s="9" t="s">
        <v>2630</v>
      </c>
      <c r="K171" s="9" t="s">
        <v>2630</v>
      </c>
    </row>
    <row r="172" customFormat="false" ht="23.85" hidden="false" customHeight="false" outlineLevel="0" collapsed="false">
      <c r="A172" s="9" t="n">
        <v>52</v>
      </c>
      <c r="B172" s="9" t="s">
        <v>698</v>
      </c>
      <c r="C172" s="10" t="s">
        <v>3738</v>
      </c>
      <c r="D172" s="10" t="s">
        <v>24</v>
      </c>
      <c r="E172" s="9" t="s">
        <v>3742</v>
      </c>
      <c r="F172" s="10" t="s">
        <v>3743</v>
      </c>
      <c r="G172" s="9" t="s">
        <v>3242</v>
      </c>
      <c r="H172" s="10" t="s">
        <v>3744</v>
      </c>
      <c r="I172" s="9"/>
      <c r="J172" s="9" t="s">
        <v>2232</v>
      </c>
      <c r="K172" s="9" t="s">
        <v>3284</v>
      </c>
    </row>
    <row r="173" customFormat="false" ht="15" hidden="false" customHeight="false" outlineLevel="0" collapsed="false">
      <c r="A173" s="9" t="n">
        <v>53</v>
      </c>
      <c r="B173" s="9" t="s">
        <v>711</v>
      </c>
      <c r="C173" s="10" t="s">
        <v>3745</v>
      </c>
      <c r="D173" s="10" t="s">
        <v>24</v>
      </c>
      <c r="E173" s="9" t="s">
        <v>3746</v>
      </c>
      <c r="F173" s="10" t="s">
        <v>3747</v>
      </c>
      <c r="G173" s="9" t="s">
        <v>3242</v>
      </c>
      <c r="H173" s="10" t="s">
        <v>3748</v>
      </c>
      <c r="I173" s="9"/>
      <c r="J173" s="9" t="s">
        <v>2630</v>
      </c>
      <c r="K173" s="9" t="s">
        <v>2630</v>
      </c>
    </row>
    <row r="174" customFormat="false" ht="15" hidden="false" customHeight="false" outlineLevel="0" collapsed="false">
      <c r="A174" s="9" t="n">
        <v>53</v>
      </c>
      <c r="B174" s="9" t="s">
        <v>711</v>
      </c>
      <c r="C174" s="10" t="s">
        <v>3745</v>
      </c>
      <c r="D174" s="10" t="s">
        <v>24</v>
      </c>
      <c r="E174" s="9" t="s">
        <v>3749</v>
      </c>
      <c r="F174" s="10" t="s">
        <v>3750</v>
      </c>
      <c r="G174" s="9" t="s">
        <v>3242</v>
      </c>
      <c r="H174" s="10" t="s">
        <v>3751</v>
      </c>
      <c r="I174" s="9"/>
      <c r="J174" s="9" t="s">
        <v>2630</v>
      </c>
      <c r="K174" s="9" t="s">
        <v>2630</v>
      </c>
    </row>
    <row r="175" customFormat="false" ht="15" hidden="false" customHeight="false" outlineLevel="0" collapsed="false">
      <c r="A175" s="9" t="n">
        <v>53</v>
      </c>
      <c r="B175" s="9" t="s">
        <v>711</v>
      </c>
      <c r="C175" s="10" t="s">
        <v>3745</v>
      </c>
      <c r="D175" s="10" t="s">
        <v>24</v>
      </c>
      <c r="E175" s="9" t="s">
        <v>3752</v>
      </c>
      <c r="F175" s="10" t="s">
        <v>3753</v>
      </c>
      <c r="G175" s="9" t="s">
        <v>3330</v>
      </c>
      <c r="H175" s="10" t="s">
        <v>3754</v>
      </c>
      <c r="I175" s="9"/>
      <c r="J175" s="10" t="s">
        <v>3247</v>
      </c>
      <c r="K175" s="10" t="s">
        <v>3247</v>
      </c>
    </row>
    <row r="176" customFormat="false" ht="15" hidden="false" customHeight="false" outlineLevel="0" collapsed="false">
      <c r="A176" s="9" t="n">
        <v>53</v>
      </c>
      <c r="B176" s="9" t="s">
        <v>711</v>
      </c>
      <c r="C176" s="10" t="s">
        <v>3745</v>
      </c>
      <c r="D176" s="10" t="s">
        <v>24</v>
      </c>
      <c r="E176" s="9" t="s">
        <v>3739</v>
      </c>
      <c r="F176" s="10" t="s">
        <v>3740</v>
      </c>
      <c r="G176" s="9" t="s">
        <v>3242</v>
      </c>
      <c r="H176" s="10" t="s">
        <v>3741</v>
      </c>
      <c r="I176" s="9"/>
      <c r="J176" s="9" t="s">
        <v>2630</v>
      </c>
      <c r="K176" s="9" t="s">
        <v>2630</v>
      </c>
    </row>
    <row r="177" customFormat="false" ht="15" hidden="false" customHeight="false" outlineLevel="0" collapsed="false">
      <c r="A177" s="9" t="n">
        <v>54</v>
      </c>
      <c r="B177" s="9" t="s">
        <v>718</v>
      </c>
      <c r="C177" s="10" t="s">
        <v>719</v>
      </c>
      <c r="D177" s="10" t="s">
        <v>29</v>
      </c>
      <c r="E177" s="9" t="s">
        <v>3755</v>
      </c>
      <c r="F177" s="10" t="s">
        <v>3756</v>
      </c>
      <c r="G177" s="9" t="s">
        <v>3242</v>
      </c>
      <c r="H177" s="10" t="s">
        <v>3757</v>
      </c>
      <c r="I177" s="9"/>
      <c r="J177" s="10" t="s">
        <v>3247</v>
      </c>
      <c r="K177" s="10" t="s">
        <v>3247</v>
      </c>
    </row>
    <row r="178" customFormat="false" ht="15" hidden="false" customHeight="false" outlineLevel="0" collapsed="false">
      <c r="A178" s="9" t="n">
        <v>54</v>
      </c>
      <c r="B178" s="9" t="s">
        <v>718</v>
      </c>
      <c r="C178" s="10" t="s">
        <v>719</v>
      </c>
      <c r="D178" s="10" t="s">
        <v>29</v>
      </c>
      <c r="E178" s="9" t="s">
        <v>3758</v>
      </c>
      <c r="F178" s="10" t="s">
        <v>3759</v>
      </c>
      <c r="G178" s="9" t="s">
        <v>3242</v>
      </c>
      <c r="H178" s="10" t="s">
        <v>3760</v>
      </c>
      <c r="I178" s="9"/>
      <c r="J178" s="10" t="s">
        <v>3247</v>
      </c>
      <c r="K178" s="10" t="s">
        <v>3247</v>
      </c>
    </row>
    <row r="179" customFormat="false" ht="15" hidden="false" customHeight="false" outlineLevel="0" collapsed="false">
      <c r="A179" s="9" t="n">
        <v>54</v>
      </c>
      <c r="B179" s="9" t="s">
        <v>718</v>
      </c>
      <c r="C179" s="10" t="s">
        <v>719</v>
      </c>
      <c r="D179" s="10" t="s">
        <v>29</v>
      </c>
      <c r="E179" s="9" t="s">
        <v>3761</v>
      </c>
      <c r="F179" s="10" t="s">
        <v>3762</v>
      </c>
      <c r="G179" s="9" t="s">
        <v>3242</v>
      </c>
      <c r="H179" s="10" t="s">
        <v>3763</v>
      </c>
      <c r="I179" s="9"/>
      <c r="J179" s="10" t="s">
        <v>3247</v>
      </c>
      <c r="K179" s="10" t="s">
        <v>3247</v>
      </c>
    </row>
    <row r="180" customFormat="false" ht="15" hidden="false" customHeight="false" outlineLevel="0" collapsed="false">
      <c r="A180" s="9" t="n">
        <v>54</v>
      </c>
      <c r="B180" s="9" t="s">
        <v>718</v>
      </c>
      <c r="C180" s="10" t="s">
        <v>719</v>
      </c>
      <c r="D180" s="10" t="s">
        <v>29</v>
      </c>
      <c r="E180" s="9" t="s">
        <v>3764</v>
      </c>
      <c r="F180" s="10" t="s">
        <v>3765</v>
      </c>
      <c r="G180" s="9" t="s">
        <v>3242</v>
      </c>
      <c r="H180" s="10" t="s">
        <v>3766</v>
      </c>
      <c r="I180" s="9"/>
      <c r="J180" s="10" t="s">
        <v>3247</v>
      </c>
      <c r="K180" s="10" t="s">
        <v>3247</v>
      </c>
    </row>
    <row r="181" customFormat="false" ht="15" hidden="false" customHeight="false" outlineLevel="0" collapsed="false">
      <c r="A181" s="9" t="n">
        <v>55</v>
      </c>
      <c r="B181" s="9" t="s">
        <v>722</v>
      </c>
      <c r="C181" s="10" t="s">
        <v>3767</v>
      </c>
      <c r="D181" s="10" t="s">
        <v>29</v>
      </c>
      <c r="E181" s="9" t="s">
        <v>3768</v>
      </c>
      <c r="F181" s="10" t="s">
        <v>3769</v>
      </c>
      <c r="G181" s="9" t="s">
        <v>3242</v>
      </c>
      <c r="H181" s="10" t="s">
        <v>3770</v>
      </c>
      <c r="I181" s="9"/>
      <c r="J181" s="10" t="s">
        <v>3247</v>
      </c>
      <c r="K181" s="10" t="s">
        <v>3247</v>
      </c>
    </row>
    <row r="182" customFormat="false" ht="15" hidden="false" customHeight="false" outlineLevel="0" collapsed="false">
      <c r="A182" s="9" t="n">
        <v>55</v>
      </c>
      <c r="B182" s="9" t="s">
        <v>722</v>
      </c>
      <c r="C182" s="10" t="s">
        <v>3767</v>
      </c>
      <c r="D182" s="10" t="s">
        <v>29</v>
      </c>
      <c r="E182" s="9" t="s">
        <v>3771</v>
      </c>
      <c r="F182" s="10" t="s">
        <v>3772</v>
      </c>
      <c r="G182" s="9" t="s">
        <v>3242</v>
      </c>
      <c r="H182" s="10" t="s">
        <v>3773</v>
      </c>
      <c r="I182" s="9"/>
      <c r="J182" s="10" t="s">
        <v>3247</v>
      </c>
      <c r="K182" s="10" t="s">
        <v>3247</v>
      </c>
    </row>
    <row r="183" customFormat="false" ht="15" hidden="false" customHeight="false" outlineLevel="0" collapsed="false">
      <c r="A183" s="9" t="n">
        <v>55</v>
      </c>
      <c r="B183" s="9" t="s">
        <v>722</v>
      </c>
      <c r="C183" s="10" t="s">
        <v>3767</v>
      </c>
      <c r="D183" s="10" t="s">
        <v>29</v>
      </c>
      <c r="E183" s="9" t="s">
        <v>3774</v>
      </c>
      <c r="F183" s="10" t="s">
        <v>3775</v>
      </c>
      <c r="G183" s="9" t="s">
        <v>3242</v>
      </c>
      <c r="H183" s="10" t="s">
        <v>3776</v>
      </c>
      <c r="I183" s="9"/>
      <c r="J183" s="10" t="s">
        <v>3247</v>
      </c>
      <c r="K183" s="10" t="s">
        <v>3247</v>
      </c>
    </row>
    <row r="184" customFormat="false" ht="23.85" hidden="false" customHeight="false" outlineLevel="0" collapsed="false">
      <c r="A184" s="9" t="n">
        <v>56</v>
      </c>
      <c r="B184" s="9" t="s">
        <v>727</v>
      </c>
      <c r="C184" s="10" t="s">
        <v>3777</v>
      </c>
      <c r="D184" s="10" t="s">
        <v>27</v>
      </c>
      <c r="E184" s="9" t="s">
        <v>3778</v>
      </c>
      <c r="F184" s="10" t="s">
        <v>3779</v>
      </c>
      <c r="G184" s="9" t="s">
        <v>3242</v>
      </c>
      <c r="H184" s="10" t="s">
        <v>3780</v>
      </c>
      <c r="I184" s="9"/>
      <c r="J184" s="10" t="s">
        <v>3247</v>
      </c>
      <c r="K184" s="10" t="s">
        <v>3247</v>
      </c>
    </row>
    <row r="185" customFormat="false" ht="15" hidden="false" customHeight="false" outlineLevel="0" collapsed="false">
      <c r="A185" s="9" t="n">
        <v>56</v>
      </c>
      <c r="B185" s="9" t="s">
        <v>727</v>
      </c>
      <c r="C185" s="10" t="s">
        <v>3777</v>
      </c>
      <c r="D185" s="10" t="s">
        <v>27</v>
      </c>
      <c r="E185" s="9" t="s">
        <v>3781</v>
      </c>
      <c r="F185" s="10" t="s">
        <v>3782</v>
      </c>
      <c r="G185" s="9" t="s">
        <v>3242</v>
      </c>
      <c r="H185" s="10" t="s">
        <v>3783</v>
      </c>
      <c r="I185" s="9"/>
      <c r="J185" s="10" t="s">
        <v>3247</v>
      </c>
      <c r="K185" s="10" t="s">
        <v>3247</v>
      </c>
    </row>
    <row r="186" customFormat="false" ht="15" hidden="false" customHeight="false" outlineLevel="0" collapsed="false">
      <c r="A186" s="9" t="n">
        <v>56</v>
      </c>
      <c r="B186" s="9" t="s">
        <v>727</v>
      </c>
      <c r="C186" s="10" t="s">
        <v>3777</v>
      </c>
      <c r="D186" s="10" t="s">
        <v>27</v>
      </c>
      <c r="E186" s="9" t="s">
        <v>3755</v>
      </c>
      <c r="F186" s="10" t="s">
        <v>3756</v>
      </c>
      <c r="G186" s="9" t="s">
        <v>3242</v>
      </c>
      <c r="H186" s="10" t="s">
        <v>3757</v>
      </c>
      <c r="I186" s="9"/>
      <c r="J186" s="10" t="s">
        <v>3247</v>
      </c>
      <c r="K186" s="10" t="s">
        <v>3247</v>
      </c>
    </row>
    <row r="187" customFormat="false" ht="15" hidden="false" customHeight="false" outlineLevel="0" collapsed="false">
      <c r="A187" s="9" t="n">
        <v>57</v>
      </c>
      <c r="B187" s="9" t="s">
        <v>732</v>
      </c>
      <c r="C187" s="10" t="s">
        <v>3784</v>
      </c>
      <c r="D187" s="10" t="s">
        <v>25</v>
      </c>
      <c r="E187" s="9" t="s">
        <v>3785</v>
      </c>
      <c r="F187" s="10" t="s">
        <v>3786</v>
      </c>
      <c r="G187" s="9" t="s">
        <v>3330</v>
      </c>
      <c r="H187" s="10" t="s">
        <v>3787</v>
      </c>
      <c r="I187" s="9"/>
      <c r="J187" s="10" t="s">
        <v>3247</v>
      </c>
      <c r="K187" s="10" t="s">
        <v>3247</v>
      </c>
    </row>
    <row r="188" customFormat="false" ht="15" hidden="false" customHeight="false" outlineLevel="0" collapsed="false">
      <c r="A188" s="9" t="n">
        <v>57</v>
      </c>
      <c r="B188" s="9" t="s">
        <v>732</v>
      </c>
      <c r="C188" s="10" t="s">
        <v>3784</v>
      </c>
      <c r="D188" s="10" t="s">
        <v>25</v>
      </c>
      <c r="E188" s="9" t="s">
        <v>3788</v>
      </c>
      <c r="F188" s="10" t="s">
        <v>3789</v>
      </c>
      <c r="G188" s="9" t="s">
        <v>3330</v>
      </c>
      <c r="H188" s="10" t="s">
        <v>3790</v>
      </c>
      <c r="I188" s="9"/>
      <c r="J188" s="10" t="s">
        <v>3247</v>
      </c>
      <c r="K188" s="10" t="s">
        <v>3247</v>
      </c>
    </row>
    <row r="189" customFormat="false" ht="26.85" hidden="false" customHeight="false" outlineLevel="0" collapsed="false">
      <c r="A189" s="9" t="n">
        <v>57</v>
      </c>
      <c r="B189" s="9" t="s">
        <v>732</v>
      </c>
      <c r="C189" s="10" t="s">
        <v>3784</v>
      </c>
      <c r="D189" s="10" t="s">
        <v>25</v>
      </c>
      <c r="E189" s="9" t="s">
        <v>3791</v>
      </c>
      <c r="F189" s="10" t="s">
        <v>3792</v>
      </c>
      <c r="G189" s="10" t="s">
        <v>3793</v>
      </c>
      <c r="H189" s="10" t="s">
        <v>3794</v>
      </c>
      <c r="I189" s="9"/>
      <c r="J189" s="10" t="s">
        <v>3247</v>
      </c>
      <c r="K189" s="10" t="s">
        <v>3247</v>
      </c>
    </row>
    <row r="190" customFormat="false" ht="15" hidden="false" customHeight="false" outlineLevel="0" collapsed="false">
      <c r="A190" s="9" t="n">
        <v>57</v>
      </c>
      <c r="B190" s="9" t="s">
        <v>732</v>
      </c>
      <c r="C190" s="10" t="s">
        <v>3784</v>
      </c>
      <c r="D190" s="10" t="s">
        <v>25</v>
      </c>
      <c r="E190" s="9" t="s">
        <v>3795</v>
      </c>
      <c r="F190" s="10" t="s">
        <v>3796</v>
      </c>
      <c r="G190" s="9" t="s">
        <v>3242</v>
      </c>
      <c r="H190" s="10" t="s">
        <v>3797</v>
      </c>
      <c r="I190" s="9"/>
      <c r="J190" s="10" t="s">
        <v>3247</v>
      </c>
      <c r="K190" s="10" t="s">
        <v>3247</v>
      </c>
    </row>
    <row r="191" customFormat="false" ht="15" hidden="false" customHeight="false" outlineLevel="0" collapsed="false">
      <c r="A191" s="9" t="n">
        <v>58</v>
      </c>
      <c r="B191" s="9" t="s">
        <v>739</v>
      </c>
      <c r="C191" s="10" t="s">
        <v>740</v>
      </c>
      <c r="D191" s="10" t="s">
        <v>25</v>
      </c>
      <c r="E191" s="9" t="s">
        <v>3798</v>
      </c>
      <c r="F191" s="10" t="s">
        <v>3756</v>
      </c>
      <c r="G191" s="9" t="s">
        <v>3242</v>
      </c>
      <c r="H191" s="10" t="s">
        <v>3757</v>
      </c>
      <c r="I191" s="9" t="s">
        <v>3799</v>
      </c>
      <c r="J191" s="10" t="s">
        <v>3247</v>
      </c>
      <c r="K191" s="10" t="s">
        <v>3247</v>
      </c>
    </row>
    <row r="192" customFormat="false" ht="15" hidden="false" customHeight="false" outlineLevel="0" collapsed="false">
      <c r="A192" s="9" t="n">
        <v>58</v>
      </c>
      <c r="B192" s="9" t="s">
        <v>739</v>
      </c>
      <c r="C192" s="10" t="s">
        <v>740</v>
      </c>
      <c r="D192" s="10" t="s">
        <v>25</v>
      </c>
      <c r="E192" s="9" t="s">
        <v>3800</v>
      </c>
      <c r="F192" s="10" t="s">
        <v>3801</v>
      </c>
      <c r="G192" s="9" t="s">
        <v>3330</v>
      </c>
      <c r="H192" s="10" t="s">
        <v>3802</v>
      </c>
      <c r="I192" s="9"/>
      <c r="J192" s="10" t="s">
        <v>3247</v>
      </c>
      <c r="K192" s="10" t="s">
        <v>3247</v>
      </c>
    </row>
    <row r="193" customFormat="false" ht="26.85" hidden="false" customHeight="false" outlineLevel="0" collapsed="false">
      <c r="A193" s="9" t="n">
        <v>58</v>
      </c>
      <c r="B193" s="9" t="s">
        <v>739</v>
      </c>
      <c r="C193" s="10" t="s">
        <v>740</v>
      </c>
      <c r="D193" s="10" t="s">
        <v>25</v>
      </c>
      <c r="E193" s="9" t="s">
        <v>3803</v>
      </c>
      <c r="F193" s="10" t="s">
        <v>3804</v>
      </c>
      <c r="G193" s="10" t="s">
        <v>3355</v>
      </c>
      <c r="H193" s="10" t="s">
        <v>3805</v>
      </c>
      <c r="I193" s="9"/>
      <c r="J193" s="10" t="s">
        <v>3247</v>
      </c>
      <c r="K193" s="10" t="s">
        <v>3247</v>
      </c>
    </row>
    <row r="194" customFormat="false" ht="15" hidden="false" customHeight="false" outlineLevel="0" collapsed="false">
      <c r="A194" s="9" t="n">
        <v>59</v>
      </c>
      <c r="B194" s="9" t="s">
        <v>743</v>
      </c>
      <c r="C194" s="10" t="s">
        <v>3806</v>
      </c>
      <c r="D194" s="10" t="s">
        <v>3807</v>
      </c>
      <c r="E194" s="9" t="s">
        <v>3808</v>
      </c>
      <c r="F194" s="10" t="s">
        <v>3809</v>
      </c>
      <c r="G194" s="9" t="s">
        <v>3242</v>
      </c>
      <c r="H194" s="10" t="s">
        <v>3810</v>
      </c>
      <c r="I194" s="9"/>
      <c r="J194" s="9" t="s">
        <v>2232</v>
      </c>
      <c r="K194" s="9" t="s">
        <v>3284</v>
      </c>
    </row>
    <row r="195" customFormat="false" ht="15" hidden="false" customHeight="false" outlineLevel="0" collapsed="false">
      <c r="A195" s="9" t="n">
        <v>59</v>
      </c>
      <c r="B195" s="9" t="s">
        <v>743</v>
      </c>
      <c r="C195" s="10" t="s">
        <v>3806</v>
      </c>
      <c r="D195" s="10" t="s">
        <v>3807</v>
      </c>
      <c r="E195" s="9" t="s">
        <v>3811</v>
      </c>
      <c r="F195" s="10" t="s">
        <v>3812</v>
      </c>
      <c r="G195" s="9" t="s">
        <v>3242</v>
      </c>
      <c r="H195" s="10" t="s">
        <v>3813</v>
      </c>
      <c r="I195" s="9"/>
      <c r="J195" s="9" t="s">
        <v>2232</v>
      </c>
      <c r="K195" s="9" t="s">
        <v>3284</v>
      </c>
    </row>
    <row r="196" customFormat="false" ht="15" hidden="false" customHeight="false" outlineLevel="0" collapsed="false">
      <c r="A196" s="9" t="n">
        <v>59</v>
      </c>
      <c r="B196" s="9" t="s">
        <v>743</v>
      </c>
      <c r="C196" s="10" t="s">
        <v>3806</v>
      </c>
      <c r="D196" s="10" t="s">
        <v>3807</v>
      </c>
      <c r="E196" s="9" t="s">
        <v>3814</v>
      </c>
      <c r="F196" s="10" t="s">
        <v>3815</v>
      </c>
      <c r="G196" s="9" t="s">
        <v>3242</v>
      </c>
      <c r="H196" s="10" t="s">
        <v>3816</v>
      </c>
      <c r="I196" s="9"/>
      <c r="J196" s="9" t="s">
        <v>2232</v>
      </c>
      <c r="K196" s="9" t="s">
        <v>3284</v>
      </c>
    </row>
    <row r="197" customFormat="false" ht="26.85" hidden="false" customHeight="false" outlineLevel="0" collapsed="false">
      <c r="A197" s="9" t="n">
        <v>60</v>
      </c>
      <c r="B197" s="9" t="s">
        <v>752</v>
      </c>
      <c r="C197" s="10" t="s">
        <v>753</v>
      </c>
      <c r="D197" s="10" t="s">
        <v>24</v>
      </c>
      <c r="E197" s="9" t="s">
        <v>3817</v>
      </c>
      <c r="F197" s="10" t="s">
        <v>3818</v>
      </c>
      <c r="G197" s="10" t="s">
        <v>3355</v>
      </c>
      <c r="H197" s="10" t="s">
        <v>3819</v>
      </c>
      <c r="I197" s="10" t="s">
        <v>3820</v>
      </c>
      <c r="J197" s="10" t="s">
        <v>3247</v>
      </c>
      <c r="K197" s="10" t="s">
        <v>3247</v>
      </c>
    </row>
    <row r="198" customFormat="false" ht="26.85" hidden="false" customHeight="false" outlineLevel="0" collapsed="false">
      <c r="A198" s="9" t="n">
        <v>60</v>
      </c>
      <c r="B198" s="9" t="s">
        <v>752</v>
      </c>
      <c r="C198" s="10" t="s">
        <v>753</v>
      </c>
      <c r="D198" s="10" t="s">
        <v>24</v>
      </c>
      <c r="E198" s="9" t="s">
        <v>3821</v>
      </c>
      <c r="F198" s="10" t="s">
        <v>3822</v>
      </c>
      <c r="G198" s="10" t="s">
        <v>3355</v>
      </c>
      <c r="H198" s="10" t="s">
        <v>3823</v>
      </c>
      <c r="I198" s="9"/>
      <c r="J198" s="10" t="s">
        <v>3247</v>
      </c>
      <c r="K198" s="10" t="s">
        <v>3247</v>
      </c>
    </row>
    <row r="199" customFormat="false" ht="15" hidden="false" customHeight="false" outlineLevel="0" collapsed="false">
      <c r="A199" s="9" t="n">
        <v>60</v>
      </c>
      <c r="B199" s="9" t="s">
        <v>752</v>
      </c>
      <c r="C199" s="10" t="s">
        <v>753</v>
      </c>
      <c r="D199" s="10" t="s">
        <v>24</v>
      </c>
      <c r="E199" s="9" t="s">
        <v>3824</v>
      </c>
      <c r="F199" s="10" t="s">
        <v>3825</v>
      </c>
      <c r="G199" s="9" t="s">
        <v>3242</v>
      </c>
      <c r="H199" s="10" t="s">
        <v>3826</v>
      </c>
      <c r="I199" s="9"/>
      <c r="J199" s="10" t="s">
        <v>3247</v>
      </c>
      <c r="K199" s="10" t="s">
        <v>3247</v>
      </c>
    </row>
    <row r="200" customFormat="false" ht="23.85" hidden="false" customHeight="false" outlineLevel="0" collapsed="false">
      <c r="A200" s="9" t="n">
        <v>60</v>
      </c>
      <c r="B200" s="9" t="s">
        <v>752</v>
      </c>
      <c r="C200" s="10" t="s">
        <v>753</v>
      </c>
      <c r="D200" s="10" t="s">
        <v>24</v>
      </c>
      <c r="E200" s="9" t="s">
        <v>3827</v>
      </c>
      <c r="F200" s="10" t="s">
        <v>3828</v>
      </c>
      <c r="G200" s="9" t="s">
        <v>3242</v>
      </c>
      <c r="H200" s="10" t="s">
        <v>3829</v>
      </c>
      <c r="I200" s="9"/>
      <c r="J200" s="10" t="s">
        <v>3247</v>
      </c>
      <c r="K200" s="10" t="s">
        <v>3247</v>
      </c>
    </row>
    <row r="201" customFormat="false" ht="15" hidden="false" customHeight="false" outlineLevel="0" collapsed="false">
      <c r="A201" s="9" t="n">
        <v>61</v>
      </c>
      <c r="B201" s="9" t="s">
        <v>755</v>
      </c>
      <c r="C201" s="10" t="s">
        <v>3830</v>
      </c>
      <c r="D201" s="10" t="s">
        <v>24</v>
      </c>
      <c r="E201" s="9" t="s">
        <v>3831</v>
      </c>
      <c r="F201" s="10" t="s">
        <v>3832</v>
      </c>
      <c r="G201" s="9" t="s">
        <v>3242</v>
      </c>
      <c r="H201" s="10" t="s">
        <v>3833</v>
      </c>
      <c r="I201" s="9"/>
      <c r="J201" s="9" t="s">
        <v>2326</v>
      </c>
      <c r="K201" s="9" t="s">
        <v>2326</v>
      </c>
    </row>
    <row r="202" customFormat="false" ht="23.85" hidden="false" customHeight="false" outlineLevel="0" collapsed="false">
      <c r="A202" s="9" t="n">
        <v>61</v>
      </c>
      <c r="B202" s="9" t="s">
        <v>755</v>
      </c>
      <c r="C202" s="10" t="s">
        <v>3830</v>
      </c>
      <c r="D202" s="10" t="s">
        <v>24</v>
      </c>
      <c r="E202" s="9" t="s">
        <v>3834</v>
      </c>
      <c r="F202" s="10" t="s">
        <v>3835</v>
      </c>
      <c r="G202" s="9" t="s">
        <v>3242</v>
      </c>
      <c r="H202" s="10" t="s">
        <v>3836</v>
      </c>
      <c r="I202" s="9"/>
      <c r="J202" s="9" t="s">
        <v>2326</v>
      </c>
      <c r="K202" s="9" t="s">
        <v>2326</v>
      </c>
    </row>
    <row r="203" customFormat="false" ht="15" hidden="false" customHeight="false" outlineLevel="0" collapsed="false">
      <c r="A203" s="9" t="n">
        <v>61</v>
      </c>
      <c r="B203" s="9" t="s">
        <v>755</v>
      </c>
      <c r="C203" s="10" t="s">
        <v>3830</v>
      </c>
      <c r="D203" s="10" t="s">
        <v>24</v>
      </c>
      <c r="E203" s="9" t="s">
        <v>2329</v>
      </c>
      <c r="F203" s="10" t="s">
        <v>2330</v>
      </c>
      <c r="G203" s="9" t="s">
        <v>3242</v>
      </c>
      <c r="H203" s="10" t="s">
        <v>3837</v>
      </c>
      <c r="I203" s="9"/>
      <c r="J203" s="9" t="s">
        <v>2232</v>
      </c>
      <c r="K203" s="9" t="s">
        <v>3284</v>
      </c>
    </row>
    <row r="204" customFormat="false" ht="15" hidden="false" customHeight="false" outlineLevel="0" collapsed="false">
      <c r="A204" s="9" t="n">
        <v>62</v>
      </c>
      <c r="B204" s="9" t="s">
        <v>760</v>
      </c>
      <c r="C204" s="10" t="s">
        <v>3838</v>
      </c>
      <c r="D204" s="10" t="s">
        <v>24</v>
      </c>
      <c r="E204" s="9" t="s">
        <v>3839</v>
      </c>
      <c r="F204" s="10" t="s">
        <v>3840</v>
      </c>
      <c r="G204" s="9" t="s">
        <v>3242</v>
      </c>
      <c r="H204" s="10" t="s">
        <v>3841</v>
      </c>
      <c r="I204" s="9"/>
      <c r="J204" s="9" t="s">
        <v>2232</v>
      </c>
      <c r="K204" s="9" t="s">
        <v>3284</v>
      </c>
    </row>
    <row r="205" customFormat="false" ht="15" hidden="false" customHeight="false" outlineLevel="0" collapsed="false">
      <c r="A205" s="9" t="n">
        <v>62</v>
      </c>
      <c r="B205" s="9" t="s">
        <v>760</v>
      </c>
      <c r="C205" s="10" t="s">
        <v>3838</v>
      </c>
      <c r="D205" s="10" t="s">
        <v>24</v>
      </c>
      <c r="E205" s="9" t="s">
        <v>3842</v>
      </c>
      <c r="F205" s="10" t="s">
        <v>3843</v>
      </c>
      <c r="G205" s="9" t="s">
        <v>3242</v>
      </c>
      <c r="H205" s="10" t="s">
        <v>3844</v>
      </c>
      <c r="I205" s="9"/>
      <c r="J205" s="9" t="s">
        <v>2232</v>
      </c>
      <c r="K205" s="9" t="s">
        <v>3284</v>
      </c>
    </row>
    <row r="206" customFormat="false" ht="23.85" hidden="false" customHeight="false" outlineLevel="0" collapsed="false">
      <c r="A206" s="9" t="n">
        <v>62</v>
      </c>
      <c r="B206" s="9" t="s">
        <v>760</v>
      </c>
      <c r="C206" s="10" t="s">
        <v>3838</v>
      </c>
      <c r="D206" s="10" t="s">
        <v>24</v>
      </c>
      <c r="E206" s="9" t="s">
        <v>3845</v>
      </c>
      <c r="F206" s="10" t="s">
        <v>3846</v>
      </c>
      <c r="G206" s="9" t="s">
        <v>3242</v>
      </c>
      <c r="H206" s="10" t="s">
        <v>3847</v>
      </c>
      <c r="I206" s="9"/>
      <c r="J206" s="10" t="s">
        <v>3247</v>
      </c>
      <c r="K206" s="10" t="s">
        <v>3247</v>
      </c>
    </row>
    <row r="207" customFormat="false" ht="26.85" hidden="false" customHeight="false" outlineLevel="0" collapsed="false">
      <c r="A207" s="9" t="n">
        <v>62</v>
      </c>
      <c r="B207" s="9" t="s">
        <v>760</v>
      </c>
      <c r="C207" s="10" t="s">
        <v>3838</v>
      </c>
      <c r="D207" s="10" t="s">
        <v>24</v>
      </c>
      <c r="E207" s="9" t="s">
        <v>3848</v>
      </c>
      <c r="F207" s="10" t="s">
        <v>3849</v>
      </c>
      <c r="G207" s="10" t="s">
        <v>3355</v>
      </c>
      <c r="H207" s="10" t="s">
        <v>3850</v>
      </c>
      <c r="I207" s="9"/>
      <c r="J207" s="10" t="s">
        <v>3247</v>
      </c>
      <c r="K207" s="10" t="s">
        <v>3247</v>
      </c>
    </row>
    <row r="208" customFormat="false" ht="15" hidden="false" customHeight="false" outlineLevel="0" collapsed="false">
      <c r="A208" s="9" t="n">
        <v>63</v>
      </c>
      <c r="B208" s="9" t="s">
        <v>765</v>
      </c>
      <c r="C208" s="10" t="s">
        <v>766</v>
      </c>
      <c r="D208" s="10" t="s">
        <v>24</v>
      </c>
      <c r="E208" s="9" t="s">
        <v>3851</v>
      </c>
      <c r="F208" s="10" t="s">
        <v>3852</v>
      </c>
      <c r="G208" s="9" t="s">
        <v>3242</v>
      </c>
      <c r="H208" s="10" t="s">
        <v>3853</v>
      </c>
      <c r="I208" s="9"/>
      <c r="J208" s="9" t="s">
        <v>2232</v>
      </c>
      <c r="K208" s="9" t="s">
        <v>3284</v>
      </c>
    </row>
    <row r="209" customFormat="false" ht="15" hidden="false" customHeight="false" outlineLevel="0" collapsed="false">
      <c r="A209" s="9" t="n">
        <v>63</v>
      </c>
      <c r="B209" s="9" t="s">
        <v>765</v>
      </c>
      <c r="C209" s="10" t="s">
        <v>766</v>
      </c>
      <c r="D209" s="10" t="s">
        <v>24</v>
      </c>
      <c r="E209" s="9" t="s">
        <v>3854</v>
      </c>
      <c r="F209" s="10" t="s">
        <v>3855</v>
      </c>
      <c r="G209" s="9" t="s">
        <v>3242</v>
      </c>
      <c r="H209" s="10" t="s">
        <v>3856</v>
      </c>
      <c r="I209" s="9"/>
      <c r="J209" s="10" t="s">
        <v>3247</v>
      </c>
      <c r="K209" s="10" t="s">
        <v>3247</v>
      </c>
    </row>
    <row r="210" customFormat="false" ht="15" hidden="false" customHeight="false" outlineLevel="0" collapsed="false">
      <c r="A210" s="9" t="n">
        <v>63</v>
      </c>
      <c r="B210" s="9" t="s">
        <v>765</v>
      </c>
      <c r="C210" s="10" t="s">
        <v>766</v>
      </c>
      <c r="D210" s="10" t="s">
        <v>24</v>
      </c>
      <c r="E210" s="9" t="s">
        <v>3857</v>
      </c>
      <c r="F210" s="10" t="s">
        <v>3801</v>
      </c>
      <c r="G210" s="9" t="s">
        <v>3330</v>
      </c>
      <c r="H210" s="10" t="s">
        <v>3802</v>
      </c>
      <c r="I210" s="9"/>
      <c r="J210" s="10" t="s">
        <v>3247</v>
      </c>
      <c r="K210" s="10" t="s">
        <v>3247</v>
      </c>
    </row>
    <row r="211" customFormat="false" ht="35.05" hidden="false" customHeight="false" outlineLevel="0" collapsed="false">
      <c r="A211" s="9" t="n">
        <v>64</v>
      </c>
      <c r="B211" s="9" t="s">
        <v>769</v>
      </c>
      <c r="C211" s="10" t="s">
        <v>3858</v>
      </c>
      <c r="D211" s="10" t="s">
        <v>3859</v>
      </c>
      <c r="E211" s="9" t="s">
        <v>3860</v>
      </c>
      <c r="F211" s="10" t="s">
        <v>3861</v>
      </c>
      <c r="G211" s="9" t="s">
        <v>3242</v>
      </c>
      <c r="H211" s="10" t="s">
        <v>3862</v>
      </c>
      <c r="I211" s="9"/>
      <c r="J211" s="10" t="s">
        <v>3247</v>
      </c>
      <c r="K211" s="10" t="s">
        <v>3247</v>
      </c>
    </row>
    <row r="212" customFormat="false" ht="35.05" hidden="false" customHeight="false" outlineLevel="0" collapsed="false">
      <c r="A212" s="9" t="n">
        <v>64</v>
      </c>
      <c r="B212" s="9" t="s">
        <v>769</v>
      </c>
      <c r="C212" s="10" t="s">
        <v>3858</v>
      </c>
      <c r="D212" s="10" t="s">
        <v>3859</v>
      </c>
      <c r="E212" s="9" t="s">
        <v>3863</v>
      </c>
      <c r="F212" s="10" t="s">
        <v>3864</v>
      </c>
      <c r="G212" s="9" t="s">
        <v>3242</v>
      </c>
      <c r="H212" s="10" t="s">
        <v>3865</v>
      </c>
      <c r="I212" s="9"/>
      <c r="J212" s="9" t="s">
        <v>2773</v>
      </c>
      <c r="K212" s="9" t="s">
        <v>2773</v>
      </c>
    </row>
    <row r="213" customFormat="false" ht="35.05" hidden="false" customHeight="false" outlineLevel="0" collapsed="false">
      <c r="A213" s="9" t="n">
        <v>64</v>
      </c>
      <c r="B213" s="9" t="s">
        <v>769</v>
      </c>
      <c r="C213" s="10" t="s">
        <v>3858</v>
      </c>
      <c r="D213" s="10" t="s">
        <v>3859</v>
      </c>
      <c r="E213" s="9" t="s">
        <v>3866</v>
      </c>
      <c r="F213" s="10" t="s">
        <v>3867</v>
      </c>
      <c r="G213" s="9" t="s">
        <v>3242</v>
      </c>
      <c r="H213" s="10" t="s">
        <v>3868</v>
      </c>
      <c r="I213" s="9"/>
      <c r="J213" s="9" t="s">
        <v>2232</v>
      </c>
      <c r="K213" s="9" t="s">
        <v>3284</v>
      </c>
    </row>
    <row r="214" customFormat="false" ht="35.05" hidden="false" customHeight="false" outlineLevel="0" collapsed="false">
      <c r="A214" s="9" t="n">
        <v>64</v>
      </c>
      <c r="B214" s="9" t="s">
        <v>769</v>
      </c>
      <c r="C214" s="10" t="s">
        <v>3858</v>
      </c>
      <c r="D214" s="10" t="s">
        <v>3859</v>
      </c>
      <c r="E214" s="9" t="s">
        <v>3869</v>
      </c>
      <c r="F214" s="10" t="s">
        <v>3870</v>
      </c>
      <c r="G214" s="9" t="s">
        <v>3242</v>
      </c>
      <c r="H214" s="10" t="s">
        <v>3871</v>
      </c>
      <c r="I214" s="9"/>
      <c r="J214" s="9" t="s">
        <v>2773</v>
      </c>
      <c r="K214" s="9" t="s">
        <v>2773</v>
      </c>
    </row>
    <row r="215" customFormat="false" ht="23.85" hidden="false" customHeight="false" outlineLevel="0" collapsed="false">
      <c r="A215" s="9" t="n">
        <v>65</v>
      </c>
      <c r="B215" s="9" t="s">
        <v>788</v>
      </c>
      <c r="C215" s="10" t="s">
        <v>789</v>
      </c>
      <c r="D215" s="10" t="s">
        <v>25</v>
      </c>
      <c r="E215" s="9" t="s">
        <v>3860</v>
      </c>
      <c r="F215" s="10" t="s">
        <v>3861</v>
      </c>
      <c r="G215" s="9" t="s">
        <v>3242</v>
      </c>
      <c r="H215" s="10" t="s">
        <v>3862</v>
      </c>
      <c r="I215" s="9"/>
      <c r="J215" s="10" t="s">
        <v>3247</v>
      </c>
      <c r="K215" s="10" t="s">
        <v>3247</v>
      </c>
    </row>
    <row r="216" customFormat="false" ht="26.85" hidden="false" customHeight="false" outlineLevel="0" collapsed="false">
      <c r="A216" s="9" t="n">
        <v>65</v>
      </c>
      <c r="B216" s="9" t="s">
        <v>788</v>
      </c>
      <c r="C216" s="10" t="s">
        <v>789</v>
      </c>
      <c r="D216" s="10" t="s">
        <v>25</v>
      </c>
      <c r="E216" s="9" t="s">
        <v>3872</v>
      </c>
      <c r="F216" s="10" t="s">
        <v>3873</v>
      </c>
      <c r="G216" s="9" t="s">
        <v>3242</v>
      </c>
      <c r="H216" s="10" t="s">
        <v>3874</v>
      </c>
      <c r="I216" s="9"/>
      <c r="J216" s="10" t="s">
        <v>3247</v>
      </c>
      <c r="K216" s="10" t="s">
        <v>3247</v>
      </c>
    </row>
    <row r="217" customFormat="false" ht="15" hidden="false" customHeight="false" outlineLevel="0" collapsed="false">
      <c r="A217" s="9" t="n">
        <v>65</v>
      </c>
      <c r="B217" s="9" t="s">
        <v>788</v>
      </c>
      <c r="C217" s="10" t="s">
        <v>789</v>
      </c>
      <c r="D217" s="10" t="s">
        <v>25</v>
      </c>
      <c r="E217" s="9" t="s">
        <v>3875</v>
      </c>
      <c r="F217" s="10" t="s">
        <v>3876</v>
      </c>
      <c r="G217" s="9" t="s">
        <v>3242</v>
      </c>
      <c r="H217" s="10" t="s">
        <v>3877</v>
      </c>
      <c r="I217" s="9" t="s">
        <v>3878</v>
      </c>
      <c r="J217" s="10" t="s">
        <v>3247</v>
      </c>
      <c r="K217" s="10" t="s">
        <v>3247</v>
      </c>
    </row>
    <row r="218" customFormat="false" ht="15" hidden="false" customHeight="false" outlineLevel="0" collapsed="false">
      <c r="A218" s="9" t="n">
        <v>66</v>
      </c>
      <c r="B218" s="9" t="s">
        <v>792</v>
      </c>
      <c r="C218" s="10" t="s">
        <v>3879</v>
      </c>
      <c r="D218" s="10" t="s">
        <v>24</v>
      </c>
      <c r="E218" s="9" t="s">
        <v>3880</v>
      </c>
      <c r="F218" s="10" t="s">
        <v>2561</v>
      </c>
      <c r="G218" s="9" t="s">
        <v>3242</v>
      </c>
      <c r="H218" s="10" t="s">
        <v>3881</v>
      </c>
      <c r="I218" s="9"/>
      <c r="J218" s="9" t="s">
        <v>3039</v>
      </c>
      <c r="K218" s="9" t="s">
        <v>3039</v>
      </c>
    </row>
    <row r="219" customFormat="false" ht="15" hidden="false" customHeight="false" outlineLevel="0" collapsed="false">
      <c r="A219" s="9" t="n">
        <v>66</v>
      </c>
      <c r="B219" s="9" t="s">
        <v>792</v>
      </c>
      <c r="C219" s="10" t="s">
        <v>3879</v>
      </c>
      <c r="D219" s="10" t="s">
        <v>24</v>
      </c>
      <c r="E219" s="9" t="s">
        <v>3882</v>
      </c>
      <c r="F219" s="10" t="s">
        <v>3883</v>
      </c>
      <c r="G219" s="9" t="s">
        <v>3242</v>
      </c>
      <c r="H219" s="10" t="s">
        <v>3884</v>
      </c>
      <c r="I219" s="9"/>
      <c r="J219" s="9" t="s">
        <v>2232</v>
      </c>
      <c r="K219" s="9" t="s">
        <v>3284</v>
      </c>
    </row>
    <row r="220" customFormat="false" ht="15" hidden="false" customHeight="false" outlineLevel="0" collapsed="false">
      <c r="A220" s="9" t="n">
        <v>66</v>
      </c>
      <c r="B220" s="9" t="s">
        <v>792</v>
      </c>
      <c r="C220" s="10" t="s">
        <v>3879</v>
      </c>
      <c r="D220" s="10" t="s">
        <v>24</v>
      </c>
      <c r="E220" s="9" t="s">
        <v>3885</v>
      </c>
      <c r="F220" s="10" t="s">
        <v>3886</v>
      </c>
      <c r="G220" s="9" t="s">
        <v>3242</v>
      </c>
      <c r="H220" s="10" t="s">
        <v>3887</v>
      </c>
      <c r="I220" s="9"/>
      <c r="J220" s="10" t="s">
        <v>3247</v>
      </c>
      <c r="K220" s="10" t="s">
        <v>3247</v>
      </c>
    </row>
    <row r="221" customFormat="false" ht="15" hidden="false" customHeight="false" outlineLevel="0" collapsed="false">
      <c r="A221" s="9" t="n">
        <v>67</v>
      </c>
      <c r="B221" s="9" t="s">
        <v>799</v>
      </c>
      <c r="C221" s="10" t="s">
        <v>800</v>
      </c>
      <c r="D221" s="10" t="s">
        <v>24</v>
      </c>
      <c r="E221" s="9" t="s">
        <v>3888</v>
      </c>
      <c r="F221" s="10" t="s">
        <v>3889</v>
      </c>
      <c r="G221" s="9" t="s">
        <v>3242</v>
      </c>
      <c r="H221" s="10" t="s">
        <v>3890</v>
      </c>
      <c r="I221" s="9"/>
      <c r="J221" s="9" t="s">
        <v>2773</v>
      </c>
      <c r="K221" s="9" t="s">
        <v>2773</v>
      </c>
    </row>
    <row r="222" customFormat="false" ht="15" hidden="false" customHeight="false" outlineLevel="0" collapsed="false">
      <c r="A222" s="9" t="n">
        <v>67</v>
      </c>
      <c r="B222" s="9" t="s">
        <v>799</v>
      </c>
      <c r="C222" s="10" t="s">
        <v>800</v>
      </c>
      <c r="D222" s="10" t="s">
        <v>24</v>
      </c>
      <c r="E222" s="9" t="s">
        <v>3891</v>
      </c>
      <c r="F222" s="10" t="s">
        <v>3892</v>
      </c>
      <c r="G222" s="9" t="s">
        <v>3242</v>
      </c>
      <c r="H222" s="10" t="s">
        <v>3893</v>
      </c>
      <c r="I222" s="9"/>
      <c r="J222" s="9" t="s">
        <v>2773</v>
      </c>
      <c r="K222" s="9" t="s">
        <v>2773</v>
      </c>
    </row>
    <row r="223" customFormat="false" ht="23.85" hidden="false" customHeight="false" outlineLevel="0" collapsed="false">
      <c r="A223" s="9" t="n">
        <v>68</v>
      </c>
      <c r="B223" s="9" t="s">
        <v>803</v>
      </c>
      <c r="C223" s="10" t="s">
        <v>804</v>
      </c>
      <c r="D223" s="10" t="s">
        <v>24</v>
      </c>
      <c r="E223" s="9" t="s">
        <v>3894</v>
      </c>
      <c r="F223" s="10" t="s">
        <v>2917</v>
      </c>
      <c r="G223" s="9" t="s">
        <v>3242</v>
      </c>
      <c r="H223" s="10" t="s">
        <v>3895</v>
      </c>
      <c r="I223" s="9"/>
      <c r="J223" s="9" t="s">
        <v>2773</v>
      </c>
      <c r="K223" s="9" t="s">
        <v>2773</v>
      </c>
    </row>
    <row r="224" customFormat="false" ht="15" hidden="false" customHeight="false" outlineLevel="0" collapsed="false">
      <c r="A224" s="9" t="n">
        <v>68</v>
      </c>
      <c r="B224" s="9" t="s">
        <v>803</v>
      </c>
      <c r="C224" s="10" t="s">
        <v>804</v>
      </c>
      <c r="D224" s="10" t="s">
        <v>24</v>
      </c>
      <c r="E224" s="9" t="s">
        <v>3896</v>
      </c>
      <c r="F224" s="10" t="s">
        <v>2915</v>
      </c>
      <c r="G224" s="9" t="s">
        <v>3242</v>
      </c>
      <c r="H224" s="10" t="s">
        <v>3897</v>
      </c>
      <c r="I224" s="9"/>
      <c r="J224" s="9" t="s">
        <v>2773</v>
      </c>
      <c r="K224" s="9" t="s">
        <v>2773</v>
      </c>
    </row>
    <row r="225" customFormat="false" ht="15" hidden="false" customHeight="false" outlineLevel="0" collapsed="false">
      <c r="A225" s="9" t="n">
        <v>68</v>
      </c>
      <c r="B225" s="9" t="s">
        <v>803</v>
      </c>
      <c r="C225" s="10" t="s">
        <v>804</v>
      </c>
      <c r="D225" s="10" t="s">
        <v>24</v>
      </c>
      <c r="E225" s="9" t="s">
        <v>3869</v>
      </c>
      <c r="F225" s="10" t="s">
        <v>3870</v>
      </c>
      <c r="G225" s="9" t="s">
        <v>3242</v>
      </c>
      <c r="H225" s="10" t="s">
        <v>3871</v>
      </c>
      <c r="I225" s="9"/>
      <c r="J225" s="9" t="s">
        <v>2773</v>
      </c>
      <c r="K225" s="9" t="s">
        <v>2773</v>
      </c>
    </row>
    <row r="226" customFormat="false" ht="15" hidden="false" customHeight="false" outlineLevel="0" collapsed="false">
      <c r="A226" s="9" t="n">
        <v>69</v>
      </c>
      <c r="B226" s="9" t="s">
        <v>807</v>
      </c>
      <c r="C226" s="10" t="s">
        <v>3898</v>
      </c>
      <c r="D226" s="10" t="s">
        <v>28</v>
      </c>
      <c r="E226" s="9" t="s">
        <v>3899</v>
      </c>
      <c r="F226" s="10" t="s">
        <v>3900</v>
      </c>
      <c r="G226" s="9" t="s">
        <v>3242</v>
      </c>
      <c r="H226" s="10" t="s">
        <v>3901</v>
      </c>
      <c r="I226" s="9"/>
      <c r="J226" s="9" t="s">
        <v>1956</v>
      </c>
      <c r="K226" s="9" t="s">
        <v>1956</v>
      </c>
    </row>
    <row r="227" customFormat="false" ht="15" hidden="false" customHeight="false" outlineLevel="0" collapsed="false">
      <c r="A227" s="9" t="n">
        <v>69</v>
      </c>
      <c r="B227" s="9" t="s">
        <v>807</v>
      </c>
      <c r="C227" s="10" t="s">
        <v>3898</v>
      </c>
      <c r="D227" s="10" t="s">
        <v>28</v>
      </c>
      <c r="E227" s="9" t="s">
        <v>3902</v>
      </c>
      <c r="F227" s="10" t="s">
        <v>3903</v>
      </c>
      <c r="G227" s="9" t="s">
        <v>3242</v>
      </c>
      <c r="H227" s="10" t="s">
        <v>3904</v>
      </c>
      <c r="I227" s="9"/>
      <c r="J227" s="9" t="s">
        <v>1956</v>
      </c>
      <c r="K227" s="9" t="s">
        <v>1956</v>
      </c>
    </row>
    <row r="228" customFormat="false" ht="15" hidden="false" customHeight="false" outlineLevel="0" collapsed="false">
      <c r="A228" s="9" t="n">
        <v>69</v>
      </c>
      <c r="B228" s="9" t="s">
        <v>807</v>
      </c>
      <c r="C228" s="10" t="s">
        <v>3898</v>
      </c>
      <c r="D228" s="10" t="s">
        <v>28</v>
      </c>
      <c r="E228" s="9" t="s">
        <v>3905</v>
      </c>
      <c r="F228" s="10" t="s">
        <v>3906</v>
      </c>
      <c r="G228" s="9" t="s">
        <v>3242</v>
      </c>
      <c r="H228" s="10" t="s">
        <v>3907</v>
      </c>
      <c r="I228" s="9"/>
      <c r="J228" s="9" t="s">
        <v>1956</v>
      </c>
      <c r="K228" s="9" t="s">
        <v>1956</v>
      </c>
    </row>
    <row r="229" customFormat="false" ht="15" hidden="false" customHeight="false" outlineLevel="0" collapsed="false">
      <c r="A229" s="9" t="n">
        <v>69</v>
      </c>
      <c r="B229" s="9" t="s">
        <v>807</v>
      </c>
      <c r="C229" s="10" t="s">
        <v>3898</v>
      </c>
      <c r="D229" s="10" t="s">
        <v>28</v>
      </c>
      <c r="E229" s="9" t="s">
        <v>3263</v>
      </c>
      <c r="F229" s="10" t="s">
        <v>3264</v>
      </c>
      <c r="G229" s="9" t="s">
        <v>3242</v>
      </c>
      <c r="H229" s="10" t="s">
        <v>3265</v>
      </c>
      <c r="I229" s="9"/>
      <c r="J229" s="9" t="s">
        <v>1956</v>
      </c>
      <c r="K229" s="9" t="s">
        <v>1956</v>
      </c>
    </row>
    <row r="230" customFormat="false" ht="15" hidden="false" customHeight="false" outlineLevel="0" collapsed="false">
      <c r="A230" s="9" t="n">
        <v>70</v>
      </c>
      <c r="B230" s="9" t="s">
        <v>813</v>
      </c>
      <c r="C230" s="10" t="s">
        <v>3908</v>
      </c>
      <c r="D230" s="10" t="s">
        <v>30</v>
      </c>
      <c r="E230" s="9" t="s">
        <v>3909</v>
      </c>
      <c r="F230" s="10" t="s">
        <v>3910</v>
      </c>
      <c r="G230" s="9" t="s">
        <v>3242</v>
      </c>
      <c r="H230" s="10" t="s">
        <v>3911</v>
      </c>
      <c r="I230" s="9"/>
      <c r="J230" s="9" t="s">
        <v>1956</v>
      </c>
      <c r="K230" s="9" t="s">
        <v>1956</v>
      </c>
    </row>
    <row r="231" customFormat="false" ht="15" hidden="false" customHeight="false" outlineLevel="0" collapsed="false">
      <c r="A231" s="9" t="n">
        <v>70</v>
      </c>
      <c r="B231" s="9" t="s">
        <v>813</v>
      </c>
      <c r="C231" s="10" t="s">
        <v>3908</v>
      </c>
      <c r="D231" s="10" t="s">
        <v>30</v>
      </c>
      <c r="E231" s="9" t="s">
        <v>3912</v>
      </c>
      <c r="F231" s="10" t="s">
        <v>3913</v>
      </c>
      <c r="G231" s="9" t="s">
        <v>3242</v>
      </c>
      <c r="H231" s="10" t="s">
        <v>3914</v>
      </c>
      <c r="I231" s="9"/>
      <c r="J231" s="9" t="s">
        <v>1956</v>
      </c>
      <c r="K231" s="9" t="s">
        <v>1956</v>
      </c>
    </row>
    <row r="232" customFormat="false" ht="15" hidden="false" customHeight="false" outlineLevel="0" collapsed="false">
      <c r="A232" s="9" t="n">
        <v>70</v>
      </c>
      <c r="B232" s="9" t="s">
        <v>813</v>
      </c>
      <c r="C232" s="10" t="s">
        <v>3908</v>
      </c>
      <c r="D232" s="10" t="s">
        <v>30</v>
      </c>
      <c r="E232" s="9" t="s">
        <v>3915</v>
      </c>
      <c r="F232" s="10" t="s">
        <v>3916</v>
      </c>
      <c r="G232" s="9" t="s">
        <v>3242</v>
      </c>
      <c r="H232" s="10" t="s">
        <v>3917</v>
      </c>
      <c r="I232" s="9"/>
      <c r="J232" s="9" t="s">
        <v>1956</v>
      </c>
      <c r="K232" s="9" t="s">
        <v>1956</v>
      </c>
    </row>
    <row r="233" customFormat="false" ht="15" hidden="false" customHeight="false" outlineLevel="0" collapsed="false">
      <c r="A233" s="9" t="n">
        <v>71</v>
      </c>
      <c r="B233" s="9" t="s">
        <v>820</v>
      </c>
      <c r="C233" s="10" t="s">
        <v>3918</v>
      </c>
      <c r="D233" s="10" t="s">
        <v>30</v>
      </c>
      <c r="E233" s="9" t="s">
        <v>3909</v>
      </c>
      <c r="F233" s="10" t="s">
        <v>3910</v>
      </c>
      <c r="G233" s="9" t="s">
        <v>3242</v>
      </c>
      <c r="H233" s="10" t="s">
        <v>3911</v>
      </c>
      <c r="I233" s="9"/>
      <c r="J233" s="9" t="s">
        <v>1956</v>
      </c>
      <c r="K233" s="9" t="s">
        <v>1956</v>
      </c>
    </row>
    <row r="234" customFormat="false" ht="15" hidden="false" customHeight="false" outlineLevel="0" collapsed="false">
      <c r="A234" s="9" t="n">
        <v>71</v>
      </c>
      <c r="B234" s="9" t="s">
        <v>820</v>
      </c>
      <c r="C234" s="10" t="s">
        <v>3918</v>
      </c>
      <c r="D234" s="10" t="s">
        <v>30</v>
      </c>
      <c r="E234" s="9" t="s">
        <v>3912</v>
      </c>
      <c r="F234" s="10" t="s">
        <v>3913</v>
      </c>
      <c r="G234" s="9" t="s">
        <v>3242</v>
      </c>
      <c r="H234" s="10" t="s">
        <v>3914</v>
      </c>
      <c r="I234" s="9"/>
      <c r="J234" s="9" t="s">
        <v>1956</v>
      </c>
      <c r="K234" s="9" t="s">
        <v>1956</v>
      </c>
    </row>
    <row r="235" customFormat="false" ht="15" hidden="false" customHeight="false" outlineLevel="0" collapsed="false">
      <c r="A235" s="9" t="n">
        <v>71</v>
      </c>
      <c r="B235" s="9" t="s">
        <v>820</v>
      </c>
      <c r="C235" s="10" t="s">
        <v>3918</v>
      </c>
      <c r="D235" s="10" t="s">
        <v>30</v>
      </c>
      <c r="E235" s="9" t="s">
        <v>3919</v>
      </c>
      <c r="F235" s="10" t="s">
        <v>3920</v>
      </c>
      <c r="G235" s="9" t="s">
        <v>3242</v>
      </c>
      <c r="H235" s="10" t="s">
        <v>3921</v>
      </c>
      <c r="I235" s="9"/>
      <c r="J235" s="9" t="s">
        <v>1956</v>
      </c>
      <c r="K235" s="9" t="s">
        <v>1956</v>
      </c>
    </row>
    <row r="236" customFormat="false" ht="15" hidden="false" customHeight="false" outlineLevel="0" collapsed="false">
      <c r="A236" s="9" t="n">
        <v>71</v>
      </c>
      <c r="B236" s="9" t="s">
        <v>820</v>
      </c>
      <c r="C236" s="10" t="s">
        <v>3918</v>
      </c>
      <c r="D236" s="10" t="s">
        <v>30</v>
      </c>
      <c r="E236" s="9" t="s">
        <v>3922</v>
      </c>
      <c r="F236" s="10" t="s">
        <v>3923</v>
      </c>
      <c r="G236" s="9" t="s">
        <v>3242</v>
      </c>
      <c r="H236" s="10" t="s">
        <v>3924</v>
      </c>
      <c r="I236" s="9"/>
      <c r="J236" s="9" t="s">
        <v>1956</v>
      </c>
      <c r="K236" s="9" t="s">
        <v>1956</v>
      </c>
    </row>
    <row r="237" customFormat="false" ht="15" hidden="false" customHeight="false" outlineLevel="0" collapsed="false">
      <c r="A237" s="9" t="n">
        <v>72</v>
      </c>
      <c r="B237" s="9" t="s">
        <v>827</v>
      </c>
      <c r="C237" s="10" t="s">
        <v>3925</v>
      </c>
      <c r="D237" s="10" t="s">
        <v>30</v>
      </c>
      <c r="E237" s="9" t="s">
        <v>3926</v>
      </c>
      <c r="F237" s="10" t="s">
        <v>3927</v>
      </c>
      <c r="G237" s="9" t="s">
        <v>3242</v>
      </c>
      <c r="H237" s="10" t="s">
        <v>3928</v>
      </c>
      <c r="I237" s="9"/>
      <c r="J237" s="9" t="s">
        <v>1956</v>
      </c>
      <c r="K237" s="9" t="s">
        <v>1956</v>
      </c>
    </row>
    <row r="238" customFormat="false" ht="15" hidden="false" customHeight="false" outlineLevel="0" collapsed="false">
      <c r="A238" s="9" t="n">
        <v>72</v>
      </c>
      <c r="B238" s="9" t="s">
        <v>827</v>
      </c>
      <c r="C238" s="10" t="s">
        <v>3925</v>
      </c>
      <c r="D238" s="10" t="s">
        <v>30</v>
      </c>
      <c r="E238" s="9" t="s">
        <v>2701</v>
      </c>
      <c r="F238" s="10" t="s">
        <v>3312</v>
      </c>
      <c r="G238" s="9" t="s">
        <v>3242</v>
      </c>
      <c r="H238" s="10" t="s">
        <v>3313</v>
      </c>
      <c r="I238" s="9"/>
      <c r="J238" s="9" t="s">
        <v>1956</v>
      </c>
      <c r="K238" s="9" t="s">
        <v>1956</v>
      </c>
    </row>
    <row r="239" customFormat="false" ht="15" hidden="false" customHeight="false" outlineLevel="0" collapsed="false">
      <c r="A239" s="9" t="n">
        <v>72</v>
      </c>
      <c r="B239" s="9" t="s">
        <v>827</v>
      </c>
      <c r="C239" s="10" t="s">
        <v>3925</v>
      </c>
      <c r="D239" s="10" t="s">
        <v>30</v>
      </c>
      <c r="E239" s="9" t="s">
        <v>3929</v>
      </c>
      <c r="F239" s="10" t="s">
        <v>3930</v>
      </c>
      <c r="G239" s="9" t="s">
        <v>3242</v>
      </c>
      <c r="H239" s="10" t="s">
        <v>3931</v>
      </c>
      <c r="I239" s="9"/>
      <c r="J239" s="9" t="s">
        <v>1956</v>
      </c>
      <c r="K239" s="9" t="s">
        <v>1956</v>
      </c>
    </row>
    <row r="240" customFormat="false" ht="26.85" hidden="false" customHeight="false" outlineLevel="0" collapsed="false">
      <c r="A240" s="9" t="n">
        <v>73</v>
      </c>
      <c r="B240" s="9" t="s">
        <v>836</v>
      </c>
      <c r="C240" s="10" t="s">
        <v>3932</v>
      </c>
      <c r="D240" s="10" t="s">
        <v>3933</v>
      </c>
      <c r="E240" s="9" t="s">
        <v>3934</v>
      </c>
      <c r="F240" s="10" t="s">
        <v>3935</v>
      </c>
      <c r="G240" s="10" t="s">
        <v>3355</v>
      </c>
      <c r="H240" s="10" t="s">
        <v>3936</v>
      </c>
      <c r="I240" s="9"/>
      <c r="J240" s="10" t="s">
        <v>3247</v>
      </c>
      <c r="K240" s="10" t="s">
        <v>3247</v>
      </c>
    </row>
    <row r="241" customFormat="false" ht="26.85" hidden="false" customHeight="false" outlineLevel="0" collapsed="false">
      <c r="A241" s="9" t="n">
        <v>73</v>
      </c>
      <c r="B241" s="9" t="s">
        <v>836</v>
      </c>
      <c r="C241" s="10" t="s">
        <v>3932</v>
      </c>
      <c r="D241" s="10" t="s">
        <v>3933</v>
      </c>
      <c r="E241" s="9" t="s">
        <v>3937</v>
      </c>
      <c r="F241" s="10" t="s">
        <v>3938</v>
      </c>
      <c r="G241" s="10" t="s">
        <v>3355</v>
      </c>
      <c r="H241" s="10" t="s">
        <v>3939</v>
      </c>
      <c r="I241" s="9"/>
      <c r="J241" s="10" t="s">
        <v>3247</v>
      </c>
      <c r="K241" s="10" t="s">
        <v>3247</v>
      </c>
    </row>
    <row r="242" customFormat="false" ht="26.85" hidden="false" customHeight="false" outlineLevel="0" collapsed="false">
      <c r="A242" s="9" t="n">
        <v>73</v>
      </c>
      <c r="B242" s="9" t="s">
        <v>836</v>
      </c>
      <c r="C242" s="10" t="s">
        <v>3932</v>
      </c>
      <c r="D242" s="10" t="s">
        <v>3933</v>
      </c>
      <c r="E242" s="9" t="s">
        <v>3940</v>
      </c>
      <c r="F242" s="10" t="s">
        <v>3941</v>
      </c>
      <c r="G242" s="10" t="s">
        <v>3355</v>
      </c>
      <c r="H242" s="10" t="s">
        <v>3942</v>
      </c>
      <c r="I242" s="9"/>
      <c r="J242" s="10" t="s">
        <v>3247</v>
      </c>
      <c r="K242" s="10" t="s">
        <v>3247</v>
      </c>
    </row>
    <row r="243" customFormat="false" ht="15" hidden="false" customHeight="false" outlineLevel="0" collapsed="false">
      <c r="A243" s="9" t="n">
        <v>73</v>
      </c>
      <c r="B243" s="9" t="s">
        <v>836</v>
      </c>
      <c r="C243" s="10" t="s">
        <v>3932</v>
      </c>
      <c r="D243" s="10" t="s">
        <v>3933</v>
      </c>
      <c r="E243" s="9" t="s">
        <v>3943</v>
      </c>
      <c r="F243" s="10" t="s">
        <v>3944</v>
      </c>
      <c r="G243" s="9" t="s">
        <v>3242</v>
      </c>
      <c r="H243" s="10" t="s">
        <v>3945</v>
      </c>
      <c r="I243" s="9"/>
      <c r="J243" s="9" t="s">
        <v>2232</v>
      </c>
      <c r="K243" s="9" t="s">
        <v>3284</v>
      </c>
    </row>
    <row r="244" customFormat="false" ht="26.85" hidden="false" customHeight="false" outlineLevel="0" collapsed="false">
      <c r="A244" s="9" t="n">
        <v>74</v>
      </c>
      <c r="B244" s="9" t="s">
        <v>843</v>
      </c>
      <c r="C244" s="10" t="s">
        <v>3946</v>
      </c>
      <c r="D244" s="10" t="s">
        <v>30</v>
      </c>
      <c r="E244" s="9" t="s">
        <v>3947</v>
      </c>
      <c r="F244" s="10" t="s">
        <v>3948</v>
      </c>
      <c r="G244" s="9" t="s">
        <v>3242</v>
      </c>
      <c r="H244" s="10" t="s">
        <v>3949</v>
      </c>
      <c r="I244" s="9"/>
      <c r="J244" s="9" t="s">
        <v>2773</v>
      </c>
      <c r="K244" s="9" t="s">
        <v>2773</v>
      </c>
    </row>
    <row r="245" customFormat="false" ht="26.85" hidden="false" customHeight="false" outlineLevel="0" collapsed="false">
      <c r="A245" s="9" t="n">
        <v>74</v>
      </c>
      <c r="B245" s="9" t="s">
        <v>843</v>
      </c>
      <c r="C245" s="10" t="s">
        <v>3946</v>
      </c>
      <c r="D245" s="10" t="s">
        <v>30</v>
      </c>
      <c r="E245" s="9" t="s">
        <v>3950</v>
      </c>
      <c r="F245" s="10" t="s">
        <v>3951</v>
      </c>
      <c r="G245" s="9" t="s">
        <v>3242</v>
      </c>
      <c r="H245" s="10" t="s">
        <v>3952</v>
      </c>
      <c r="I245" s="9"/>
      <c r="J245" s="9" t="s">
        <v>2773</v>
      </c>
      <c r="K245" s="9" t="s">
        <v>2773</v>
      </c>
    </row>
    <row r="246" customFormat="false" ht="26.85" hidden="false" customHeight="false" outlineLevel="0" collapsed="false">
      <c r="A246" s="9" t="n">
        <v>74</v>
      </c>
      <c r="B246" s="9" t="s">
        <v>843</v>
      </c>
      <c r="C246" s="10" t="s">
        <v>3946</v>
      </c>
      <c r="D246" s="10" t="s">
        <v>30</v>
      </c>
      <c r="E246" s="9" t="s">
        <v>3953</v>
      </c>
      <c r="F246" s="10" t="s">
        <v>3954</v>
      </c>
      <c r="G246" s="10" t="s">
        <v>3355</v>
      </c>
      <c r="H246" s="10" t="s">
        <v>3955</v>
      </c>
      <c r="I246" s="9"/>
      <c r="J246" s="10" t="s">
        <v>3247</v>
      </c>
      <c r="K246" s="10" t="s">
        <v>3247</v>
      </c>
    </row>
    <row r="247" customFormat="false" ht="26.85" hidden="false" customHeight="false" outlineLevel="0" collapsed="false">
      <c r="A247" s="9" t="n">
        <v>74</v>
      </c>
      <c r="B247" s="9" t="s">
        <v>843</v>
      </c>
      <c r="C247" s="10" t="s">
        <v>3946</v>
      </c>
      <c r="D247" s="10" t="s">
        <v>30</v>
      </c>
      <c r="E247" s="9" t="s">
        <v>3956</v>
      </c>
      <c r="F247" s="10" t="s">
        <v>3957</v>
      </c>
      <c r="G247" s="9" t="s">
        <v>3242</v>
      </c>
      <c r="H247" s="10" t="s">
        <v>3958</v>
      </c>
      <c r="I247" s="9"/>
      <c r="J247" s="9" t="s">
        <v>2773</v>
      </c>
      <c r="K247" s="9" t="s">
        <v>2773</v>
      </c>
    </row>
    <row r="248" customFormat="false" ht="26.85" hidden="false" customHeight="false" outlineLevel="0" collapsed="false">
      <c r="A248" s="9" t="n">
        <v>75</v>
      </c>
      <c r="B248" s="9" t="s">
        <v>850</v>
      </c>
      <c r="C248" s="10" t="s">
        <v>3959</v>
      </c>
      <c r="D248" s="10" t="s">
        <v>3434</v>
      </c>
      <c r="E248" s="9" t="s">
        <v>3960</v>
      </c>
      <c r="F248" s="10" t="s">
        <v>3961</v>
      </c>
      <c r="G248" s="9" t="s">
        <v>3242</v>
      </c>
      <c r="H248" s="10" t="s">
        <v>3962</v>
      </c>
      <c r="I248" s="9"/>
      <c r="J248" s="9" t="s">
        <v>2773</v>
      </c>
      <c r="K248" s="9" t="s">
        <v>2773</v>
      </c>
    </row>
    <row r="249" customFormat="false" ht="26.85" hidden="false" customHeight="false" outlineLevel="0" collapsed="false">
      <c r="A249" s="9" t="n">
        <v>75</v>
      </c>
      <c r="B249" s="9" t="s">
        <v>850</v>
      </c>
      <c r="C249" s="10" t="s">
        <v>3959</v>
      </c>
      <c r="D249" s="10" t="s">
        <v>3434</v>
      </c>
      <c r="E249" s="9" t="s">
        <v>3963</v>
      </c>
      <c r="F249" s="10" t="s">
        <v>3964</v>
      </c>
      <c r="G249" s="9" t="s">
        <v>3242</v>
      </c>
      <c r="H249" s="10" t="s">
        <v>3965</v>
      </c>
      <c r="I249" s="9"/>
      <c r="J249" s="9" t="s">
        <v>2773</v>
      </c>
      <c r="K249" s="9" t="s">
        <v>2773</v>
      </c>
    </row>
    <row r="250" customFormat="false" ht="26.85" hidden="false" customHeight="false" outlineLevel="0" collapsed="false">
      <c r="A250" s="9" t="n">
        <v>75</v>
      </c>
      <c r="B250" s="9" t="s">
        <v>850</v>
      </c>
      <c r="C250" s="10" t="s">
        <v>3959</v>
      </c>
      <c r="D250" s="10" t="s">
        <v>3434</v>
      </c>
      <c r="E250" s="9" t="s">
        <v>3947</v>
      </c>
      <c r="F250" s="10" t="s">
        <v>3948</v>
      </c>
      <c r="G250" s="9" t="s">
        <v>3242</v>
      </c>
      <c r="H250" s="10" t="s">
        <v>3949</v>
      </c>
      <c r="I250" s="9"/>
      <c r="J250" s="9" t="s">
        <v>2773</v>
      </c>
      <c r="K250" s="9" t="s">
        <v>2773</v>
      </c>
    </row>
    <row r="251" customFormat="false" ht="23.85" hidden="false" customHeight="false" outlineLevel="0" collapsed="false">
      <c r="A251" s="9" t="n">
        <v>76</v>
      </c>
      <c r="B251" s="9" t="s">
        <v>858</v>
      </c>
      <c r="C251" s="10" t="s">
        <v>3966</v>
      </c>
      <c r="D251" s="10" t="s">
        <v>27</v>
      </c>
      <c r="E251" s="9" t="s">
        <v>3963</v>
      </c>
      <c r="F251" s="10" t="s">
        <v>3964</v>
      </c>
      <c r="G251" s="9" t="s">
        <v>3242</v>
      </c>
      <c r="H251" s="10" t="s">
        <v>3965</v>
      </c>
      <c r="I251" s="9"/>
      <c r="J251" s="9" t="s">
        <v>2773</v>
      </c>
      <c r="K251" s="9" t="s">
        <v>2773</v>
      </c>
    </row>
    <row r="252" customFormat="false" ht="15" hidden="false" customHeight="false" outlineLevel="0" collapsed="false">
      <c r="A252" s="9" t="n">
        <v>76</v>
      </c>
      <c r="B252" s="9" t="s">
        <v>858</v>
      </c>
      <c r="C252" s="10" t="s">
        <v>3966</v>
      </c>
      <c r="D252" s="10" t="s">
        <v>27</v>
      </c>
      <c r="E252" s="9" t="s">
        <v>3960</v>
      </c>
      <c r="F252" s="10" t="s">
        <v>3961</v>
      </c>
      <c r="G252" s="9" t="s">
        <v>3242</v>
      </c>
      <c r="H252" s="10" t="s">
        <v>3962</v>
      </c>
      <c r="I252" s="9"/>
      <c r="J252" s="9" t="s">
        <v>2773</v>
      </c>
      <c r="K252" s="9" t="s">
        <v>2773</v>
      </c>
    </row>
    <row r="253" customFormat="false" ht="23.85" hidden="false" customHeight="false" outlineLevel="0" collapsed="false">
      <c r="A253" s="9" t="n">
        <v>76</v>
      </c>
      <c r="B253" s="9" t="s">
        <v>858</v>
      </c>
      <c r="C253" s="10" t="s">
        <v>3966</v>
      </c>
      <c r="D253" s="10" t="s">
        <v>27</v>
      </c>
      <c r="E253" s="9" t="s">
        <v>3956</v>
      </c>
      <c r="F253" s="10" t="s">
        <v>3957</v>
      </c>
      <c r="G253" s="9" t="s">
        <v>3242</v>
      </c>
      <c r="H253" s="10" t="s">
        <v>3958</v>
      </c>
      <c r="I253" s="9"/>
      <c r="J253" s="9" t="s">
        <v>2773</v>
      </c>
      <c r="K253" s="9" t="s">
        <v>2773</v>
      </c>
    </row>
    <row r="254" customFormat="false" ht="15" hidden="false" customHeight="false" outlineLevel="0" collapsed="false">
      <c r="A254" s="9" t="n">
        <v>76</v>
      </c>
      <c r="B254" s="9" t="s">
        <v>858</v>
      </c>
      <c r="C254" s="10" t="s">
        <v>3966</v>
      </c>
      <c r="D254" s="10" t="s">
        <v>27</v>
      </c>
      <c r="E254" s="9" t="s">
        <v>3947</v>
      </c>
      <c r="F254" s="10" t="s">
        <v>3948</v>
      </c>
      <c r="G254" s="9" t="s">
        <v>3242</v>
      </c>
      <c r="H254" s="10" t="s">
        <v>3949</v>
      </c>
      <c r="I254" s="9"/>
      <c r="J254" s="9" t="s">
        <v>2773</v>
      </c>
      <c r="K254" s="9" t="s">
        <v>2773</v>
      </c>
    </row>
    <row r="255" customFormat="false" ht="23.85" hidden="false" customHeight="false" outlineLevel="0" collapsed="false">
      <c r="A255" s="9" t="n">
        <v>77</v>
      </c>
      <c r="B255" s="9" t="s">
        <v>867</v>
      </c>
      <c r="C255" s="10" t="s">
        <v>3967</v>
      </c>
      <c r="D255" s="10" t="s">
        <v>27</v>
      </c>
      <c r="E255" s="9" t="s">
        <v>3968</v>
      </c>
      <c r="F255" s="10" t="s">
        <v>3969</v>
      </c>
      <c r="G255" s="9" t="s">
        <v>3242</v>
      </c>
      <c r="H255" s="10" t="s">
        <v>3970</v>
      </c>
      <c r="I255" s="9"/>
      <c r="J255" s="9" t="s">
        <v>3039</v>
      </c>
      <c r="K255" s="9" t="s">
        <v>3039</v>
      </c>
    </row>
    <row r="256" customFormat="false" ht="23.85" hidden="false" customHeight="false" outlineLevel="0" collapsed="false">
      <c r="A256" s="9" t="n">
        <v>77</v>
      </c>
      <c r="B256" s="9" t="s">
        <v>867</v>
      </c>
      <c r="C256" s="10" t="s">
        <v>3967</v>
      </c>
      <c r="D256" s="10" t="s">
        <v>27</v>
      </c>
      <c r="E256" s="9" t="s">
        <v>2711</v>
      </c>
      <c r="F256" s="10" t="s">
        <v>3971</v>
      </c>
      <c r="G256" s="9" t="s">
        <v>3242</v>
      </c>
      <c r="H256" s="10" t="s">
        <v>3972</v>
      </c>
      <c r="I256" s="9"/>
      <c r="J256" s="9" t="s">
        <v>1956</v>
      </c>
      <c r="K256" s="9" t="s">
        <v>1956</v>
      </c>
    </row>
    <row r="257" customFormat="false" ht="15" hidden="false" customHeight="false" outlineLevel="0" collapsed="false">
      <c r="A257" s="9" t="n">
        <v>77</v>
      </c>
      <c r="B257" s="9" t="s">
        <v>867</v>
      </c>
      <c r="C257" s="10" t="s">
        <v>3967</v>
      </c>
      <c r="D257" s="10" t="s">
        <v>27</v>
      </c>
      <c r="E257" s="9" t="s">
        <v>3973</v>
      </c>
      <c r="F257" s="10" t="s">
        <v>3974</v>
      </c>
      <c r="G257" s="9" t="s">
        <v>3242</v>
      </c>
      <c r="H257" s="10" t="s">
        <v>3975</v>
      </c>
      <c r="I257" s="9"/>
      <c r="J257" s="9" t="s">
        <v>3039</v>
      </c>
      <c r="K257" s="9" t="s">
        <v>3039</v>
      </c>
    </row>
    <row r="258" customFormat="false" ht="26.85" hidden="false" customHeight="false" outlineLevel="0" collapsed="false">
      <c r="A258" s="9" t="n">
        <v>78</v>
      </c>
      <c r="B258" s="9" t="s">
        <v>872</v>
      </c>
      <c r="C258" s="10" t="s">
        <v>3976</v>
      </c>
      <c r="D258" s="10" t="s">
        <v>27</v>
      </c>
      <c r="E258" s="9" t="s">
        <v>3934</v>
      </c>
      <c r="F258" s="10" t="s">
        <v>3935</v>
      </c>
      <c r="G258" s="10" t="s">
        <v>3355</v>
      </c>
      <c r="H258" s="10" t="s">
        <v>3936</v>
      </c>
      <c r="I258" s="9"/>
      <c r="J258" s="10" t="s">
        <v>3247</v>
      </c>
      <c r="K258" s="10" t="s">
        <v>3247</v>
      </c>
    </row>
    <row r="259" customFormat="false" ht="26.85" hidden="false" customHeight="false" outlineLevel="0" collapsed="false">
      <c r="A259" s="9" t="n">
        <v>78</v>
      </c>
      <c r="B259" s="9" t="s">
        <v>872</v>
      </c>
      <c r="C259" s="10" t="s">
        <v>3976</v>
      </c>
      <c r="D259" s="10" t="s">
        <v>27</v>
      </c>
      <c r="E259" s="9" t="s">
        <v>3977</v>
      </c>
      <c r="F259" s="10" t="s">
        <v>3978</v>
      </c>
      <c r="G259" s="10" t="s">
        <v>3355</v>
      </c>
      <c r="H259" s="10" t="s">
        <v>3979</v>
      </c>
      <c r="I259" s="9"/>
      <c r="J259" s="10" t="s">
        <v>3247</v>
      </c>
      <c r="K259" s="10" t="s">
        <v>3247</v>
      </c>
    </row>
    <row r="260" customFormat="false" ht="26.85" hidden="false" customHeight="false" outlineLevel="0" collapsed="false">
      <c r="A260" s="9" t="n">
        <v>78</v>
      </c>
      <c r="B260" s="9" t="s">
        <v>872</v>
      </c>
      <c r="C260" s="10" t="s">
        <v>3976</v>
      </c>
      <c r="D260" s="10" t="s">
        <v>27</v>
      </c>
      <c r="E260" s="9" t="s">
        <v>3937</v>
      </c>
      <c r="F260" s="10" t="s">
        <v>3938</v>
      </c>
      <c r="G260" s="10" t="s">
        <v>3355</v>
      </c>
      <c r="H260" s="10" t="s">
        <v>3939</v>
      </c>
      <c r="I260" s="9"/>
      <c r="J260" s="10" t="s">
        <v>3247</v>
      </c>
      <c r="K260" s="10" t="s">
        <v>3247</v>
      </c>
    </row>
    <row r="261" customFormat="false" ht="26.85" hidden="false" customHeight="false" outlineLevel="0" collapsed="false">
      <c r="A261" s="9" t="n">
        <v>79</v>
      </c>
      <c r="B261" s="9" t="s">
        <v>879</v>
      </c>
      <c r="C261" s="10" t="s">
        <v>3980</v>
      </c>
      <c r="D261" s="10" t="s">
        <v>27</v>
      </c>
      <c r="E261" s="9" t="s">
        <v>3981</v>
      </c>
      <c r="F261" s="10" t="s">
        <v>3982</v>
      </c>
      <c r="G261" s="9" t="s">
        <v>3242</v>
      </c>
      <c r="H261" s="10" t="s">
        <v>3983</v>
      </c>
      <c r="I261" s="9"/>
      <c r="J261" s="9" t="s">
        <v>1956</v>
      </c>
      <c r="K261" s="9" t="s">
        <v>1956</v>
      </c>
    </row>
    <row r="262" customFormat="false" ht="26.85" hidden="false" customHeight="false" outlineLevel="0" collapsed="false">
      <c r="A262" s="9" t="n">
        <v>79</v>
      </c>
      <c r="B262" s="9" t="s">
        <v>879</v>
      </c>
      <c r="C262" s="10" t="s">
        <v>3980</v>
      </c>
      <c r="D262" s="10" t="s">
        <v>27</v>
      </c>
      <c r="E262" s="9" t="s">
        <v>3984</v>
      </c>
      <c r="F262" s="10" t="s">
        <v>3985</v>
      </c>
      <c r="G262" s="9" t="s">
        <v>3242</v>
      </c>
      <c r="H262" s="10" t="s">
        <v>3986</v>
      </c>
      <c r="I262" s="9"/>
      <c r="J262" s="9" t="s">
        <v>1956</v>
      </c>
      <c r="K262" s="9" t="s">
        <v>1956</v>
      </c>
    </row>
    <row r="263" customFormat="false" ht="26.85" hidden="false" customHeight="false" outlineLevel="0" collapsed="false">
      <c r="A263" s="9" t="n">
        <v>79</v>
      </c>
      <c r="B263" s="9" t="s">
        <v>879</v>
      </c>
      <c r="C263" s="10" t="s">
        <v>3980</v>
      </c>
      <c r="D263" s="10" t="s">
        <v>27</v>
      </c>
      <c r="E263" s="9" t="s">
        <v>3309</v>
      </c>
      <c r="F263" s="10" t="s">
        <v>3310</v>
      </c>
      <c r="G263" s="9" t="s">
        <v>3242</v>
      </c>
      <c r="H263" s="10" t="s">
        <v>3311</v>
      </c>
      <c r="I263" s="9" t="s">
        <v>3987</v>
      </c>
      <c r="J263" s="10" t="s">
        <v>3247</v>
      </c>
      <c r="K263" s="10" t="s">
        <v>3247</v>
      </c>
    </row>
    <row r="264" customFormat="false" ht="26.85" hidden="false" customHeight="false" outlineLevel="0" collapsed="false">
      <c r="A264" s="9" t="n">
        <v>80</v>
      </c>
      <c r="B264" s="9" t="s">
        <v>884</v>
      </c>
      <c r="C264" s="10" t="s">
        <v>3988</v>
      </c>
      <c r="D264" s="10" t="s">
        <v>27</v>
      </c>
      <c r="E264" s="9" t="s">
        <v>3981</v>
      </c>
      <c r="F264" s="10" t="s">
        <v>3982</v>
      </c>
      <c r="G264" s="9" t="s">
        <v>3242</v>
      </c>
      <c r="H264" s="10" t="s">
        <v>3983</v>
      </c>
      <c r="I264" s="9"/>
      <c r="J264" s="9" t="s">
        <v>1956</v>
      </c>
      <c r="K264" s="9" t="s">
        <v>1956</v>
      </c>
    </row>
    <row r="265" customFormat="false" ht="26.85" hidden="false" customHeight="false" outlineLevel="0" collapsed="false">
      <c r="A265" s="9" t="n">
        <v>80</v>
      </c>
      <c r="B265" s="9" t="s">
        <v>884</v>
      </c>
      <c r="C265" s="10" t="s">
        <v>3988</v>
      </c>
      <c r="D265" s="10" t="s">
        <v>27</v>
      </c>
      <c r="E265" s="9" t="s">
        <v>3984</v>
      </c>
      <c r="F265" s="10" t="s">
        <v>3985</v>
      </c>
      <c r="G265" s="9" t="s">
        <v>3242</v>
      </c>
      <c r="H265" s="10" t="s">
        <v>3986</v>
      </c>
      <c r="I265" s="9"/>
      <c r="J265" s="9" t="s">
        <v>1956</v>
      </c>
      <c r="K265" s="9" t="s">
        <v>1956</v>
      </c>
    </row>
    <row r="266" customFormat="false" ht="26.85" hidden="false" customHeight="false" outlineLevel="0" collapsed="false">
      <c r="A266" s="9" t="n">
        <v>80</v>
      </c>
      <c r="B266" s="9" t="s">
        <v>884</v>
      </c>
      <c r="C266" s="10" t="s">
        <v>3988</v>
      </c>
      <c r="D266" s="10" t="s">
        <v>27</v>
      </c>
      <c r="E266" s="9" t="s">
        <v>3989</v>
      </c>
      <c r="F266" s="10" t="s">
        <v>3990</v>
      </c>
      <c r="G266" s="9" t="s">
        <v>3242</v>
      </c>
      <c r="H266" s="10" t="s">
        <v>3991</v>
      </c>
      <c r="I266" s="9"/>
      <c r="J266" s="9" t="s">
        <v>1956</v>
      </c>
      <c r="K266" s="9" t="s">
        <v>1956</v>
      </c>
    </row>
    <row r="267" customFormat="false" ht="26.85" hidden="false" customHeight="false" outlineLevel="0" collapsed="false">
      <c r="A267" s="9" t="n">
        <v>81</v>
      </c>
      <c r="B267" s="9" t="s">
        <v>889</v>
      </c>
      <c r="C267" s="10" t="s">
        <v>3992</v>
      </c>
      <c r="D267" s="10" t="s">
        <v>27</v>
      </c>
      <c r="E267" s="9" t="s">
        <v>3926</v>
      </c>
      <c r="F267" s="10" t="s">
        <v>3927</v>
      </c>
      <c r="G267" s="9" t="s">
        <v>3242</v>
      </c>
      <c r="H267" s="10" t="s">
        <v>3928</v>
      </c>
      <c r="I267" s="9"/>
      <c r="J267" s="9" t="s">
        <v>1956</v>
      </c>
      <c r="K267" s="9" t="s">
        <v>1956</v>
      </c>
    </row>
    <row r="268" customFormat="false" ht="26.85" hidden="false" customHeight="false" outlineLevel="0" collapsed="false">
      <c r="A268" s="9" t="n">
        <v>81</v>
      </c>
      <c r="B268" s="9" t="s">
        <v>889</v>
      </c>
      <c r="C268" s="10" t="s">
        <v>3992</v>
      </c>
      <c r="D268" s="10" t="s">
        <v>27</v>
      </c>
      <c r="E268" s="9" t="s">
        <v>3993</v>
      </c>
      <c r="F268" s="10" t="s">
        <v>3994</v>
      </c>
      <c r="G268" s="9" t="s">
        <v>3242</v>
      </c>
      <c r="H268" s="10" t="s">
        <v>3995</v>
      </c>
      <c r="I268" s="9"/>
      <c r="J268" s="9" t="s">
        <v>1956</v>
      </c>
      <c r="K268" s="9" t="s">
        <v>1956</v>
      </c>
    </row>
    <row r="269" customFormat="false" ht="26.85" hidden="false" customHeight="false" outlineLevel="0" collapsed="false">
      <c r="A269" s="9" t="n">
        <v>81</v>
      </c>
      <c r="B269" s="9" t="s">
        <v>889</v>
      </c>
      <c r="C269" s="10" t="s">
        <v>3992</v>
      </c>
      <c r="D269" s="10" t="s">
        <v>27</v>
      </c>
      <c r="E269" s="9" t="s">
        <v>3996</v>
      </c>
      <c r="F269" s="10" t="s">
        <v>3930</v>
      </c>
      <c r="G269" s="9" t="s">
        <v>3242</v>
      </c>
      <c r="H269" s="10" t="s">
        <v>3931</v>
      </c>
      <c r="I269" s="9"/>
      <c r="J269" s="9" t="s">
        <v>1956</v>
      </c>
      <c r="K269" s="9" t="s">
        <v>1956</v>
      </c>
    </row>
    <row r="270" customFormat="false" ht="26.85" hidden="false" customHeight="false" outlineLevel="0" collapsed="false">
      <c r="A270" s="9" t="n">
        <v>81</v>
      </c>
      <c r="B270" s="9" t="s">
        <v>889</v>
      </c>
      <c r="C270" s="10" t="s">
        <v>3992</v>
      </c>
      <c r="D270" s="10" t="s">
        <v>27</v>
      </c>
      <c r="E270" s="9" t="s">
        <v>3997</v>
      </c>
      <c r="F270" s="10" t="s">
        <v>3998</v>
      </c>
      <c r="G270" s="9" t="s">
        <v>3242</v>
      </c>
      <c r="H270" s="10" t="s">
        <v>3999</v>
      </c>
      <c r="I270" s="9" t="s">
        <v>4000</v>
      </c>
      <c r="J270" s="9" t="s">
        <v>1956</v>
      </c>
      <c r="K270" s="9" t="s">
        <v>1956</v>
      </c>
    </row>
    <row r="271" customFormat="false" ht="26.85" hidden="false" customHeight="false" outlineLevel="0" collapsed="false">
      <c r="A271" s="9" t="n">
        <v>82</v>
      </c>
      <c r="B271" s="9" t="s">
        <v>898</v>
      </c>
      <c r="C271" s="10" t="s">
        <v>4001</v>
      </c>
      <c r="D271" s="10" t="s">
        <v>27</v>
      </c>
      <c r="E271" s="9" t="s">
        <v>4002</v>
      </c>
      <c r="F271" s="10" t="s">
        <v>4003</v>
      </c>
      <c r="G271" s="9" t="s">
        <v>3242</v>
      </c>
      <c r="H271" s="10" t="s">
        <v>4004</v>
      </c>
      <c r="I271" s="9"/>
      <c r="J271" s="9" t="s">
        <v>1956</v>
      </c>
      <c r="K271" s="9" t="s">
        <v>1956</v>
      </c>
    </row>
    <row r="272" customFormat="false" ht="26.85" hidden="false" customHeight="false" outlineLevel="0" collapsed="false">
      <c r="A272" s="9" t="n">
        <v>82</v>
      </c>
      <c r="B272" s="9" t="s">
        <v>898</v>
      </c>
      <c r="C272" s="10" t="s">
        <v>4001</v>
      </c>
      <c r="D272" s="10" t="s">
        <v>27</v>
      </c>
      <c r="E272" s="9" t="s">
        <v>3899</v>
      </c>
      <c r="F272" s="10" t="s">
        <v>3900</v>
      </c>
      <c r="G272" s="9" t="s">
        <v>3242</v>
      </c>
      <c r="H272" s="10" t="s">
        <v>3901</v>
      </c>
      <c r="I272" s="9"/>
      <c r="J272" s="9" t="s">
        <v>1956</v>
      </c>
      <c r="K272" s="9" t="s">
        <v>1956</v>
      </c>
    </row>
    <row r="273" customFormat="false" ht="26.85" hidden="false" customHeight="false" outlineLevel="0" collapsed="false">
      <c r="A273" s="9" t="n">
        <v>82</v>
      </c>
      <c r="B273" s="9" t="s">
        <v>898</v>
      </c>
      <c r="C273" s="10" t="s">
        <v>4001</v>
      </c>
      <c r="D273" s="10" t="s">
        <v>27</v>
      </c>
      <c r="E273" s="9" t="s">
        <v>4005</v>
      </c>
      <c r="F273" s="10" t="s">
        <v>4006</v>
      </c>
      <c r="G273" s="9" t="s">
        <v>3242</v>
      </c>
      <c r="H273" s="10" t="s">
        <v>4007</v>
      </c>
      <c r="I273" s="9"/>
      <c r="J273" s="9" t="s">
        <v>1956</v>
      </c>
      <c r="K273" s="9" t="s">
        <v>1956</v>
      </c>
    </row>
    <row r="274" customFormat="false" ht="26.85" hidden="false" customHeight="false" outlineLevel="0" collapsed="false">
      <c r="A274" s="9" t="n">
        <v>82</v>
      </c>
      <c r="B274" s="9" t="s">
        <v>898</v>
      </c>
      <c r="C274" s="10" t="s">
        <v>4001</v>
      </c>
      <c r="D274" s="10" t="s">
        <v>27</v>
      </c>
      <c r="E274" s="9" t="s">
        <v>4008</v>
      </c>
      <c r="F274" s="10" t="s">
        <v>4009</v>
      </c>
      <c r="G274" s="9" t="s">
        <v>3242</v>
      </c>
      <c r="H274" s="10" t="s">
        <v>4010</v>
      </c>
      <c r="I274" s="9"/>
      <c r="J274" s="9" t="s">
        <v>1956</v>
      </c>
      <c r="K274" s="9" t="s">
        <v>1956</v>
      </c>
    </row>
    <row r="275" customFormat="false" ht="26.85" hidden="false" customHeight="false" outlineLevel="0" collapsed="false">
      <c r="A275" s="9" t="n">
        <v>83</v>
      </c>
      <c r="B275" s="9" t="s">
        <v>905</v>
      </c>
      <c r="C275" s="10" t="s">
        <v>4011</v>
      </c>
      <c r="D275" s="10" t="s">
        <v>27</v>
      </c>
      <c r="E275" s="9" t="s">
        <v>4005</v>
      </c>
      <c r="F275" s="10" t="s">
        <v>4006</v>
      </c>
      <c r="G275" s="9" t="s">
        <v>3242</v>
      </c>
      <c r="H275" s="10" t="s">
        <v>4007</v>
      </c>
      <c r="I275" s="9"/>
      <c r="J275" s="9" t="s">
        <v>1956</v>
      </c>
      <c r="K275" s="9" t="s">
        <v>1956</v>
      </c>
    </row>
    <row r="276" customFormat="false" ht="26.85" hidden="false" customHeight="false" outlineLevel="0" collapsed="false">
      <c r="A276" s="9" t="n">
        <v>83</v>
      </c>
      <c r="B276" s="9" t="s">
        <v>905</v>
      </c>
      <c r="C276" s="10" t="s">
        <v>4011</v>
      </c>
      <c r="D276" s="10" t="s">
        <v>27</v>
      </c>
      <c r="E276" s="9" t="s">
        <v>4002</v>
      </c>
      <c r="F276" s="10" t="s">
        <v>4003</v>
      </c>
      <c r="G276" s="9" t="s">
        <v>3242</v>
      </c>
      <c r="H276" s="10" t="s">
        <v>4004</v>
      </c>
      <c r="I276" s="9"/>
      <c r="J276" s="9" t="s">
        <v>1956</v>
      </c>
      <c r="K276" s="9" t="s">
        <v>1956</v>
      </c>
    </row>
    <row r="277" customFormat="false" ht="26.85" hidden="false" customHeight="false" outlineLevel="0" collapsed="false">
      <c r="A277" s="9" t="n">
        <v>83</v>
      </c>
      <c r="B277" s="9" t="s">
        <v>905</v>
      </c>
      <c r="C277" s="10" t="s">
        <v>4011</v>
      </c>
      <c r="D277" s="10" t="s">
        <v>27</v>
      </c>
      <c r="E277" s="9" t="s">
        <v>4012</v>
      </c>
      <c r="F277" s="10" t="s">
        <v>4013</v>
      </c>
      <c r="G277" s="9" t="s">
        <v>3242</v>
      </c>
      <c r="H277" s="10" t="s">
        <v>4014</v>
      </c>
      <c r="I277" s="9"/>
      <c r="J277" s="9" t="s">
        <v>1956</v>
      </c>
      <c r="K277" s="9" t="s">
        <v>1956</v>
      </c>
    </row>
    <row r="278" customFormat="false" ht="26.85" hidden="false" customHeight="false" outlineLevel="0" collapsed="false">
      <c r="A278" s="9" t="n">
        <v>83</v>
      </c>
      <c r="B278" s="9" t="s">
        <v>905</v>
      </c>
      <c r="C278" s="10" t="s">
        <v>4011</v>
      </c>
      <c r="D278" s="10" t="s">
        <v>27</v>
      </c>
      <c r="E278" s="9" t="s">
        <v>3899</v>
      </c>
      <c r="F278" s="10" t="s">
        <v>3900</v>
      </c>
      <c r="G278" s="9" t="s">
        <v>3242</v>
      </c>
      <c r="H278" s="10" t="s">
        <v>3901</v>
      </c>
      <c r="I278" s="9"/>
      <c r="J278" s="9" t="s">
        <v>1956</v>
      </c>
      <c r="K278" s="9" t="s">
        <v>1956</v>
      </c>
    </row>
    <row r="279" customFormat="false" ht="15" hidden="false" customHeight="false" outlineLevel="0" collapsed="false">
      <c r="A279" s="9" t="n">
        <v>84</v>
      </c>
      <c r="B279" s="9" t="s">
        <v>912</v>
      </c>
      <c r="C279" s="10" t="s">
        <v>4015</v>
      </c>
      <c r="D279" s="10" t="s">
        <v>27</v>
      </c>
      <c r="E279" s="9" t="s">
        <v>3919</v>
      </c>
      <c r="F279" s="10" t="s">
        <v>3920</v>
      </c>
      <c r="G279" s="9" t="s">
        <v>3242</v>
      </c>
      <c r="H279" s="10" t="s">
        <v>3921</v>
      </c>
      <c r="I279" s="9"/>
      <c r="J279" s="9" t="s">
        <v>1956</v>
      </c>
      <c r="K279" s="9" t="s">
        <v>1956</v>
      </c>
    </row>
    <row r="280" customFormat="false" ht="26.85" hidden="false" customHeight="false" outlineLevel="0" collapsed="false">
      <c r="A280" s="9" t="n">
        <v>84</v>
      </c>
      <c r="B280" s="9" t="s">
        <v>912</v>
      </c>
      <c r="C280" s="10" t="s">
        <v>4015</v>
      </c>
      <c r="D280" s="10" t="s">
        <v>27</v>
      </c>
      <c r="E280" s="9" t="s">
        <v>4016</v>
      </c>
      <c r="F280" s="10" t="s">
        <v>4017</v>
      </c>
      <c r="G280" s="10" t="s">
        <v>3355</v>
      </c>
      <c r="H280" s="10" t="s">
        <v>4018</v>
      </c>
      <c r="I280" s="9"/>
      <c r="J280" s="10" t="s">
        <v>3247</v>
      </c>
      <c r="K280" s="10" t="s">
        <v>3247</v>
      </c>
    </row>
    <row r="281" customFormat="false" ht="26.85" hidden="false" customHeight="false" outlineLevel="0" collapsed="false">
      <c r="A281" s="9" t="n">
        <v>84</v>
      </c>
      <c r="B281" s="9" t="s">
        <v>912</v>
      </c>
      <c r="C281" s="10" t="s">
        <v>4015</v>
      </c>
      <c r="D281" s="10" t="s">
        <v>27</v>
      </c>
      <c r="E281" s="9" t="s">
        <v>4019</v>
      </c>
      <c r="F281" s="10" t="s">
        <v>4020</v>
      </c>
      <c r="G281" s="10" t="s">
        <v>3355</v>
      </c>
      <c r="H281" s="10" t="s">
        <v>4021</v>
      </c>
      <c r="I281" s="9"/>
      <c r="J281" s="10" t="s">
        <v>3247</v>
      </c>
      <c r="K281" s="10" t="s">
        <v>3247</v>
      </c>
    </row>
    <row r="282" customFormat="false" ht="26.85" hidden="false" customHeight="false" outlineLevel="0" collapsed="false">
      <c r="A282" s="9" t="n">
        <v>85</v>
      </c>
      <c r="B282" s="9" t="s">
        <v>917</v>
      </c>
      <c r="C282" s="10" t="s">
        <v>4022</v>
      </c>
      <c r="D282" s="10" t="s">
        <v>27</v>
      </c>
      <c r="E282" s="9" t="s">
        <v>4023</v>
      </c>
      <c r="F282" s="10" t="s">
        <v>4024</v>
      </c>
      <c r="G282" s="10" t="s">
        <v>3355</v>
      </c>
      <c r="H282" s="10" t="s">
        <v>4025</v>
      </c>
      <c r="I282" s="9"/>
      <c r="J282" s="10" t="s">
        <v>3247</v>
      </c>
      <c r="K282" s="10" t="s">
        <v>3247</v>
      </c>
    </row>
    <row r="283" customFormat="false" ht="26.85" hidden="false" customHeight="false" outlineLevel="0" collapsed="false">
      <c r="A283" s="9" t="n">
        <v>85</v>
      </c>
      <c r="B283" s="9" t="s">
        <v>917</v>
      </c>
      <c r="C283" s="10" t="s">
        <v>4022</v>
      </c>
      <c r="D283" s="10" t="s">
        <v>27</v>
      </c>
      <c r="E283" s="9" t="s">
        <v>4026</v>
      </c>
      <c r="F283" s="10" t="s">
        <v>4027</v>
      </c>
      <c r="G283" s="10" t="s">
        <v>3355</v>
      </c>
      <c r="H283" s="10" t="s">
        <v>4028</v>
      </c>
      <c r="I283" s="9"/>
      <c r="J283" s="10" t="s">
        <v>3247</v>
      </c>
      <c r="K283" s="10" t="s">
        <v>3247</v>
      </c>
    </row>
    <row r="284" customFormat="false" ht="26.85" hidden="false" customHeight="false" outlineLevel="0" collapsed="false">
      <c r="A284" s="9" t="n">
        <v>85</v>
      </c>
      <c r="B284" s="9" t="s">
        <v>917</v>
      </c>
      <c r="C284" s="10" t="s">
        <v>4022</v>
      </c>
      <c r="D284" s="10" t="s">
        <v>27</v>
      </c>
      <c r="E284" s="9" t="s">
        <v>4029</v>
      </c>
      <c r="F284" s="10" t="s">
        <v>4030</v>
      </c>
      <c r="G284" s="10" t="s">
        <v>3355</v>
      </c>
      <c r="H284" s="10" t="s">
        <v>4031</v>
      </c>
      <c r="I284" s="9"/>
      <c r="J284" s="10" t="s">
        <v>3247</v>
      </c>
      <c r="K284" s="10" t="s">
        <v>3247</v>
      </c>
    </row>
    <row r="285" customFormat="false" ht="15" hidden="false" customHeight="false" outlineLevel="0" collapsed="false">
      <c r="A285" s="9" t="n">
        <v>86</v>
      </c>
      <c r="B285" s="9" t="s">
        <v>922</v>
      </c>
      <c r="C285" s="10" t="s">
        <v>4032</v>
      </c>
      <c r="D285" s="10" t="s">
        <v>27</v>
      </c>
      <c r="E285" s="9" t="s">
        <v>4033</v>
      </c>
      <c r="F285" s="10" t="s">
        <v>4034</v>
      </c>
      <c r="G285" s="9" t="s">
        <v>3242</v>
      </c>
      <c r="H285" s="10" t="s">
        <v>4035</v>
      </c>
      <c r="I285" s="9"/>
      <c r="J285" s="9" t="s">
        <v>2773</v>
      </c>
      <c r="K285" s="9" t="s">
        <v>2773</v>
      </c>
    </row>
    <row r="286" customFormat="false" ht="23.85" hidden="false" customHeight="false" outlineLevel="0" collapsed="false">
      <c r="A286" s="9" t="n">
        <v>86</v>
      </c>
      <c r="B286" s="9" t="s">
        <v>922</v>
      </c>
      <c r="C286" s="10" t="s">
        <v>4032</v>
      </c>
      <c r="D286" s="10" t="s">
        <v>27</v>
      </c>
      <c r="E286" s="9" t="s">
        <v>4036</v>
      </c>
      <c r="F286" s="10" t="s">
        <v>4037</v>
      </c>
      <c r="G286" s="9" t="s">
        <v>3242</v>
      </c>
      <c r="H286" s="10" t="s">
        <v>4038</v>
      </c>
      <c r="I286" s="9"/>
      <c r="J286" s="9" t="s">
        <v>2232</v>
      </c>
      <c r="K286" s="9" t="s">
        <v>3284</v>
      </c>
    </row>
    <row r="287" customFormat="false" ht="23.85" hidden="false" customHeight="false" outlineLevel="0" collapsed="false">
      <c r="A287" s="9" t="n">
        <v>86</v>
      </c>
      <c r="B287" s="9" t="s">
        <v>922</v>
      </c>
      <c r="C287" s="10" t="s">
        <v>4032</v>
      </c>
      <c r="D287" s="10" t="s">
        <v>27</v>
      </c>
      <c r="E287" s="9" t="s">
        <v>4039</v>
      </c>
      <c r="F287" s="10" t="s">
        <v>4040</v>
      </c>
      <c r="G287" s="9" t="s">
        <v>3242</v>
      </c>
      <c r="H287" s="10" t="s">
        <v>4041</v>
      </c>
      <c r="I287" s="9"/>
      <c r="J287" s="9" t="s">
        <v>2773</v>
      </c>
      <c r="K287" s="9" t="s">
        <v>2773</v>
      </c>
    </row>
    <row r="288" customFormat="false" ht="23.85" hidden="false" customHeight="false" outlineLevel="0" collapsed="false">
      <c r="A288" s="9" t="n">
        <v>86</v>
      </c>
      <c r="B288" s="9" t="s">
        <v>922</v>
      </c>
      <c r="C288" s="10" t="s">
        <v>4032</v>
      </c>
      <c r="D288" s="10" t="s">
        <v>27</v>
      </c>
      <c r="E288" s="9" t="s">
        <v>4042</v>
      </c>
      <c r="F288" s="10" t="s">
        <v>4043</v>
      </c>
      <c r="G288" s="9" t="s">
        <v>3242</v>
      </c>
      <c r="H288" s="10" t="s">
        <v>4044</v>
      </c>
      <c r="I288" s="9"/>
      <c r="J288" s="9" t="s">
        <v>2773</v>
      </c>
      <c r="K288" s="9" t="s">
        <v>2773</v>
      </c>
    </row>
    <row r="289" customFormat="false" ht="15" hidden="false" customHeight="false" outlineLevel="0" collapsed="false">
      <c r="A289" s="9" t="n">
        <v>87</v>
      </c>
      <c r="B289" s="9" t="s">
        <v>931</v>
      </c>
      <c r="C289" s="10" t="s">
        <v>932</v>
      </c>
      <c r="D289" s="10" t="s">
        <v>27</v>
      </c>
      <c r="E289" s="9" t="s">
        <v>4045</v>
      </c>
      <c r="F289" s="10" t="s">
        <v>4046</v>
      </c>
      <c r="G289" s="9" t="s">
        <v>3242</v>
      </c>
      <c r="H289" s="10" t="s">
        <v>4047</v>
      </c>
      <c r="I289" s="9"/>
      <c r="J289" s="9" t="s">
        <v>2773</v>
      </c>
      <c r="K289" s="9" t="s">
        <v>2773</v>
      </c>
    </row>
    <row r="290" customFormat="false" ht="15" hidden="false" customHeight="false" outlineLevel="0" collapsed="false">
      <c r="A290" s="9" t="n">
        <v>87</v>
      </c>
      <c r="B290" s="9" t="s">
        <v>931</v>
      </c>
      <c r="C290" s="10" t="s">
        <v>932</v>
      </c>
      <c r="D290" s="10" t="s">
        <v>27</v>
      </c>
      <c r="E290" s="9" t="s">
        <v>4048</v>
      </c>
      <c r="F290" s="10" t="s">
        <v>4049</v>
      </c>
      <c r="G290" s="9" t="s">
        <v>3242</v>
      </c>
      <c r="H290" s="10" t="s">
        <v>4050</v>
      </c>
      <c r="I290" s="9"/>
      <c r="J290" s="9" t="s">
        <v>2773</v>
      </c>
      <c r="K290" s="9" t="s">
        <v>2773</v>
      </c>
    </row>
    <row r="291" customFormat="false" ht="15" hidden="false" customHeight="false" outlineLevel="0" collapsed="false">
      <c r="A291" s="9" t="n">
        <v>87</v>
      </c>
      <c r="B291" s="9" t="s">
        <v>931</v>
      </c>
      <c r="C291" s="10" t="s">
        <v>932</v>
      </c>
      <c r="D291" s="10" t="s">
        <v>27</v>
      </c>
      <c r="E291" s="9" t="s">
        <v>4051</v>
      </c>
      <c r="F291" s="10" t="s">
        <v>4052</v>
      </c>
      <c r="G291" s="9" t="s">
        <v>3242</v>
      </c>
      <c r="H291" s="10" t="s">
        <v>4053</v>
      </c>
      <c r="I291" s="9"/>
      <c r="J291" s="9" t="s">
        <v>2232</v>
      </c>
      <c r="K291" s="9" t="s">
        <v>3284</v>
      </c>
    </row>
    <row r="292" customFormat="false" ht="39.55" hidden="false" customHeight="false" outlineLevel="0" collapsed="false">
      <c r="A292" s="9" t="n">
        <v>88</v>
      </c>
      <c r="B292" s="9" t="s">
        <v>935</v>
      </c>
      <c r="C292" s="10" t="s">
        <v>4054</v>
      </c>
      <c r="D292" s="10" t="s">
        <v>4055</v>
      </c>
      <c r="E292" s="9" t="s">
        <v>4056</v>
      </c>
      <c r="F292" s="10" t="s">
        <v>4057</v>
      </c>
      <c r="G292" s="9" t="s">
        <v>3242</v>
      </c>
      <c r="H292" s="10" t="s">
        <v>4058</v>
      </c>
      <c r="I292" s="9"/>
      <c r="J292" s="9" t="s">
        <v>1956</v>
      </c>
      <c r="K292" s="9" t="s">
        <v>1956</v>
      </c>
    </row>
    <row r="293" customFormat="false" ht="39.55" hidden="false" customHeight="false" outlineLevel="0" collapsed="false">
      <c r="A293" s="9" t="n">
        <v>88</v>
      </c>
      <c r="B293" s="9" t="s">
        <v>935</v>
      </c>
      <c r="C293" s="10" t="s">
        <v>4054</v>
      </c>
      <c r="D293" s="10" t="s">
        <v>4055</v>
      </c>
      <c r="E293" s="9" t="s">
        <v>4059</v>
      </c>
      <c r="F293" s="10" t="s">
        <v>4060</v>
      </c>
      <c r="G293" s="9" t="s">
        <v>3242</v>
      </c>
      <c r="H293" s="10" t="s">
        <v>4061</v>
      </c>
      <c r="I293" s="9"/>
      <c r="J293" s="9" t="s">
        <v>1956</v>
      </c>
      <c r="K293" s="9" t="s">
        <v>1956</v>
      </c>
    </row>
    <row r="294" customFormat="false" ht="39.55" hidden="false" customHeight="false" outlineLevel="0" collapsed="false">
      <c r="A294" s="9" t="n">
        <v>88</v>
      </c>
      <c r="B294" s="9" t="s">
        <v>935</v>
      </c>
      <c r="C294" s="10" t="s">
        <v>4054</v>
      </c>
      <c r="D294" s="10" t="s">
        <v>4055</v>
      </c>
      <c r="E294" s="9" t="s">
        <v>4062</v>
      </c>
      <c r="F294" s="10" t="s">
        <v>3312</v>
      </c>
      <c r="G294" s="9" t="s">
        <v>3242</v>
      </c>
      <c r="H294" s="10" t="s">
        <v>3313</v>
      </c>
      <c r="I294" s="9" t="s">
        <v>4063</v>
      </c>
      <c r="J294" s="9" t="s">
        <v>1956</v>
      </c>
      <c r="K294" s="9" t="s">
        <v>1956</v>
      </c>
    </row>
    <row r="295" customFormat="false" ht="15" hidden="false" customHeight="false" outlineLevel="0" collapsed="false">
      <c r="A295" s="9" t="n">
        <v>89</v>
      </c>
      <c r="B295" s="9" t="s">
        <v>943</v>
      </c>
      <c r="C295" s="10" t="s">
        <v>944</v>
      </c>
      <c r="D295" s="10" t="s">
        <v>25</v>
      </c>
      <c r="E295" s="9" t="s">
        <v>4064</v>
      </c>
      <c r="F295" s="10" t="s">
        <v>4034</v>
      </c>
      <c r="G295" s="9" t="s">
        <v>3242</v>
      </c>
      <c r="H295" s="10" t="s">
        <v>4035</v>
      </c>
      <c r="I295" s="9"/>
      <c r="J295" s="9" t="s">
        <v>2773</v>
      </c>
      <c r="K295" s="9" t="s">
        <v>2773</v>
      </c>
    </row>
    <row r="296" customFormat="false" ht="23.85" hidden="false" customHeight="false" outlineLevel="0" collapsed="false">
      <c r="A296" s="9" t="n">
        <v>89</v>
      </c>
      <c r="B296" s="9" t="s">
        <v>943</v>
      </c>
      <c r="C296" s="10" t="s">
        <v>944</v>
      </c>
      <c r="D296" s="10" t="s">
        <v>25</v>
      </c>
      <c r="E296" s="9" t="s">
        <v>4065</v>
      </c>
      <c r="F296" s="10" t="s">
        <v>4066</v>
      </c>
      <c r="G296" s="9" t="s">
        <v>3242</v>
      </c>
      <c r="H296" s="10" t="s">
        <v>4067</v>
      </c>
      <c r="I296" s="9"/>
      <c r="J296" s="10" t="s">
        <v>3247</v>
      </c>
      <c r="K296" s="10" t="s">
        <v>3247</v>
      </c>
    </row>
    <row r="297" customFormat="false" ht="15" hidden="false" customHeight="false" outlineLevel="0" collapsed="false">
      <c r="A297" s="9" t="n">
        <v>89</v>
      </c>
      <c r="B297" s="9" t="s">
        <v>943</v>
      </c>
      <c r="C297" s="10" t="s">
        <v>944</v>
      </c>
      <c r="D297" s="10" t="s">
        <v>25</v>
      </c>
      <c r="E297" s="9" t="s">
        <v>4068</v>
      </c>
      <c r="F297" s="10" t="s">
        <v>3299</v>
      </c>
      <c r="G297" s="9" t="s">
        <v>3242</v>
      </c>
      <c r="H297" s="10" t="s">
        <v>3300</v>
      </c>
      <c r="I297" s="9"/>
      <c r="J297" s="9" t="s">
        <v>2773</v>
      </c>
      <c r="K297" s="9" t="s">
        <v>2773</v>
      </c>
    </row>
    <row r="298" customFormat="false" ht="23.85" hidden="false" customHeight="false" outlineLevel="0" collapsed="false">
      <c r="A298" s="9" t="n">
        <v>89</v>
      </c>
      <c r="B298" s="9" t="s">
        <v>943</v>
      </c>
      <c r="C298" s="10" t="s">
        <v>944</v>
      </c>
      <c r="D298" s="10" t="s">
        <v>25</v>
      </c>
      <c r="E298" s="9" t="s">
        <v>4069</v>
      </c>
      <c r="F298" s="10" t="s">
        <v>4070</v>
      </c>
      <c r="G298" s="9" t="s">
        <v>3330</v>
      </c>
      <c r="H298" s="10" t="s">
        <v>4071</v>
      </c>
      <c r="I298" s="9"/>
      <c r="J298" s="10" t="s">
        <v>3247</v>
      </c>
      <c r="K298" s="10" t="s">
        <v>3247</v>
      </c>
    </row>
    <row r="299" customFormat="false" ht="23.85" hidden="false" customHeight="false" outlineLevel="0" collapsed="false">
      <c r="A299" s="9" t="n">
        <v>90</v>
      </c>
      <c r="B299" s="9" t="s">
        <v>946</v>
      </c>
      <c r="C299" s="10" t="s">
        <v>947</v>
      </c>
      <c r="D299" s="10" t="s">
        <v>29</v>
      </c>
      <c r="E299" s="9" t="s">
        <v>4072</v>
      </c>
      <c r="F299" s="10" t="s">
        <v>4043</v>
      </c>
      <c r="G299" s="9" t="s">
        <v>3242</v>
      </c>
      <c r="H299" s="10" t="s">
        <v>4044</v>
      </c>
      <c r="I299" s="9"/>
      <c r="J299" s="9" t="s">
        <v>2773</v>
      </c>
      <c r="K299" s="9" t="s">
        <v>2773</v>
      </c>
    </row>
    <row r="300" customFormat="false" ht="15" hidden="false" customHeight="false" outlineLevel="0" collapsed="false">
      <c r="A300" s="9" t="n">
        <v>90</v>
      </c>
      <c r="B300" s="9" t="s">
        <v>946</v>
      </c>
      <c r="C300" s="10" t="s">
        <v>947</v>
      </c>
      <c r="D300" s="10" t="s">
        <v>29</v>
      </c>
      <c r="E300" s="9" t="s">
        <v>4073</v>
      </c>
      <c r="F300" s="10" t="s">
        <v>4034</v>
      </c>
      <c r="G300" s="9" t="s">
        <v>3242</v>
      </c>
      <c r="H300" s="10" t="s">
        <v>4035</v>
      </c>
      <c r="I300" s="9"/>
      <c r="J300" s="9" t="s">
        <v>2773</v>
      </c>
      <c r="K300" s="9" t="s">
        <v>2773</v>
      </c>
    </row>
    <row r="301" customFormat="false" ht="15" hidden="false" customHeight="false" outlineLevel="0" collapsed="false">
      <c r="A301" s="9" t="n">
        <v>90</v>
      </c>
      <c r="B301" s="9" t="s">
        <v>946</v>
      </c>
      <c r="C301" s="10" t="s">
        <v>947</v>
      </c>
      <c r="D301" s="10" t="s">
        <v>29</v>
      </c>
      <c r="E301" s="9" t="s">
        <v>4074</v>
      </c>
      <c r="F301" s="10" t="s">
        <v>4075</v>
      </c>
      <c r="G301" s="9" t="s">
        <v>3242</v>
      </c>
      <c r="H301" s="10" t="s">
        <v>4076</v>
      </c>
      <c r="I301" s="9"/>
      <c r="J301" s="10" t="s">
        <v>3247</v>
      </c>
      <c r="K301" s="10" t="s">
        <v>3247</v>
      </c>
    </row>
    <row r="302" customFormat="false" ht="23.85" hidden="false" customHeight="false" outlineLevel="0" collapsed="false">
      <c r="A302" s="9" t="n">
        <v>91</v>
      </c>
      <c r="B302" s="9" t="s">
        <v>950</v>
      </c>
      <c r="C302" s="10" t="s">
        <v>951</v>
      </c>
      <c r="D302" s="10" t="s">
        <v>26</v>
      </c>
      <c r="E302" s="10" t="s">
        <v>4077</v>
      </c>
      <c r="F302" s="10" t="s">
        <v>4043</v>
      </c>
      <c r="G302" s="9" t="s">
        <v>3242</v>
      </c>
      <c r="H302" s="10" t="s">
        <v>4044</v>
      </c>
      <c r="I302" s="9"/>
      <c r="J302" s="9" t="s">
        <v>2773</v>
      </c>
      <c r="K302" s="9" t="s">
        <v>2773</v>
      </c>
    </row>
    <row r="303" customFormat="false" ht="15" hidden="false" customHeight="false" outlineLevel="0" collapsed="false">
      <c r="A303" s="9" t="n">
        <v>91</v>
      </c>
      <c r="B303" s="9" t="s">
        <v>950</v>
      </c>
      <c r="C303" s="10" t="s">
        <v>951</v>
      </c>
      <c r="D303" s="10" t="s">
        <v>26</v>
      </c>
      <c r="E303" s="9" t="s">
        <v>4078</v>
      </c>
      <c r="F303" s="10" t="s">
        <v>4034</v>
      </c>
      <c r="G303" s="9" t="s">
        <v>3242</v>
      </c>
      <c r="H303" s="10" t="s">
        <v>4035</v>
      </c>
      <c r="I303" s="9"/>
      <c r="J303" s="9" t="s">
        <v>2773</v>
      </c>
      <c r="K303" s="9" t="s">
        <v>2773</v>
      </c>
    </row>
    <row r="304" customFormat="false" ht="15" hidden="false" customHeight="false" outlineLevel="0" collapsed="false">
      <c r="A304" s="9" t="n">
        <v>91</v>
      </c>
      <c r="B304" s="9" t="s">
        <v>950</v>
      </c>
      <c r="C304" s="10" t="s">
        <v>951</v>
      </c>
      <c r="D304" s="10" t="s">
        <v>26</v>
      </c>
      <c r="E304" s="9" t="s">
        <v>4079</v>
      </c>
      <c r="F304" s="10" t="s">
        <v>2299</v>
      </c>
      <c r="G304" s="9" t="s">
        <v>3242</v>
      </c>
      <c r="H304" s="10" t="s">
        <v>4080</v>
      </c>
      <c r="I304" s="9"/>
      <c r="J304" s="9" t="s">
        <v>2232</v>
      </c>
      <c r="K304" s="9" t="s">
        <v>3284</v>
      </c>
    </row>
    <row r="305" customFormat="false" ht="23.85" hidden="false" customHeight="false" outlineLevel="0" collapsed="false">
      <c r="A305" s="9" t="n">
        <v>92</v>
      </c>
      <c r="B305" s="9" t="s">
        <v>954</v>
      </c>
      <c r="C305" s="10" t="s">
        <v>4081</v>
      </c>
      <c r="D305" s="10" t="s">
        <v>24</v>
      </c>
      <c r="E305" s="9" t="s">
        <v>4082</v>
      </c>
      <c r="F305" s="10" t="s">
        <v>4066</v>
      </c>
      <c r="G305" s="9" t="s">
        <v>3242</v>
      </c>
      <c r="H305" s="10" t="s">
        <v>4067</v>
      </c>
      <c r="I305" s="9"/>
      <c r="J305" s="10" t="s">
        <v>3247</v>
      </c>
      <c r="K305" s="10" t="s">
        <v>3247</v>
      </c>
    </row>
    <row r="306" customFormat="false" ht="15" hidden="false" customHeight="false" outlineLevel="0" collapsed="false">
      <c r="A306" s="9" t="n">
        <v>92</v>
      </c>
      <c r="B306" s="9" t="s">
        <v>954</v>
      </c>
      <c r="C306" s="10" t="s">
        <v>4081</v>
      </c>
      <c r="D306" s="10" t="s">
        <v>24</v>
      </c>
      <c r="E306" s="9" t="s">
        <v>4083</v>
      </c>
      <c r="F306" s="10" t="s">
        <v>4084</v>
      </c>
      <c r="G306" s="9" t="s">
        <v>3242</v>
      </c>
      <c r="H306" s="10" t="s">
        <v>4085</v>
      </c>
      <c r="I306" s="9"/>
      <c r="J306" s="10" t="s">
        <v>3247</v>
      </c>
      <c r="K306" s="10" t="s">
        <v>3247</v>
      </c>
    </row>
    <row r="307" customFormat="false" ht="23.85" hidden="false" customHeight="false" outlineLevel="0" collapsed="false">
      <c r="A307" s="9" t="n">
        <v>92</v>
      </c>
      <c r="B307" s="9" t="s">
        <v>954</v>
      </c>
      <c r="C307" s="10" t="s">
        <v>4081</v>
      </c>
      <c r="D307" s="10" t="s">
        <v>24</v>
      </c>
      <c r="E307" s="9" t="s">
        <v>4086</v>
      </c>
      <c r="F307" s="10" t="s">
        <v>4087</v>
      </c>
      <c r="G307" s="9" t="s">
        <v>3242</v>
      </c>
      <c r="H307" s="10" t="s">
        <v>4088</v>
      </c>
      <c r="I307" s="9"/>
      <c r="J307" s="10" t="s">
        <v>3247</v>
      </c>
      <c r="K307" s="10" t="s">
        <v>3247</v>
      </c>
    </row>
    <row r="308" customFormat="false" ht="23.85" hidden="false" customHeight="false" outlineLevel="0" collapsed="false">
      <c r="A308" s="9" t="n">
        <v>93</v>
      </c>
      <c r="B308" s="9" t="s">
        <v>961</v>
      </c>
      <c r="C308" s="10" t="s">
        <v>962</v>
      </c>
      <c r="D308" s="10" t="s">
        <v>24</v>
      </c>
      <c r="E308" s="9" t="s">
        <v>4089</v>
      </c>
      <c r="F308" s="10" t="s">
        <v>4037</v>
      </c>
      <c r="G308" s="9" t="s">
        <v>3242</v>
      </c>
      <c r="H308" s="10" t="s">
        <v>4038</v>
      </c>
      <c r="I308" s="9"/>
      <c r="J308" s="9" t="s">
        <v>2232</v>
      </c>
      <c r="K308" s="9" t="s">
        <v>3284</v>
      </c>
    </row>
    <row r="309" customFormat="false" ht="23.85" hidden="false" customHeight="false" outlineLevel="0" collapsed="false">
      <c r="A309" s="9" t="n">
        <v>93</v>
      </c>
      <c r="B309" s="9" t="s">
        <v>961</v>
      </c>
      <c r="C309" s="10" t="s">
        <v>962</v>
      </c>
      <c r="D309" s="10" t="s">
        <v>24</v>
      </c>
      <c r="E309" s="9" t="s">
        <v>4090</v>
      </c>
      <c r="F309" s="10" t="s">
        <v>4091</v>
      </c>
      <c r="G309" s="9" t="s">
        <v>3242</v>
      </c>
      <c r="H309" s="10" t="s">
        <v>4092</v>
      </c>
      <c r="I309" s="9"/>
      <c r="J309" s="9" t="s">
        <v>2773</v>
      </c>
      <c r="K309" s="9" t="s">
        <v>2773</v>
      </c>
    </row>
    <row r="310" customFormat="false" ht="15" hidden="false" customHeight="false" outlineLevel="0" collapsed="false">
      <c r="A310" s="9" t="n">
        <v>93</v>
      </c>
      <c r="B310" s="9" t="s">
        <v>961</v>
      </c>
      <c r="C310" s="10" t="s">
        <v>962</v>
      </c>
      <c r="D310" s="10" t="s">
        <v>24</v>
      </c>
      <c r="E310" s="9" t="s">
        <v>4093</v>
      </c>
      <c r="F310" s="10" t="s">
        <v>4094</v>
      </c>
      <c r="G310" s="9" t="s">
        <v>3242</v>
      </c>
      <c r="H310" s="10" t="s">
        <v>4095</v>
      </c>
      <c r="I310" s="9"/>
      <c r="J310" s="9" t="s">
        <v>2232</v>
      </c>
      <c r="K310" s="9" t="s">
        <v>3284</v>
      </c>
    </row>
    <row r="311" customFormat="false" ht="15" hidden="false" customHeight="false" outlineLevel="0" collapsed="false">
      <c r="A311" s="9" t="n">
        <v>94</v>
      </c>
      <c r="B311" s="9" t="s">
        <v>965</v>
      </c>
      <c r="C311" s="10" t="s">
        <v>4096</v>
      </c>
      <c r="D311" s="10" t="s">
        <v>4097</v>
      </c>
      <c r="E311" s="9" t="s">
        <v>4098</v>
      </c>
      <c r="F311" s="10" t="s">
        <v>4099</v>
      </c>
      <c r="G311" s="9" t="s">
        <v>3242</v>
      </c>
      <c r="H311" s="10" t="s">
        <v>4100</v>
      </c>
      <c r="I311" s="9"/>
      <c r="J311" s="10" t="s">
        <v>3247</v>
      </c>
      <c r="K311" s="10" t="s">
        <v>3247</v>
      </c>
    </row>
    <row r="312" customFormat="false" ht="15" hidden="false" customHeight="false" outlineLevel="0" collapsed="false">
      <c r="A312" s="9" t="n">
        <v>94</v>
      </c>
      <c r="B312" s="9" t="s">
        <v>965</v>
      </c>
      <c r="C312" s="10" t="s">
        <v>4096</v>
      </c>
      <c r="D312" s="10" t="s">
        <v>4097</v>
      </c>
      <c r="E312" s="9" t="s">
        <v>4101</v>
      </c>
      <c r="F312" s="10" t="s">
        <v>4102</v>
      </c>
      <c r="G312" s="9" t="s">
        <v>3242</v>
      </c>
      <c r="H312" s="10" t="s">
        <v>4103</v>
      </c>
      <c r="I312" s="9"/>
      <c r="J312" s="9" t="s">
        <v>2232</v>
      </c>
      <c r="K312" s="9" t="s">
        <v>3284</v>
      </c>
    </row>
    <row r="313" customFormat="false" ht="15" hidden="false" customHeight="false" outlineLevel="0" collapsed="false">
      <c r="A313" s="9" t="n">
        <v>94</v>
      </c>
      <c r="B313" s="9" t="s">
        <v>965</v>
      </c>
      <c r="C313" s="10" t="s">
        <v>4096</v>
      </c>
      <c r="D313" s="10" t="s">
        <v>4097</v>
      </c>
      <c r="E313" s="9" t="s">
        <v>4104</v>
      </c>
      <c r="F313" s="10" t="s">
        <v>4105</v>
      </c>
      <c r="G313" s="9" t="s">
        <v>3242</v>
      </c>
      <c r="H313" s="10" t="s">
        <v>4106</v>
      </c>
      <c r="I313" s="9"/>
      <c r="J313" s="9" t="s">
        <v>2232</v>
      </c>
      <c r="K313" s="9" t="s">
        <v>3284</v>
      </c>
    </row>
    <row r="314" customFormat="false" ht="15" hidden="false" customHeight="false" outlineLevel="0" collapsed="false">
      <c r="A314" s="9" t="n">
        <v>94</v>
      </c>
      <c r="B314" s="9" t="s">
        <v>965</v>
      </c>
      <c r="C314" s="10" t="s">
        <v>4096</v>
      </c>
      <c r="D314" s="10" t="s">
        <v>4097</v>
      </c>
      <c r="E314" s="9" t="s">
        <v>4107</v>
      </c>
      <c r="F314" s="10" t="s">
        <v>4108</v>
      </c>
      <c r="G314" s="9" t="s">
        <v>3242</v>
      </c>
      <c r="H314" s="10" t="s">
        <v>4109</v>
      </c>
      <c r="I314" s="9"/>
      <c r="J314" s="9" t="s">
        <v>2232</v>
      </c>
      <c r="K314" s="9" t="s">
        <v>3284</v>
      </c>
    </row>
    <row r="315" customFormat="false" ht="15" hidden="false" customHeight="false" outlineLevel="0" collapsed="false">
      <c r="A315" s="9" t="n">
        <v>95</v>
      </c>
      <c r="B315" s="9" t="s">
        <v>974</v>
      </c>
      <c r="C315" s="10" t="s">
        <v>4110</v>
      </c>
      <c r="D315" s="10" t="s">
        <v>29</v>
      </c>
      <c r="E315" s="9" t="s">
        <v>4111</v>
      </c>
      <c r="F315" s="10" t="s">
        <v>4112</v>
      </c>
      <c r="G315" s="9" t="s">
        <v>3242</v>
      </c>
      <c r="H315" s="10" t="s">
        <v>4113</v>
      </c>
      <c r="I315" s="9"/>
      <c r="J315" s="10" t="s">
        <v>3247</v>
      </c>
      <c r="K315" s="10" t="s">
        <v>3247</v>
      </c>
    </row>
    <row r="316" customFormat="false" ht="15" hidden="false" customHeight="false" outlineLevel="0" collapsed="false">
      <c r="A316" s="9" t="n">
        <v>95</v>
      </c>
      <c r="B316" s="9" t="s">
        <v>974</v>
      </c>
      <c r="C316" s="10" t="s">
        <v>4110</v>
      </c>
      <c r="D316" s="10" t="s">
        <v>29</v>
      </c>
      <c r="E316" s="9" t="s">
        <v>4114</v>
      </c>
      <c r="F316" s="10" t="s">
        <v>4115</v>
      </c>
      <c r="G316" s="9" t="s">
        <v>3242</v>
      </c>
      <c r="H316" s="10" t="s">
        <v>4116</v>
      </c>
      <c r="I316" s="9"/>
      <c r="J316" s="10" t="s">
        <v>3247</v>
      </c>
      <c r="K316" s="10" t="s">
        <v>3247</v>
      </c>
    </row>
    <row r="317" customFormat="false" ht="15" hidden="false" customHeight="false" outlineLevel="0" collapsed="false">
      <c r="A317" s="9" t="n">
        <v>96</v>
      </c>
      <c r="B317" s="9" t="s">
        <v>979</v>
      </c>
      <c r="C317" s="10" t="s">
        <v>4117</v>
      </c>
      <c r="D317" s="10" t="s">
        <v>29</v>
      </c>
      <c r="E317" s="9" t="s">
        <v>4118</v>
      </c>
      <c r="F317" s="10" t="s">
        <v>4119</v>
      </c>
      <c r="G317" s="9" t="s">
        <v>3242</v>
      </c>
      <c r="H317" s="10" t="s">
        <v>4120</v>
      </c>
      <c r="I317" s="9"/>
      <c r="J317" s="10" t="s">
        <v>3247</v>
      </c>
      <c r="K317" s="10" t="s">
        <v>3247</v>
      </c>
    </row>
    <row r="318" customFormat="false" ht="15" hidden="false" customHeight="false" outlineLevel="0" collapsed="false">
      <c r="A318" s="9" t="n">
        <v>96</v>
      </c>
      <c r="B318" s="9" t="s">
        <v>979</v>
      </c>
      <c r="C318" s="10" t="s">
        <v>4117</v>
      </c>
      <c r="D318" s="10" t="s">
        <v>29</v>
      </c>
      <c r="E318" s="9" t="s">
        <v>4121</v>
      </c>
      <c r="F318" s="10" t="s">
        <v>4122</v>
      </c>
      <c r="G318" s="9" t="s">
        <v>3242</v>
      </c>
      <c r="H318" s="10" t="s">
        <v>4123</v>
      </c>
      <c r="I318" s="9"/>
      <c r="J318" s="10" t="s">
        <v>3247</v>
      </c>
      <c r="K318" s="10" t="s">
        <v>3247</v>
      </c>
    </row>
    <row r="319" customFormat="false" ht="15" hidden="false" customHeight="false" outlineLevel="0" collapsed="false">
      <c r="A319" s="9" t="n">
        <v>96</v>
      </c>
      <c r="B319" s="9" t="s">
        <v>979</v>
      </c>
      <c r="C319" s="10" t="s">
        <v>4117</v>
      </c>
      <c r="D319" s="10" t="s">
        <v>29</v>
      </c>
      <c r="E319" s="9" t="s">
        <v>4124</v>
      </c>
      <c r="F319" s="10" t="s">
        <v>4125</v>
      </c>
      <c r="G319" s="9" t="s">
        <v>3242</v>
      </c>
      <c r="H319" s="10" t="s">
        <v>4126</v>
      </c>
      <c r="I319" s="9"/>
      <c r="J319" s="10" t="s">
        <v>3247</v>
      </c>
      <c r="K319" s="10" t="s">
        <v>3247</v>
      </c>
    </row>
    <row r="320" customFormat="false" ht="15" hidden="false" customHeight="false" outlineLevel="0" collapsed="false">
      <c r="A320" s="9" t="n">
        <v>97</v>
      </c>
      <c r="B320" s="9" t="s">
        <v>984</v>
      </c>
      <c r="C320" s="10" t="s">
        <v>4127</v>
      </c>
      <c r="D320" s="10" t="s">
        <v>29</v>
      </c>
      <c r="E320" s="9" t="s">
        <v>4128</v>
      </c>
      <c r="F320" s="10" t="s">
        <v>4112</v>
      </c>
      <c r="G320" s="9" t="s">
        <v>3242</v>
      </c>
      <c r="H320" s="10" t="s">
        <v>4113</v>
      </c>
      <c r="I320" s="9" t="s">
        <v>4129</v>
      </c>
      <c r="J320" s="10" t="s">
        <v>3247</v>
      </c>
      <c r="K320" s="10" t="s">
        <v>3247</v>
      </c>
    </row>
    <row r="321" customFormat="false" ht="15" hidden="false" customHeight="false" outlineLevel="0" collapsed="false">
      <c r="A321" s="9" t="n">
        <v>97</v>
      </c>
      <c r="B321" s="9" t="s">
        <v>984</v>
      </c>
      <c r="C321" s="10" t="s">
        <v>4127</v>
      </c>
      <c r="D321" s="10" t="s">
        <v>29</v>
      </c>
      <c r="E321" s="9" t="s">
        <v>4118</v>
      </c>
      <c r="F321" s="10" t="s">
        <v>4119</v>
      </c>
      <c r="G321" s="9" t="s">
        <v>3242</v>
      </c>
      <c r="H321" s="10" t="s">
        <v>4120</v>
      </c>
      <c r="I321" s="9"/>
      <c r="J321" s="10" t="s">
        <v>3247</v>
      </c>
      <c r="K321" s="10" t="s">
        <v>3247</v>
      </c>
    </row>
    <row r="322" customFormat="false" ht="64.9" hidden="false" customHeight="false" outlineLevel="0" collapsed="false">
      <c r="A322" s="9" t="n">
        <v>97</v>
      </c>
      <c r="B322" s="9" t="s">
        <v>984</v>
      </c>
      <c r="C322" s="10" t="s">
        <v>4127</v>
      </c>
      <c r="D322" s="10" t="s">
        <v>29</v>
      </c>
      <c r="E322" s="9" t="s">
        <v>4130</v>
      </c>
      <c r="F322" s="10" t="s">
        <v>4131</v>
      </c>
      <c r="G322" s="9" t="s">
        <v>3242</v>
      </c>
      <c r="H322" s="10" t="s">
        <v>4132</v>
      </c>
      <c r="I322" s="9" t="s">
        <v>4133</v>
      </c>
      <c r="J322" s="10" t="s">
        <v>3247</v>
      </c>
      <c r="K322" s="10" t="s">
        <v>3247</v>
      </c>
    </row>
    <row r="323" customFormat="false" ht="15" hidden="false" customHeight="false" outlineLevel="0" collapsed="false">
      <c r="A323" s="9" t="n">
        <v>98</v>
      </c>
      <c r="B323" s="9" t="s">
        <v>989</v>
      </c>
      <c r="C323" s="10" t="s">
        <v>990</v>
      </c>
      <c r="D323" s="10" t="s">
        <v>29</v>
      </c>
      <c r="E323" s="9" t="s">
        <v>4134</v>
      </c>
      <c r="F323" s="10" t="s">
        <v>4135</v>
      </c>
      <c r="G323" s="9" t="s">
        <v>3242</v>
      </c>
      <c r="H323" s="10" t="s">
        <v>4136</v>
      </c>
      <c r="I323" s="9"/>
      <c r="J323" s="10" t="s">
        <v>3247</v>
      </c>
      <c r="K323" s="10" t="s">
        <v>3247</v>
      </c>
    </row>
    <row r="324" customFormat="false" ht="23.85" hidden="false" customHeight="false" outlineLevel="0" collapsed="false">
      <c r="A324" s="9" t="n">
        <v>98</v>
      </c>
      <c r="B324" s="9" t="s">
        <v>989</v>
      </c>
      <c r="C324" s="10" t="s">
        <v>990</v>
      </c>
      <c r="D324" s="10" t="s">
        <v>29</v>
      </c>
      <c r="E324" s="9" t="s">
        <v>4137</v>
      </c>
      <c r="F324" s="10" t="s">
        <v>4138</v>
      </c>
      <c r="G324" s="9" t="s">
        <v>3242</v>
      </c>
      <c r="H324" s="10" t="s">
        <v>4139</v>
      </c>
      <c r="I324" s="9"/>
      <c r="J324" s="9" t="s">
        <v>2773</v>
      </c>
      <c r="K324" s="9" t="s">
        <v>2773</v>
      </c>
    </row>
    <row r="325" customFormat="false" ht="15" hidden="false" customHeight="false" outlineLevel="0" collapsed="false">
      <c r="A325" s="9" t="n">
        <v>98</v>
      </c>
      <c r="B325" s="9" t="s">
        <v>989</v>
      </c>
      <c r="C325" s="10" t="s">
        <v>990</v>
      </c>
      <c r="D325" s="10" t="s">
        <v>29</v>
      </c>
      <c r="E325" s="9" t="s">
        <v>4140</v>
      </c>
      <c r="F325" s="10" t="s">
        <v>4141</v>
      </c>
      <c r="G325" s="9" t="s">
        <v>3242</v>
      </c>
      <c r="H325" s="10" t="s">
        <v>4142</v>
      </c>
      <c r="I325" s="9"/>
      <c r="J325" s="9" t="s">
        <v>2232</v>
      </c>
      <c r="K325" s="9" t="s">
        <v>3284</v>
      </c>
    </row>
    <row r="326" customFormat="false" ht="15" hidden="false" customHeight="false" outlineLevel="0" collapsed="false">
      <c r="A326" s="9" t="n">
        <v>99</v>
      </c>
      <c r="B326" s="9" t="s">
        <v>993</v>
      </c>
      <c r="C326" s="10" t="s">
        <v>994</v>
      </c>
      <c r="D326" s="10" t="s">
        <v>28</v>
      </c>
      <c r="E326" s="9" t="s">
        <v>4143</v>
      </c>
      <c r="F326" s="10" t="s">
        <v>4144</v>
      </c>
      <c r="G326" s="9" t="s">
        <v>3242</v>
      </c>
      <c r="H326" s="10" t="s">
        <v>4145</v>
      </c>
      <c r="I326" s="9"/>
      <c r="J326" s="9" t="s">
        <v>3039</v>
      </c>
      <c r="K326" s="9" t="s">
        <v>3039</v>
      </c>
    </row>
    <row r="327" customFormat="false" ht="15" hidden="false" customHeight="false" outlineLevel="0" collapsed="false">
      <c r="A327" s="9" t="n">
        <v>99</v>
      </c>
      <c r="B327" s="9" t="s">
        <v>993</v>
      </c>
      <c r="C327" s="10" t="s">
        <v>994</v>
      </c>
      <c r="D327" s="10" t="s">
        <v>28</v>
      </c>
      <c r="E327" s="9" t="s">
        <v>4146</v>
      </c>
      <c r="F327" s="10" t="s">
        <v>3241</v>
      </c>
      <c r="G327" s="9" t="s">
        <v>3242</v>
      </c>
      <c r="H327" s="10" t="s">
        <v>3243</v>
      </c>
      <c r="I327" s="9"/>
      <c r="J327" s="9" t="s">
        <v>2773</v>
      </c>
      <c r="K327" s="9" t="s">
        <v>2773</v>
      </c>
    </row>
    <row r="328" customFormat="false" ht="15" hidden="false" customHeight="false" outlineLevel="0" collapsed="false">
      <c r="A328" s="9" t="n">
        <v>99</v>
      </c>
      <c r="B328" s="9" t="s">
        <v>993</v>
      </c>
      <c r="C328" s="10" t="s">
        <v>994</v>
      </c>
      <c r="D328" s="10" t="s">
        <v>28</v>
      </c>
      <c r="E328" s="9" t="s">
        <v>4147</v>
      </c>
      <c r="F328" s="10" t="s">
        <v>3249</v>
      </c>
      <c r="G328" s="9" t="s">
        <v>3242</v>
      </c>
      <c r="H328" s="10" t="s">
        <v>3250</v>
      </c>
      <c r="I328" s="9"/>
      <c r="J328" s="9" t="s">
        <v>2773</v>
      </c>
      <c r="K328" s="9" t="s">
        <v>2773</v>
      </c>
    </row>
    <row r="329" customFormat="false" ht="15" hidden="false" customHeight="false" outlineLevel="0" collapsed="false">
      <c r="A329" s="9" t="n">
        <v>100</v>
      </c>
      <c r="B329" s="9" t="s">
        <v>997</v>
      </c>
      <c r="C329" s="10" t="s">
        <v>4148</v>
      </c>
      <c r="D329" s="10" t="s">
        <v>29</v>
      </c>
      <c r="E329" s="9" t="s">
        <v>4149</v>
      </c>
      <c r="F329" s="10" t="s">
        <v>4150</v>
      </c>
      <c r="G329" s="9" t="s">
        <v>3242</v>
      </c>
      <c r="H329" s="10" t="s">
        <v>4151</v>
      </c>
      <c r="I329" s="9"/>
      <c r="J329" s="10" t="s">
        <v>3247</v>
      </c>
      <c r="K329" s="10" t="s">
        <v>3247</v>
      </c>
    </row>
    <row r="330" customFormat="false" ht="15" hidden="false" customHeight="false" outlineLevel="0" collapsed="false">
      <c r="A330" s="9" t="n">
        <v>100</v>
      </c>
      <c r="B330" s="9" t="s">
        <v>997</v>
      </c>
      <c r="C330" s="10" t="s">
        <v>4148</v>
      </c>
      <c r="D330" s="10" t="s">
        <v>29</v>
      </c>
      <c r="E330" s="9" t="s">
        <v>4152</v>
      </c>
      <c r="F330" s="10" t="s">
        <v>4153</v>
      </c>
      <c r="G330" s="9" t="s">
        <v>3242</v>
      </c>
      <c r="H330" s="10" t="s">
        <v>4154</v>
      </c>
      <c r="I330" s="9"/>
      <c r="J330" s="10" t="s">
        <v>3247</v>
      </c>
      <c r="K330" s="10" t="s">
        <v>3247</v>
      </c>
    </row>
    <row r="331" customFormat="false" ht="15" hidden="false" customHeight="false" outlineLevel="0" collapsed="false">
      <c r="A331" s="9" t="n">
        <v>100</v>
      </c>
      <c r="B331" s="9" t="s">
        <v>997</v>
      </c>
      <c r="C331" s="10" t="s">
        <v>4148</v>
      </c>
      <c r="D331" s="10" t="s">
        <v>29</v>
      </c>
      <c r="E331" s="9" t="s">
        <v>4155</v>
      </c>
      <c r="F331" s="10" t="s">
        <v>4156</v>
      </c>
      <c r="G331" s="9" t="s">
        <v>3242</v>
      </c>
      <c r="H331" s="10" t="s">
        <v>4157</v>
      </c>
      <c r="I331" s="9"/>
      <c r="J331" s="10" t="s">
        <v>3247</v>
      </c>
      <c r="K331" s="10" t="s">
        <v>3247</v>
      </c>
    </row>
    <row r="332" customFormat="false" ht="15" hidden="false" customHeight="false" outlineLevel="0" collapsed="false">
      <c r="A332" s="9" t="n">
        <v>101</v>
      </c>
      <c r="B332" s="9" t="s">
        <v>1002</v>
      </c>
      <c r="C332" s="10" t="s">
        <v>4158</v>
      </c>
      <c r="D332" s="10" t="s">
        <v>29</v>
      </c>
      <c r="E332" s="9" t="s">
        <v>4159</v>
      </c>
      <c r="F332" s="10" t="s">
        <v>4160</v>
      </c>
      <c r="G332" s="9" t="s">
        <v>3242</v>
      </c>
      <c r="H332" s="10" t="s">
        <v>4161</v>
      </c>
      <c r="I332" s="9"/>
      <c r="J332" s="10" t="s">
        <v>3247</v>
      </c>
      <c r="K332" s="10" t="s">
        <v>3247</v>
      </c>
    </row>
    <row r="333" customFormat="false" ht="15" hidden="false" customHeight="false" outlineLevel="0" collapsed="false">
      <c r="A333" s="9" t="n">
        <v>101</v>
      </c>
      <c r="B333" s="9" t="s">
        <v>1002</v>
      </c>
      <c r="C333" s="10" t="s">
        <v>4158</v>
      </c>
      <c r="D333" s="10" t="s">
        <v>29</v>
      </c>
      <c r="E333" s="9" t="s">
        <v>4155</v>
      </c>
      <c r="F333" s="10" t="s">
        <v>4156</v>
      </c>
      <c r="G333" s="9" t="s">
        <v>3242</v>
      </c>
      <c r="H333" s="10" t="s">
        <v>4157</v>
      </c>
      <c r="I333" s="9"/>
      <c r="J333" s="10" t="s">
        <v>3247</v>
      </c>
      <c r="K333" s="10" t="s">
        <v>3247</v>
      </c>
    </row>
    <row r="334" customFormat="false" ht="23.85" hidden="false" customHeight="false" outlineLevel="0" collapsed="false">
      <c r="A334" s="9" t="n">
        <v>101</v>
      </c>
      <c r="B334" s="9" t="s">
        <v>1002</v>
      </c>
      <c r="C334" s="10" t="s">
        <v>4158</v>
      </c>
      <c r="D334" s="10" t="s">
        <v>29</v>
      </c>
      <c r="E334" s="9" t="s">
        <v>4162</v>
      </c>
      <c r="F334" s="10" t="s">
        <v>4163</v>
      </c>
      <c r="G334" s="9" t="s">
        <v>3242</v>
      </c>
      <c r="H334" s="10" t="s">
        <v>4164</v>
      </c>
      <c r="I334" s="9"/>
      <c r="J334" s="9" t="s">
        <v>2773</v>
      </c>
      <c r="K334" s="9" t="s">
        <v>2773</v>
      </c>
    </row>
    <row r="335" customFormat="false" ht="26.85" hidden="false" customHeight="false" outlineLevel="0" collapsed="false">
      <c r="A335" s="9" t="n">
        <v>102</v>
      </c>
      <c r="B335" s="9" t="s">
        <v>1007</v>
      </c>
      <c r="C335" s="10" t="s">
        <v>4165</v>
      </c>
      <c r="D335" s="10" t="s">
        <v>28</v>
      </c>
      <c r="E335" s="9" t="s">
        <v>4166</v>
      </c>
      <c r="F335" s="10" t="s">
        <v>4167</v>
      </c>
      <c r="G335" s="9" t="s">
        <v>3242</v>
      </c>
      <c r="H335" s="10" t="s">
        <v>4168</v>
      </c>
      <c r="I335" s="9"/>
      <c r="J335" s="10" t="s">
        <v>3247</v>
      </c>
      <c r="K335" s="10" t="s">
        <v>3247</v>
      </c>
    </row>
    <row r="336" customFormat="false" ht="15" hidden="false" customHeight="false" outlineLevel="0" collapsed="false">
      <c r="A336" s="9" t="n">
        <v>102</v>
      </c>
      <c r="B336" s="9" t="s">
        <v>1007</v>
      </c>
      <c r="C336" s="10" t="s">
        <v>4165</v>
      </c>
      <c r="D336" s="10" t="s">
        <v>28</v>
      </c>
      <c r="E336" s="9" t="s">
        <v>4169</v>
      </c>
      <c r="F336" s="10" t="s">
        <v>4170</v>
      </c>
      <c r="G336" s="9" t="s">
        <v>3242</v>
      </c>
      <c r="H336" s="10" t="s">
        <v>4171</v>
      </c>
      <c r="I336" s="9"/>
      <c r="J336" s="9" t="s">
        <v>2232</v>
      </c>
      <c r="K336" s="9" t="s">
        <v>3284</v>
      </c>
    </row>
    <row r="337" customFormat="false" ht="15" hidden="false" customHeight="false" outlineLevel="0" collapsed="false">
      <c r="A337" s="9" t="n">
        <v>102</v>
      </c>
      <c r="B337" s="9" t="s">
        <v>1007</v>
      </c>
      <c r="C337" s="10" t="s">
        <v>4165</v>
      </c>
      <c r="D337" s="10" t="s">
        <v>28</v>
      </c>
      <c r="E337" s="9" t="s">
        <v>4172</v>
      </c>
      <c r="F337" s="10" t="s">
        <v>4156</v>
      </c>
      <c r="G337" s="9" t="s">
        <v>3242</v>
      </c>
      <c r="H337" s="10" t="s">
        <v>4157</v>
      </c>
      <c r="I337" s="9"/>
      <c r="J337" s="10" t="s">
        <v>3247</v>
      </c>
      <c r="K337" s="10" t="s">
        <v>3247</v>
      </c>
    </row>
    <row r="338" customFormat="false" ht="15" hidden="false" customHeight="false" outlineLevel="0" collapsed="false">
      <c r="A338" s="9" t="n">
        <v>103</v>
      </c>
      <c r="B338" s="9" t="s">
        <v>1016</v>
      </c>
      <c r="C338" s="10" t="s">
        <v>4173</v>
      </c>
      <c r="D338" s="10" t="s">
        <v>27</v>
      </c>
      <c r="E338" s="9" t="s">
        <v>4174</v>
      </c>
      <c r="F338" s="10" t="s">
        <v>4175</v>
      </c>
      <c r="G338" s="9" t="s">
        <v>3242</v>
      </c>
      <c r="H338" s="10" t="s">
        <v>4176</v>
      </c>
      <c r="I338" s="9"/>
      <c r="J338" s="9" t="s">
        <v>2773</v>
      </c>
      <c r="K338" s="9" t="s">
        <v>2773</v>
      </c>
    </row>
    <row r="339" customFormat="false" ht="15" hidden="false" customHeight="false" outlineLevel="0" collapsed="false">
      <c r="A339" s="9" t="n">
        <v>103</v>
      </c>
      <c r="B339" s="9" t="s">
        <v>1016</v>
      </c>
      <c r="C339" s="10" t="s">
        <v>4173</v>
      </c>
      <c r="D339" s="10" t="s">
        <v>27</v>
      </c>
      <c r="E339" s="9" t="s">
        <v>4177</v>
      </c>
      <c r="F339" s="10" t="s">
        <v>4178</v>
      </c>
      <c r="G339" s="9" t="s">
        <v>3242</v>
      </c>
      <c r="H339" s="10" t="s">
        <v>4179</v>
      </c>
      <c r="I339" s="9"/>
      <c r="J339" s="9" t="s">
        <v>2773</v>
      </c>
      <c r="K339" s="9" t="s">
        <v>2773</v>
      </c>
    </row>
    <row r="340" customFormat="false" ht="15" hidden="false" customHeight="false" outlineLevel="0" collapsed="false">
      <c r="A340" s="9" t="n">
        <v>103</v>
      </c>
      <c r="B340" s="9" t="s">
        <v>1016</v>
      </c>
      <c r="C340" s="10" t="s">
        <v>4173</v>
      </c>
      <c r="D340" s="10" t="s">
        <v>27</v>
      </c>
      <c r="E340" s="9" t="s">
        <v>4180</v>
      </c>
      <c r="F340" s="10" t="s">
        <v>4181</v>
      </c>
      <c r="G340" s="9" t="s">
        <v>3242</v>
      </c>
      <c r="H340" s="10" t="s">
        <v>4182</v>
      </c>
      <c r="I340" s="9"/>
      <c r="J340" s="9" t="s">
        <v>2773</v>
      </c>
      <c r="K340" s="9" t="s">
        <v>2773</v>
      </c>
    </row>
    <row r="341" customFormat="false" ht="23.85" hidden="false" customHeight="false" outlineLevel="0" collapsed="false">
      <c r="A341" s="9" t="n">
        <v>104</v>
      </c>
      <c r="B341" s="9" t="s">
        <v>1021</v>
      </c>
      <c r="C341" s="10" t="s">
        <v>4183</v>
      </c>
      <c r="D341" s="10" t="s">
        <v>27</v>
      </c>
      <c r="E341" s="9" t="s">
        <v>4184</v>
      </c>
      <c r="F341" s="10" t="s">
        <v>4185</v>
      </c>
      <c r="G341" s="9" t="s">
        <v>3242</v>
      </c>
      <c r="H341" s="10" t="s">
        <v>4186</v>
      </c>
      <c r="I341" s="9"/>
      <c r="J341" s="9" t="s">
        <v>2232</v>
      </c>
      <c r="K341" s="9" t="s">
        <v>3284</v>
      </c>
    </row>
    <row r="342" customFormat="false" ht="26.85" hidden="false" customHeight="false" outlineLevel="0" collapsed="false">
      <c r="A342" s="9" t="n">
        <v>104</v>
      </c>
      <c r="B342" s="9" t="s">
        <v>1021</v>
      </c>
      <c r="C342" s="10" t="s">
        <v>4183</v>
      </c>
      <c r="D342" s="10" t="s">
        <v>27</v>
      </c>
      <c r="E342" s="9" t="s">
        <v>4187</v>
      </c>
      <c r="F342" s="10" t="s">
        <v>4188</v>
      </c>
      <c r="G342" s="10" t="s">
        <v>3355</v>
      </c>
      <c r="H342" s="10" t="s">
        <v>4189</v>
      </c>
      <c r="I342" s="9"/>
      <c r="J342" s="10" t="s">
        <v>3247</v>
      </c>
      <c r="K342" s="10" t="s">
        <v>3247</v>
      </c>
    </row>
    <row r="343" customFormat="false" ht="15" hidden="false" customHeight="false" outlineLevel="0" collapsed="false">
      <c r="A343" s="9" t="n">
        <v>104</v>
      </c>
      <c r="B343" s="9" t="s">
        <v>1021</v>
      </c>
      <c r="C343" s="10" t="s">
        <v>4183</v>
      </c>
      <c r="D343" s="10" t="s">
        <v>27</v>
      </c>
      <c r="E343" s="9" t="s">
        <v>4101</v>
      </c>
      <c r="F343" s="10" t="s">
        <v>4102</v>
      </c>
      <c r="G343" s="9" t="s">
        <v>3242</v>
      </c>
      <c r="H343" s="10" t="s">
        <v>4103</v>
      </c>
      <c r="I343" s="9"/>
      <c r="J343" s="9" t="s">
        <v>2232</v>
      </c>
      <c r="K343" s="9" t="s">
        <v>3284</v>
      </c>
    </row>
    <row r="344" customFormat="false" ht="15" hidden="false" customHeight="false" outlineLevel="0" collapsed="false">
      <c r="A344" s="9" t="n">
        <v>105</v>
      </c>
      <c r="B344" s="9" t="s">
        <v>1026</v>
      </c>
      <c r="C344" s="10" t="s">
        <v>4190</v>
      </c>
      <c r="D344" s="10" t="s">
        <v>29</v>
      </c>
      <c r="E344" s="9" t="s">
        <v>4191</v>
      </c>
      <c r="F344" s="10" t="s">
        <v>4192</v>
      </c>
      <c r="G344" s="9" t="s">
        <v>3242</v>
      </c>
      <c r="H344" s="10" t="s">
        <v>4193</v>
      </c>
      <c r="I344" s="9"/>
      <c r="J344" s="10" t="s">
        <v>3247</v>
      </c>
      <c r="K344" s="10" t="s">
        <v>3247</v>
      </c>
    </row>
    <row r="345" customFormat="false" ht="15" hidden="false" customHeight="false" outlineLevel="0" collapsed="false">
      <c r="A345" s="9" t="n">
        <v>105</v>
      </c>
      <c r="B345" s="9" t="s">
        <v>1026</v>
      </c>
      <c r="C345" s="10" t="s">
        <v>4190</v>
      </c>
      <c r="D345" s="10" t="s">
        <v>29</v>
      </c>
      <c r="E345" s="9" t="s">
        <v>4194</v>
      </c>
      <c r="F345" s="10" t="s">
        <v>4195</v>
      </c>
      <c r="G345" s="9" t="s">
        <v>3242</v>
      </c>
      <c r="H345" s="10" t="s">
        <v>4196</v>
      </c>
      <c r="I345" s="9"/>
      <c r="J345" s="9" t="s">
        <v>2232</v>
      </c>
      <c r="K345" s="9" t="s">
        <v>3284</v>
      </c>
    </row>
    <row r="346" customFormat="false" ht="15" hidden="false" customHeight="false" outlineLevel="0" collapsed="false">
      <c r="A346" s="9" t="n">
        <v>105</v>
      </c>
      <c r="B346" s="9" t="s">
        <v>1026</v>
      </c>
      <c r="C346" s="10" t="s">
        <v>4190</v>
      </c>
      <c r="D346" s="10" t="s">
        <v>29</v>
      </c>
      <c r="E346" s="9" t="s">
        <v>4197</v>
      </c>
      <c r="F346" s="10" t="s">
        <v>4198</v>
      </c>
      <c r="G346" s="9" t="s">
        <v>3242</v>
      </c>
      <c r="H346" s="10" t="s">
        <v>4199</v>
      </c>
      <c r="I346" s="9"/>
      <c r="J346" s="10" t="s">
        <v>3247</v>
      </c>
      <c r="K346" s="10" t="s">
        <v>3247</v>
      </c>
    </row>
    <row r="347" customFormat="false" ht="15" hidden="false" customHeight="false" outlineLevel="0" collapsed="false">
      <c r="A347" s="9" t="n">
        <v>106</v>
      </c>
      <c r="B347" s="9" t="s">
        <v>1031</v>
      </c>
      <c r="C347" s="10" t="s">
        <v>4200</v>
      </c>
      <c r="D347" s="10" t="s">
        <v>29</v>
      </c>
      <c r="E347" s="9" t="s">
        <v>4201</v>
      </c>
      <c r="F347" s="10" t="s">
        <v>4202</v>
      </c>
      <c r="G347" s="9" t="s">
        <v>3242</v>
      </c>
      <c r="H347" s="10" t="s">
        <v>4203</v>
      </c>
      <c r="I347" s="9"/>
      <c r="J347" s="10" t="s">
        <v>3247</v>
      </c>
      <c r="K347" s="10" t="s">
        <v>3247</v>
      </c>
    </row>
    <row r="348" customFormat="false" ht="15" hidden="false" customHeight="false" outlineLevel="0" collapsed="false">
      <c r="A348" s="9" t="n">
        <v>106</v>
      </c>
      <c r="B348" s="9" t="s">
        <v>1031</v>
      </c>
      <c r="C348" s="10" t="s">
        <v>4200</v>
      </c>
      <c r="D348" s="10" t="s">
        <v>29</v>
      </c>
      <c r="E348" s="9" t="s">
        <v>4204</v>
      </c>
      <c r="F348" s="10" t="s">
        <v>4205</v>
      </c>
      <c r="G348" s="9" t="s">
        <v>3242</v>
      </c>
      <c r="H348" s="10" t="s">
        <v>4206</v>
      </c>
      <c r="I348" s="9"/>
      <c r="J348" s="10" t="s">
        <v>3247</v>
      </c>
      <c r="K348" s="10" t="s">
        <v>3247</v>
      </c>
    </row>
    <row r="349" customFormat="false" ht="15" hidden="false" customHeight="false" outlineLevel="0" collapsed="false">
      <c r="A349" s="9" t="n">
        <v>106</v>
      </c>
      <c r="B349" s="9" t="s">
        <v>1031</v>
      </c>
      <c r="C349" s="10" t="s">
        <v>4200</v>
      </c>
      <c r="D349" s="10" t="s">
        <v>29</v>
      </c>
      <c r="E349" s="9" t="s">
        <v>4207</v>
      </c>
      <c r="F349" s="10" t="s">
        <v>4208</v>
      </c>
      <c r="G349" s="9" t="s">
        <v>3242</v>
      </c>
      <c r="H349" s="10" t="s">
        <v>4209</v>
      </c>
      <c r="I349" s="9"/>
      <c r="J349" s="10" t="s">
        <v>3247</v>
      </c>
      <c r="K349" s="10" t="s">
        <v>3247</v>
      </c>
    </row>
    <row r="350" customFormat="false" ht="23.85" hidden="false" customHeight="false" outlineLevel="0" collapsed="false">
      <c r="A350" s="9" t="n">
        <v>107</v>
      </c>
      <c r="B350" s="9" t="s">
        <v>1036</v>
      </c>
      <c r="C350" s="10" t="s">
        <v>4210</v>
      </c>
      <c r="D350" s="10" t="s">
        <v>28</v>
      </c>
      <c r="E350" s="9" t="s">
        <v>4211</v>
      </c>
      <c r="F350" s="10" t="s">
        <v>4212</v>
      </c>
      <c r="G350" s="9" t="s">
        <v>3242</v>
      </c>
      <c r="H350" s="10" t="s">
        <v>4213</v>
      </c>
      <c r="I350" s="9"/>
      <c r="J350" s="9" t="s">
        <v>2232</v>
      </c>
      <c r="K350" s="9" t="s">
        <v>3284</v>
      </c>
    </row>
    <row r="351" customFormat="false" ht="23.85" hidden="false" customHeight="false" outlineLevel="0" collapsed="false">
      <c r="A351" s="9" t="n">
        <v>107</v>
      </c>
      <c r="B351" s="9" t="s">
        <v>1036</v>
      </c>
      <c r="C351" s="10" t="s">
        <v>4210</v>
      </c>
      <c r="D351" s="10" t="s">
        <v>28</v>
      </c>
      <c r="E351" s="9" t="s">
        <v>4214</v>
      </c>
      <c r="F351" s="10" t="s">
        <v>4215</v>
      </c>
      <c r="G351" s="9" t="s">
        <v>3242</v>
      </c>
      <c r="H351" s="10" t="s">
        <v>4216</v>
      </c>
      <c r="I351" s="9"/>
      <c r="J351" s="9" t="s">
        <v>2232</v>
      </c>
      <c r="K351" s="9" t="s">
        <v>3284</v>
      </c>
    </row>
    <row r="352" customFormat="false" ht="15" hidden="false" customHeight="false" outlineLevel="0" collapsed="false">
      <c r="A352" s="9" t="n">
        <v>107</v>
      </c>
      <c r="B352" s="9" t="s">
        <v>1036</v>
      </c>
      <c r="C352" s="10" t="s">
        <v>4210</v>
      </c>
      <c r="D352" s="10" t="s">
        <v>28</v>
      </c>
      <c r="E352" s="9" t="s">
        <v>4217</v>
      </c>
      <c r="F352" s="10" t="s">
        <v>4218</v>
      </c>
      <c r="G352" s="9" t="s">
        <v>3242</v>
      </c>
      <c r="H352" s="10" t="s">
        <v>4219</v>
      </c>
      <c r="I352" s="9"/>
      <c r="J352" s="9" t="s">
        <v>2232</v>
      </c>
      <c r="K352" s="9" t="s">
        <v>3284</v>
      </c>
    </row>
    <row r="353" customFormat="false" ht="15" hidden="false" customHeight="false" outlineLevel="0" collapsed="false">
      <c r="A353" s="9" t="n">
        <v>107</v>
      </c>
      <c r="B353" s="9" t="s">
        <v>1036</v>
      </c>
      <c r="C353" s="10" t="s">
        <v>4210</v>
      </c>
      <c r="D353" s="10" t="s">
        <v>28</v>
      </c>
      <c r="E353" s="9" t="s">
        <v>4220</v>
      </c>
      <c r="F353" s="10" t="s">
        <v>4192</v>
      </c>
      <c r="G353" s="9" t="s">
        <v>3242</v>
      </c>
      <c r="H353" s="10" t="s">
        <v>4193</v>
      </c>
      <c r="I353" s="9"/>
      <c r="J353" s="10" t="s">
        <v>3247</v>
      </c>
      <c r="K353" s="10" t="s">
        <v>3247</v>
      </c>
    </row>
    <row r="354" customFormat="false" ht="15" hidden="false" customHeight="false" outlineLevel="0" collapsed="false">
      <c r="A354" s="9" t="n">
        <v>108</v>
      </c>
      <c r="B354" s="9" t="s">
        <v>1041</v>
      </c>
      <c r="C354" s="10" t="s">
        <v>4221</v>
      </c>
      <c r="D354" s="10" t="s">
        <v>27</v>
      </c>
      <c r="E354" s="9" t="s">
        <v>4222</v>
      </c>
      <c r="F354" s="10" t="s">
        <v>4223</v>
      </c>
      <c r="G354" s="9" t="s">
        <v>3242</v>
      </c>
      <c r="H354" s="10" t="s">
        <v>4224</v>
      </c>
      <c r="I354" s="9"/>
      <c r="J354" s="10" t="s">
        <v>3247</v>
      </c>
      <c r="K354" s="10" t="s">
        <v>3247</v>
      </c>
    </row>
    <row r="355" customFormat="false" ht="15" hidden="false" customHeight="false" outlineLevel="0" collapsed="false">
      <c r="A355" s="9" t="n">
        <v>108</v>
      </c>
      <c r="B355" s="9" t="s">
        <v>1041</v>
      </c>
      <c r="C355" s="10" t="s">
        <v>4221</v>
      </c>
      <c r="D355" s="10" t="s">
        <v>27</v>
      </c>
      <c r="E355" s="9" t="s">
        <v>4225</v>
      </c>
      <c r="F355" s="10" t="s">
        <v>4226</v>
      </c>
      <c r="G355" s="9" t="s">
        <v>3242</v>
      </c>
      <c r="H355" s="10" t="s">
        <v>4227</v>
      </c>
      <c r="I355" s="9"/>
      <c r="J355" s="9" t="s">
        <v>2232</v>
      </c>
      <c r="K355" s="9" t="s">
        <v>3284</v>
      </c>
    </row>
    <row r="356" customFormat="false" ht="15" hidden="false" customHeight="false" outlineLevel="0" collapsed="false">
      <c r="A356" s="9" t="n">
        <v>108</v>
      </c>
      <c r="B356" s="9" t="s">
        <v>1041</v>
      </c>
      <c r="C356" s="10" t="s">
        <v>4221</v>
      </c>
      <c r="D356" s="10" t="s">
        <v>27</v>
      </c>
      <c r="E356" s="9" t="s">
        <v>4228</v>
      </c>
      <c r="F356" s="10" t="s">
        <v>4229</v>
      </c>
      <c r="G356" s="9" t="s">
        <v>3242</v>
      </c>
      <c r="H356" s="10" t="s">
        <v>4230</v>
      </c>
      <c r="I356" s="9"/>
      <c r="J356" s="9" t="s">
        <v>2232</v>
      </c>
      <c r="K356" s="9" t="s">
        <v>3284</v>
      </c>
    </row>
    <row r="357" customFormat="false" ht="15" hidden="false" customHeight="false" outlineLevel="0" collapsed="false">
      <c r="A357" s="9" t="n">
        <v>109</v>
      </c>
      <c r="B357" s="9" t="s">
        <v>1046</v>
      </c>
      <c r="C357" s="10" t="s">
        <v>4231</v>
      </c>
      <c r="D357" s="10" t="s">
        <v>4232</v>
      </c>
      <c r="E357" s="9" t="s">
        <v>4233</v>
      </c>
      <c r="F357" s="10" t="s">
        <v>4234</v>
      </c>
      <c r="G357" s="9" t="s">
        <v>3242</v>
      </c>
      <c r="H357" s="10" t="s">
        <v>4235</v>
      </c>
      <c r="I357" s="9"/>
      <c r="J357" s="9" t="s">
        <v>2232</v>
      </c>
      <c r="K357" s="9" t="s">
        <v>3284</v>
      </c>
    </row>
    <row r="358" customFormat="false" ht="15" hidden="false" customHeight="false" outlineLevel="0" collapsed="false">
      <c r="A358" s="9" t="n">
        <v>109</v>
      </c>
      <c r="B358" s="9" t="s">
        <v>1046</v>
      </c>
      <c r="C358" s="10" t="s">
        <v>4231</v>
      </c>
      <c r="D358" s="10" t="s">
        <v>4232</v>
      </c>
      <c r="E358" s="9" t="s">
        <v>4236</v>
      </c>
      <c r="F358" s="10" t="s">
        <v>4237</v>
      </c>
      <c r="G358" s="9" t="s">
        <v>3242</v>
      </c>
      <c r="H358" s="10" t="s">
        <v>4238</v>
      </c>
      <c r="I358" s="9"/>
      <c r="J358" s="9" t="s">
        <v>2232</v>
      </c>
      <c r="K358" s="9" t="s">
        <v>3284</v>
      </c>
    </row>
    <row r="359" customFormat="false" ht="15" hidden="false" customHeight="false" outlineLevel="0" collapsed="false">
      <c r="A359" s="9" t="n">
        <v>109</v>
      </c>
      <c r="B359" s="9" t="s">
        <v>1046</v>
      </c>
      <c r="C359" s="10" t="s">
        <v>4231</v>
      </c>
      <c r="D359" s="10" t="s">
        <v>4232</v>
      </c>
      <c r="E359" s="9" t="s">
        <v>4239</v>
      </c>
      <c r="F359" s="10" t="s">
        <v>4240</v>
      </c>
      <c r="G359" s="9" t="s">
        <v>3242</v>
      </c>
      <c r="H359" s="10" t="s">
        <v>4241</v>
      </c>
      <c r="I359" s="9"/>
      <c r="J359" s="9" t="s">
        <v>2232</v>
      </c>
      <c r="K359" s="9" t="s">
        <v>3284</v>
      </c>
    </row>
    <row r="360" customFormat="false" ht="15" hidden="false" customHeight="false" outlineLevel="0" collapsed="false">
      <c r="A360" s="9" t="n">
        <v>109</v>
      </c>
      <c r="B360" s="9" t="s">
        <v>1046</v>
      </c>
      <c r="C360" s="10" t="s">
        <v>4231</v>
      </c>
      <c r="D360" s="10" t="s">
        <v>4232</v>
      </c>
      <c r="E360" s="9" t="s">
        <v>4242</v>
      </c>
      <c r="F360" s="10" t="s">
        <v>4243</v>
      </c>
      <c r="G360" s="9" t="s">
        <v>3242</v>
      </c>
      <c r="H360" s="10" t="s">
        <v>4244</v>
      </c>
      <c r="I360" s="9"/>
      <c r="J360" s="10" t="s">
        <v>3247</v>
      </c>
      <c r="K360" s="10" t="s">
        <v>3247</v>
      </c>
    </row>
    <row r="361" customFormat="false" ht="15" hidden="false" customHeight="false" outlineLevel="0" collapsed="false">
      <c r="A361" s="9" t="n">
        <v>110</v>
      </c>
      <c r="B361" s="9" t="s">
        <v>1054</v>
      </c>
      <c r="C361" s="10" t="s">
        <v>1055</v>
      </c>
      <c r="D361" s="10" t="s">
        <v>26</v>
      </c>
      <c r="E361" s="9" t="s">
        <v>4245</v>
      </c>
      <c r="F361" s="10" t="s">
        <v>4112</v>
      </c>
      <c r="G361" s="9" t="s">
        <v>3242</v>
      </c>
      <c r="H361" s="10" t="s">
        <v>4113</v>
      </c>
      <c r="I361" s="9" t="s">
        <v>4246</v>
      </c>
      <c r="J361" s="10" t="s">
        <v>3247</v>
      </c>
      <c r="K361" s="10" t="s">
        <v>3247</v>
      </c>
    </row>
    <row r="362" customFormat="false" ht="26.85" hidden="false" customHeight="false" outlineLevel="0" collapsed="false">
      <c r="A362" s="9" t="n">
        <v>110</v>
      </c>
      <c r="B362" s="9" t="s">
        <v>1054</v>
      </c>
      <c r="C362" s="10" t="s">
        <v>1055</v>
      </c>
      <c r="D362" s="10" t="s">
        <v>26</v>
      </c>
      <c r="E362" s="9" t="s">
        <v>4247</v>
      </c>
      <c r="F362" s="10" t="s">
        <v>4248</v>
      </c>
      <c r="G362" s="9" t="s">
        <v>4249</v>
      </c>
      <c r="H362" s="10" t="s">
        <v>4250</v>
      </c>
      <c r="I362" s="9"/>
      <c r="J362" s="10" t="s">
        <v>3247</v>
      </c>
      <c r="K362" s="10" t="s">
        <v>3247</v>
      </c>
    </row>
    <row r="363" customFormat="false" ht="23.85" hidden="false" customHeight="false" outlineLevel="0" collapsed="false">
      <c r="A363" s="9" t="n">
        <v>110</v>
      </c>
      <c r="B363" s="9" t="s">
        <v>1054</v>
      </c>
      <c r="C363" s="10" t="s">
        <v>1055</v>
      </c>
      <c r="D363" s="10" t="s">
        <v>26</v>
      </c>
      <c r="E363" s="9" t="s">
        <v>4211</v>
      </c>
      <c r="F363" s="10" t="s">
        <v>4212</v>
      </c>
      <c r="G363" s="9" t="s">
        <v>3242</v>
      </c>
      <c r="H363" s="10" t="s">
        <v>4213</v>
      </c>
      <c r="I363" s="9" t="s">
        <v>4251</v>
      </c>
      <c r="J363" s="9" t="s">
        <v>2232</v>
      </c>
      <c r="K363" s="9" t="s">
        <v>3284</v>
      </c>
    </row>
    <row r="364" customFormat="false" ht="23.85" hidden="false" customHeight="false" outlineLevel="0" collapsed="false">
      <c r="A364" s="9" t="n">
        <v>111</v>
      </c>
      <c r="B364" s="9" t="s">
        <v>1057</v>
      </c>
      <c r="C364" s="10" t="s">
        <v>1058</v>
      </c>
      <c r="D364" s="10" t="s">
        <v>27</v>
      </c>
      <c r="E364" s="9" t="s">
        <v>4252</v>
      </c>
      <c r="F364" s="10" t="s">
        <v>4253</v>
      </c>
      <c r="G364" s="9" t="s">
        <v>3242</v>
      </c>
      <c r="H364" s="10" t="s">
        <v>4254</v>
      </c>
      <c r="I364" s="9"/>
      <c r="J364" s="9" t="s">
        <v>2232</v>
      </c>
      <c r="K364" s="9" t="s">
        <v>3284</v>
      </c>
    </row>
    <row r="365" customFormat="false" ht="23.85" hidden="false" customHeight="false" outlineLevel="0" collapsed="false">
      <c r="A365" s="9" t="n">
        <v>111</v>
      </c>
      <c r="B365" s="9" t="s">
        <v>1057</v>
      </c>
      <c r="C365" s="10" t="s">
        <v>1058</v>
      </c>
      <c r="D365" s="10" t="s">
        <v>27</v>
      </c>
      <c r="E365" s="9" t="s">
        <v>4255</v>
      </c>
      <c r="F365" s="10" t="s">
        <v>4256</v>
      </c>
      <c r="G365" s="9" t="s">
        <v>3242</v>
      </c>
      <c r="H365" s="10" t="s">
        <v>4257</v>
      </c>
      <c r="I365" s="9"/>
      <c r="J365" s="9" t="s">
        <v>2232</v>
      </c>
      <c r="K365" s="9" t="s">
        <v>3284</v>
      </c>
    </row>
    <row r="366" customFormat="false" ht="26.85" hidden="false" customHeight="false" outlineLevel="0" collapsed="false">
      <c r="A366" s="9" t="n">
        <v>111</v>
      </c>
      <c r="B366" s="9" t="s">
        <v>1057</v>
      </c>
      <c r="C366" s="10" t="s">
        <v>1058</v>
      </c>
      <c r="D366" s="10" t="s">
        <v>27</v>
      </c>
      <c r="E366" s="9" t="s">
        <v>4258</v>
      </c>
      <c r="F366" s="10" t="s">
        <v>4259</v>
      </c>
      <c r="G366" s="10" t="s">
        <v>3355</v>
      </c>
      <c r="H366" s="10" t="s">
        <v>4260</v>
      </c>
      <c r="I366" s="9"/>
      <c r="J366" s="10" t="s">
        <v>3247</v>
      </c>
      <c r="K366" s="10" t="s">
        <v>3247</v>
      </c>
    </row>
    <row r="367" customFormat="false" ht="15" hidden="false" customHeight="false" outlineLevel="0" collapsed="false">
      <c r="A367" s="9" t="n">
        <v>112</v>
      </c>
      <c r="B367" s="9" t="s">
        <v>1061</v>
      </c>
      <c r="C367" s="10" t="s">
        <v>4261</v>
      </c>
      <c r="D367" s="10" t="s">
        <v>24</v>
      </c>
      <c r="E367" s="9" t="s">
        <v>4262</v>
      </c>
      <c r="F367" s="10" t="s">
        <v>4263</v>
      </c>
      <c r="G367" s="9" t="s">
        <v>3242</v>
      </c>
      <c r="H367" s="10" t="s">
        <v>4264</v>
      </c>
      <c r="I367" s="9"/>
      <c r="J367" s="9" t="s">
        <v>2232</v>
      </c>
      <c r="K367" s="9" t="s">
        <v>3284</v>
      </c>
    </row>
    <row r="368" customFormat="false" ht="15" hidden="false" customHeight="false" outlineLevel="0" collapsed="false">
      <c r="A368" s="9" t="n">
        <v>112</v>
      </c>
      <c r="B368" s="9" t="s">
        <v>1061</v>
      </c>
      <c r="C368" s="10" t="s">
        <v>4261</v>
      </c>
      <c r="D368" s="10" t="s">
        <v>24</v>
      </c>
      <c r="E368" s="9" t="s">
        <v>4265</v>
      </c>
      <c r="F368" s="10" t="s">
        <v>4266</v>
      </c>
      <c r="G368" s="9" t="s">
        <v>3242</v>
      </c>
      <c r="H368" s="10" t="s">
        <v>4267</v>
      </c>
      <c r="I368" s="9"/>
      <c r="J368" s="9" t="s">
        <v>2232</v>
      </c>
      <c r="K368" s="9" t="s">
        <v>3284</v>
      </c>
    </row>
    <row r="369" customFormat="false" ht="15" hidden="false" customHeight="false" outlineLevel="0" collapsed="false">
      <c r="A369" s="9" t="n">
        <v>112</v>
      </c>
      <c r="B369" s="9" t="s">
        <v>1061</v>
      </c>
      <c r="C369" s="10" t="s">
        <v>4261</v>
      </c>
      <c r="D369" s="10" t="s">
        <v>24</v>
      </c>
      <c r="E369" s="9" t="s">
        <v>4268</v>
      </c>
      <c r="F369" s="10" t="s">
        <v>4269</v>
      </c>
      <c r="G369" s="9" t="s">
        <v>3242</v>
      </c>
      <c r="H369" s="10" t="s">
        <v>4270</v>
      </c>
      <c r="I369" s="9" t="s">
        <v>4271</v>
      </c>
      <c r="J369" s="9" t="s">
        <v>2232</v>
      </c>
      <c r="K369" s="9" t="s">
        <v>3284</v>
      </c>
    </row>
    <row r="370" customFormat="false" ht="15" hidden="false" customHeight="false" outlineLevel="0" collapsed="false">
      <c r="A370" s="9" t="n">
        <v>113</v>
      </c>
      <c r="B370" s="9" t="s">
        <v>1070</v>
      </c>
      <c r="C370" s="10" t="s">
        <v>4272</v>
      </c>
      <c r="D370" s="10" t="s">
        <v>26</v>
      </c>
      <c r="E370" s="9" t="s">
        <v>4273</v>
      </c>
      <c r="F370" s="10" t="s">
        <v>4274</v>
      </c>
      <c r="G370" s="9" t="s">
        <v>3242</v>
      </c>
      <c r="H370" s="10" t="s">
        <v>4275</v>
      </c>
      <c r="I370" s="9"/>
      <c r="J370" s="10" t="s">
        <v>3247</v>
      </c>
      <c r="K370" s="10" t="s">
        <v>3247</v>
      </c>
    </row>
    <row r="371" customFormat="false" ht="15" hidden="false" customHeight="false" outlineLevel="0" collapsed="false">
      <c r="A371" s="9" t="n">
        <v>113</v>
      </c>
      <c r="B371" s="9" t="s">
        <v>1070</v>
      </c>
      <c r="C371" s="10" t="s">
        <v>4272</v>
      </c>
      <c r="D371" s="10" t="s">
        <v>26</v>
      </c>
      <c r="E371" s="9" t="s">
        <v>4276</v>
      </c>
      <c r="F371" s="10" t="s">
        <v>4277</v>
      </c>
      <c r="G371" s="9" t="s">
        <v>3242</v>
      </c>
      <c r="H371" s="10" t="s">
        <v>4278</v>
      </c>
      <c r="I371" s="9" t="s">
        <v>4279</v>
      </c>
      <c r="J371" s="10" t="s">
        <v>3247</v>
      </c>
      <c r="K371" s="10" t="s">
        <v>3247</v>
      </c>
    </row>
    <row r="372" customFormat="false" ht="15" hidden="false" customHeight="false" outlineLevel="0" collapsed="false">
      <c r="A372" s="9" t="n">
        <v>113</v>
      </c>
      <c r="B372" s="9" t="s">
        <v>1070</v>
      </c>
      <c r="C372" s="10" t="s">
        <v>4272</v>
      </c>
      <c r="D372" s="10" t="s">
        <v>26</v>
      </c>
      <c r="E372" s="9" t="s">
        <v>4280</v>
      </c>
      <c r="F372" s="10" t="s">
        <v>4281</v>
      </c>
      <c r="G372" s="9" t="s">
        <v>3242</v>
      </c>
      <c r="H372" s="10" t="s">
        <v>4282</v>
      </c>
      <c r="I372" s="9" t="s">
        <v>4279</v>
      </c>
      <c r="J372" s="10" t="s">
        <v>3247</v>
      </c>
      <c r="K372" s="10" t="s">
        <v>3247</v>
      </c>
    </row>
    <row r="373" customFormat="false" ht="23.85" hidden="false" customHeight="false" outlineLevel="0" collapsed="false">
      <c r="A373" s="9" t="n">
        <v>114</v>
      </c>
      <c r="B373" s="9" t="s">
        <v>1079</v>
      </c>
      <c r="C373" s="10" t="s">
        <v>4283</v>
      </c>
      <c r="D373" s="10" t="s">
        <v>24</v>
      </c>
      <c r="E373" s="9" t="s">
        <v>4284</v>
      </c>
      <c r="F373" s="10" t="s">
        <v>4285</v>
      </c>
      <c r="G373" s="9" t="s">
        <v>3242</v>
      </c>
      <c r="H373" s="10" t="s">
        <v>4286</v>
      </c>
      <c r="I373" s="9" t="s">
        <v>4287</v>
      </c>
      <c r="J373" s="9" t="s">
        <v>2232</v>
      </c>
      <c r="K373" s="9" t="s">
        <v>3284</v>
      </c>
    </row>
    <row r="374" customFormat="false" ht="23.85" hidden="false" customHeight="false" outlineLevel="0" collapsed="false">
      <c r="A374" s="9" t="n">
        <v>114</v>
      </c>
      <c r="B374" s="9" t="s">
        <v>1079</v>
      </c>
      <c r="C374" s="10" t="s">
        <v>4283</v>
      </c>
      <c r="D374" s="10" t="s">
        <v>24</v>
      </c>
      <c r="E374" s="9" t="s">
        <v>4288</v>
      </c>
      <c r="F374" s="10" t="s">
        <v>4289</v>
      </c>
      <c r="G374" s="9" t="s">
        <v>3242</v>
      </c>
      <c r="H374" s="10" t="s">
        <v>4290</v>
      </c>
      <c r="I374" s="9" t="s">
        <v>4287</v>
      </c>
      <c r="J374" s="9" t="s">
        <v>2232</v>
      </c>
      <c r="K374" s="9" t="s">
        <v>3284</v>
      </c>
    </row>
    <row r="375" customFormat="false" ht="23.85" hidden="false" customHeight="false" outlineLevel="0" collapsed="false">
      <c r="A375" s="9" t="n">
        <v>114</v>
      </c>
      <c r="B375" s="9" t="s">
        <v>1079</v>
      </c>
      <c r="C375" s="10" t="s">
        <v>4283</v>
      </c>
      <c r="D375" s="10" t="s">
        <v>24</v>
      </c>
      <c r="E375" s="9" t="s">
        <v>4291</v>
      </c>
      <c r="F375" s="10" t="s">
        <v>4292</v>
      </c>
      <c r="G375" s="9" t="s">
        <v>3242</v>
      </c>
      <c r="H375" s="10" t="s">
        <v>4293</v>
      </c>
      <c r="I375" s="9" t="s">
        <v>4287</v>
      </c>
      <c r="J375" s="9" t="s">
        <v>2232</v>
      </c>
      <c r="K375" s="9" t="s">
        <v>3284</v>
      </c>
    </row>
    <row r="376" customFormat="false" ht="23.85" hidden="false" customHeight="false" outlineLevel="0" collapsed="false">
      <c r="A376" s="9" t="n">
        <v>115</v>
      </c>
      <c r="B376" s="9" t="s">
        <v>1088</v>
      </c>
      <c r="C376" s="10" t="s">
        <v>1089</v>
      </c>
      <c r="D376" s="10" t="s">
        <v>24</v>
      </c>
      <c r="E376" s="9" t="s">
        <v>4294</v>
      </c>
      <c r="F376" s="10" t="s">
        <v>4295</v>
      </c>
      <c r="G376" s="9" t="s">
        <v>3242</v>
      </c>
      <c r="H376" s="10" t="s">
        <v>4296</v>
      </c>
      <c r="I376" s="9"/>
      <c r="J376" s="9" t="s">
        <v>2232</v>
      </c>
      <c r="K376" s="9" t="s">
        <v>3284</v>
      </c>
    </row>
    <row r="377" customFormat="false" ht="15" hidden="false" customHeight="false" outlineLevel="0" collapsed="false">
      <c r="A377" s="9" t="n">
        <v>115</v>
      </c>
      <c r="B377" s="9" t="s">
        <v>1088</v>
      </c>
      <c r="C377" s="10" t="s">
        <v>1089</v>
      </c>
      <c r="D377" s="10" t="s">
        <v>24</v>
      </c>
      <c r="E377" s="9" t="s">
        <v>4297</v>
      </c>
      <c r="F377" s="10" t="s">
        <v>4298</v>
      </c>
      <c r="G377" s="9" t="s">
        <v>3242</v>
      </c>
      <c r="H377" s="10" t="s">
        <v>4299</v>
      </c>
      <c r="I377" s="9"/>
      <c r="J377" s="9" t="s">
        <v>2232</v>
      </c>
      <c r="K377" s="9" t="s">
        <v>3284</v>
      </c>
    </row>
    <row r="378" customFormat="false" ht="23.85" hidden="false" customHeight="false" outlineLevel="0" collapsed="false">
      <c r="A378" s="9" t="n">
        <v>115</v>
      </c>
      <c r="B378" s="9" t="s">
        <v>1088</v>
      </c>
      <c r="C378" s="10" t="s">
        <v>1089</v>
      </c>
      <c r="D378" s="10" t="s">
        <v>24</v>
      </c>
      <c r="E378" s="9" t="s">
        <v>4300</v>
      </c>
      <c r="F378" s="10" t="s">
        <v>4301</v>
      </c>
      <c r="G378" s="9" t="s">
        <v>3242</v>
      </c>
      <c r="H378" s="10" t="s">
        <v>4302</v>
      </c>
      <c r="I378" s="9"/>
      <c r="J378" s="9" t="s">
        <v>2232</v>
      </c>
      <c r="K378" s="9" t="s">
        <v>3284</v>
      </c>
    </row>
    <row r="379" customFormat="false" ht="26.85" hidden="false" customHeight="false" outlineLevel="0" collapsed="false">
      <c r="A379" s="9" t="n">
        <v>116</v>
      </c>
      <c r="B379" s="9" t="s">
        <v>1092</v>
      </c>
      <c r="C379" s="10" t="s">
        <v>4303</v>
      </c>
      <c r="D379" s="10" t="s">
        <v>24</v>
      </c>
      <c r="E379" s="9" t="s">
        <v>4284</v>
      </c>
      <c r="F379" s="10" t="s">
        <v>4285</v>
      </c>
      <c r="G379" s="9" t="s">
        <v>3242</v>
      </c>
      <c r="H379" s="10" t="s">
        <v>4286</v>
      </c>
      <c r="I379" s="9"/>
      <c r="J379" s="9" t="s">
        <v>2232</v>
      </c>
      <c r="K379" s="9" t="s">
        <v>3284</v>
      </c>
    </row>
    <row r="380" customFormat="false" ht="26.85" hidden="false" customHeight="false" outlineLevel="0" collapsed="false">
      <c r="A380" s="9" t="n">
        <v>116</v>
      </c>
      <c r="B380" s="9" t="s">
        <v>1092</v>
      </c>
      <c r="C380" s="10" t="s">
        <v>4303</v>
      </c>
      <c r="D380" s="10" t="s">
        <v>24</v>
      </c>
      <c r="E380" s="9" t="s">
        <v>4288</v>
      </c>
      <c r="F380" s="10" t="s">
        <v>4289</v>
      </c>
      <c r="G380" s="9" t="s">
        <v>3242</v>
      </c>
      <c r="H380" s="10" t="s">
        <v>4290</v>
      </c>
      <c r="I380" s="9"/>
      <c r="J380" s="9" t="s">
        <v>2232</v>
      </c>
      <c r="K380" s="9" t="s">
        <v>3284</v>
      </c>
    </row>
    <row r="381" customFormat="false" ht="26.85" hidden="false" customHeight="false" outlineLevel="0" collapsed="false">
      <c r="A381" s="9" t="n">
        <v>116</v>
      </c>
      <c r="B381" s="9" t="s">
        <v>1092</v>
      </c>
      <c r="C381" s="10" t="s">
        <v>4303</v>
      </c>
      <c r="D381" s="10" t="s">
        <v>24</v>
      </c>
      <c r="E381" s="9" t="s">
        <v>4304</v>
      </c>
      <c r="F381" s="10" t="s">
        <v>4292</v>
      </c>
      <c r="G381" s="9" t="s">
        <v>3242</v>
      </c>
      <c r="H381" s="10" t="s">
        <v>4293</v>
      </c>
      <c r="I381" s="9"/>
      <c r="J381" s="9" t="s">
        <v>2232</v>
      </c>
      <c r="K381" s="9" t="s">
        <v>3284</v>
      </c>
    </row>
    <row r="382" customFormat="false" ht="26.85" hidden="false" customHeight="false" outlineLevel="0" collapsed="false">
      <c r="A382" s="9" t="n">
        <v>117</v>
      </c>
      <c r="B382" s="9" t="s">
        <v>1097</v>
      </c>
      <c r="C382" s="10" t="s">
        <v>4305</v>
      </c>
      <c r="D382" s="10" t="s">
        <v>24</v>
      </c>
      <c r="E382" s="9" t="s">
        <v>4284</v>
      </c>
      <c r="F382" s="10" t="s">
        <v>4285</v>
      </c>
      <c r="G382" s="9" t="s">
        <v>3242</v>
      </c>
      <c r="H382" s="10" t="s">
        <v>4286</v>
      </c>
      <c r="I382" s="9"/>
      <c r="J382" s="9" t="s">
        <v>2232</v>
      </c>
      <c r="K382" s="9" t="s">
        <v>3284</v>
      </c>
    </row>
    <row r="383" customFormat="false" ht="26.85" hidden="false" customHeight="false" outlineLevel="0" collapsed="false">
      <c r="A383" s="9" t="n">
        <v>117</v>
      </c>
      <c r="B383" s="9" t="s">
        <v>1097</v>
      </c>
      <c r="C383" s="10" t="s">
        <v>4305</v>
      </c>
      <c r="D383" s="10" t="s">
        <v>24</v>
      </c>
      <c r="E383" s="9" t="s">
        <v>4306</v>
      </c>
      <c r="F383" s="10" t="s">
        <v>4307</v>
      </c>
      <c r="G383" s="9" t="s">
        <v>3242</v>
      </c>
      <c r="H383" s="10" t="s">
        <v>4308</v>
      </c>
      <c r="I383" s="9" t="s">
        <v>4279</v>
      </c>
      <c r="J383" s="9" t="s">
        <v>2232</v>
      </c>
      <c r="K383" s="9" t="s">
        <v>3284</v>
      </c>
    </row>
    <row r="384" customFormat="false" ht="26.85" hidden="false" customHeight="false" outlineLevel="0" collapsed="false">
      <c r="A384" s="9" t="n">
        <v>117</v>
      </c>
      <c r="B384" s="9" t="s">
        <v>1097</v>
      </c>
      <c r="C384" s="10" t="s">
        <v>4305</v>
      </c>
      <c r="D384" s="10" t="s">
        <v>24</v>
      </c>
      <c r="E384" s="9" t="s">
        <v>4288</v>
      </c>
      <c r="F384" s="10" t="s">
        <v>4289</v>
      </c>
      <c r="G384" s="9" t="s">
        <v>3242</v>
      </c>
      <c r="H384" s="10" t="s">
        <v>4290</v>
      </c>
      <c r="I384" s="9"/>
      <c r="J384" s="9" t="s">
        <v>2232</v>
      </c>
      <c r="K384" s="9" t="s">
        <v>3284</v>
      </c>
    </row>
    <row r="385" customFormat="false" ht="15" hidden="false" customHeight="false" outlineLevel="0" collapsed="false">
      <c r="A385" s="9" t="n">
        <v>118</v>
      </c>
      <c r="B385" s="9" t="s">
        <v>1104</v>
      </c>
      <c r="C385" s="10" t="s">
        <v>1105</v>
      </c>
      <c r="D385" s="10" t="s">
        <v>24</v>
      </c>
      <c r="E385" s="10" t="s">
        <v>4309</v>
      </c>
      <c r="F385" s="10" t="s">
        <v>4310</v>
      </c>
      <c r="G385" s="9" t="s">
        <v>3242</v>
      </c>
      <c r="H385" s="10" t="s">
        <v>4311</v>
      </c>
      <c r="I385" s="9" t="s">
        <v>4312</v>
      </c>
      <c r="J385" s="9" t="s">
        <v>2662</v>
      </c>
      <c r="K385" s="9" t="s">
        <v>2662</v>
      </c>
    </row>
    <row r="386" customFormat="false" ht="15" hidden="false" customHeight="false" outlineLevel="0" collapsed="false">
      <c r="A386" s="9" t="n">
        <v>118</v>
      </c>
      <c r="B386" s="9" t="s">
        <v>1104</v>
      </c>
      <c r="C386" s="10" t="s">
        <v>1105</v>
      </c>
      <c r="D386" s="10" t="s">
        <v>24</v>
      </c>
      <c r="E386" s="9" t="s">
        <v>4313</v>
      </c>
      <c r="F386" s="10" t="s">
        <v>4314</v>
      </c>
      <c r="G386" s="9" t="s">
        <v>3242</v>
      </c>
      <c r="H386" s="10" t="s">
        <v>4315</v>
      </c>
      <c r="I386" s="9"/>
      <c r="J386" s="9" t="s">
        <v>3039</v>
      </c>
      <c r="K386" s="9" t="s">
        <v>3039</v>
      </c>
    </row>
    <row r="387" customFormat="false" ht="15" hidden="false" customHeight="false" outlineLevel="0" collapsed="false">
      <c r="A387" s="9" t="n">
        <v>118</v>
      </c>
      <c r="B387" s="9" t="s">
        <v>1104</v>
      </c>
      <c r="C387" s="10" t="s">
        <v>1105</v>
      </c>
      <c r="D387" s="10" t="s">
        <v>24</v>
      </c>
      <c r="E387" s="9" t="s">
        <v>4316</v>
      </c>
      <c r="F387" s="10" t="s">
        <v>4317</v>
      </c>
      <c r="G387" s="9" t="s">
        <v>3242</v>
      </c>
      <c r="H387" s="10" t="s">
        <v>4318</v>
      </c>
      <c r="I387" s="9"/>
      <c r="J387" s="9" t="s">
        <v>3039</v>
      </c>
      <c r="K387" s="9" t="s">
        <v>3039</v>
      </c>
    </row>
    <row r="388" customFormat="false" ht="15" hidden="false" customHeight="false" outlineLevel="0" collapsed="false">
      <c r="A388" s="9" t="n">
        <v>119</v>
      </c>
      <c r="B388" s="9" t="s">
        <v>1108</v>
      </c>
      <c r="C388" s="10" t="s">
        <v>4319</v>
      </c>
      <c r="D388" s="10" t="s">
        <v>24</v>
      </c>
      <c r="E388" s="10" t="s">
        <v>4309</v>
      </c>
      <c r="F388" s="10" t="s">
        <v>4310</v>
      </c>
      <c r="G388" s="9" t="s">
        <v>3242</v>
      </c>
      <c r="H388" s="10" t="s">
        <v>4311</v>
      </c>
      <c r="I388" s="9"/>
      <c r="J388" s="9" t="s">
        <v>2662</v>
      </c>
      <c r="K388" s="9" t="s">
        <v>2662</v>
      </c>
    </row>
    <row r="389" customFormat="false" ht="15" hidden="false" customHeight="false" outlineLevel="0" collapsed="false">
      <c r="A389" s="9" t="n">
        <v>119</v>
      </c>
      <c r="B389" s="9" t="s">
        <v>1108</v>
      </c>
      <c r="C389" s="10" t="s">
        <v>4319</v>
      </c>
      <c r="D389" s="10" t="s">
        <v>24</v>
      </c>
      <c r="E389" s="10" t="s">
        <v>4320</v>
      </c>
      <c r="F389" s="10" t="s">
        <v>4321</v>
      </c>
      <c r="G389" s="9" t="s">
        <v>3242</v>
      </c>
      <c r="H389" s="10" t="s">
        <v>4322</v>
      </c>
      <c r="I389" s="9"/>
      <c r="J389" s="9" t="s">
        <v>2662</v>
      </c>
      <c r="K389" s="9" t="s">
        <v>2662</v>
      </c>
    </row>
    <row r="390" customFormat="false" ht="15" hidden="false" customHeight="false" outlineLevel="0" collapsed="false">
      <c r="A390" s="9" t="n">
        <v>119</v>
      </c>
      <c r="B390" s="9" t="s">
        <v>1108</v>
      </c>
      <c r="C390" s="10" t="s">
        <v>4319</v>
      </c>
      <c r="D390" s="10" t="s">
        <v>24</v>
      </c>
      <c r="E390" s="9" t="s">
        <v>4323</v>
      </c>
      <c r="F390" s="10" t="s">
        <v>4324</v>
      </c>
      <c r="G390" s="9" t="s">
        <v>3242</v>
      </c>
      <c r="H390" s="10" t="s">
        <v>4325</v>
      </c>
      <c r="I390" s="9"/>
      <c r="J390" s="9" t="s">
        <v>2662</v>
      </c>
      <c r="K390" s="9" t="s">
        <v>2662</v>
      </c>
    </row>
    <row r="391" customFormat="false" ht="15" hidden="false" customHeight="false" outlineLevel="0" collapsed="false">
      <c r="A391" s="9" t="n">
        <v>120</v>
      </c>
      <c r="B391" s="9" t="s">
        <v>1113</v>
      </c>
      <c r="C391" s="10" t="s">
        <v>4326</v>
      </c>
      <c r="D391" s="10" t="s">
        <v>24</v>
      </c>
      <c r="E391" s="9" t="s">
        <v>4327</v>
      </c>
      <c r="F391" s="10" t="s">
        <v>4328</v>
      </c>
      <c r="G391" s="9" t="s">
        <v>3242</v>
      </c>
      <c r="H391" s="10" t="s">
        <v>4329</v>
      </c>
      <c r="I391" s="9"/>
      <c r="J391" s="9" t="s">
        <v>3039</v>
      </c>
      <c r="K391" s="9" t="s">
        <v>3039</v>
      </c>
    </row>
    <row r="392" customFormat="false" ht="15" hidden="false" customHeight="false" outlineLevel="0" collapsed="false">
      <c r="A392" s="9" t="n">
        <v>120</v>
      </c>
      <c r="B392" s="9" t="s">
        <v>1113</v>
      </c>
      <c r="C392" s="10" t="s">
        <v>4326</v>
      </c>
      <c r="D392" s="10" t="s">
        <v>24</v>
      </c>
      <c r="E392" s="9" t="s">
        <v>4330</v>
      </c>
      <c r="F392" s="10" t="s">
        <v>4331</v>
      </c>
      <c r="G392" s="9" t="s">
        <v>3242</v>
      </c>
      <c r="H392" s="10" t="s">
        <v>4332</v>
      </c>
      <c r="I392" s="9"/>
      <c r="J392" s="9" t="s">
        <v>3039</v>
      </c>
      <c r="K392" s="9" t="s">
        <v>3039</v>
      </c>
    </row>
    <row r="393" customFormat="false" ht="15" hidden="false" customHeight="false" outlineLevel="0" collapsed="false">
      <c r="A393" s="9" t="n">
        <v>120</v>
      </c>
      <c r="B393" s="9" t="s">
        <v>1113</v>
      </c>
      <c r="C393" s="10" t="s">
        <v>4326</v>
      </c>
      <c r="D393" s="10" t="s">
        <v>24</v>
      </c>
      <c r="E393" s="9" t="s">
        <v>4333</v>
      </c>
      <c r="F393" s="10" t="s">
        <v>4334</v>
      </c>
      <c r="G393" s="9" t="s">
        <v>3242</v>
      </c>
      <c r="H393" s="10" t="s">
        <v>4335</v>
      </c>
      <c r="I393" s="9"/>
      <c r="J393" s="9" t="s">
        <v>3039</v>
      </c>
      <c r="K393" s="9" t="s">
        <v>3039</v>
      </c>
    </row>
    <row r="394" customFormat="false" ht="15" hidden="false" customHeight="false" outlineLevel="0" collapsed="false">
      <c r="A394" s="9" t="n">
        <v>121</v>
      </c>
      <c r="B394" s="9" t="s">
        <v>1118</v>
      </c>
      <c r="C394" s="10" t="s">
        <v>4336</v>
      </c>
      <c r="D394" s="10" t="s">
        <v>24</v>
      </c>
      <c r="E394" s="9" t="s">
        <v>4313</v>
      </c>
      <c r="F394" s="10" t="s">
        <v>4314</v>
      </c>
      <c r="G394" s="9" t="s">
        <v>3242</v>
      </c>
      <c r="H394" s="10" t="s">
        <v>4315</v>
      </c>
      <c r="I394" s="9"/>
      <c r="J394" s="9" t="s">
        <v>3039</v>
      </c>
      <c r="K394" s="9" t="s">
        <v>3039</v>
      </c>
    </row>
    <row r="395" customFormat="false" ht="15" hidden="false" customHeight="false" outlineLevel="0" collapsed="false">
      <c r="A395" s="9" t="n">
        <v>121</v>
      </c>
      <c r="B395" s="9" t="s">
        <v>1118</v>
      </c>
      <c r="C395" s="10" t="s">
        <v>4336</v>
      </c>
      <c r="D395" s="10" t="s">
        <v>24</v>
      </c>
      <c r="E395" s="9" t="s">
        <v>4337</v>
      </c>
      <c r="F395" s="10" t="s">
        <v>4338</v>
      </c>
      <c r="G395" s="9" t="s">
        <v>3242</v>
      </c>
      <c r="H395" s="10" t="s">
        <v>4339</v>
      </c>
      <c r="I395" s="9"/>
      <c r="J395" s="9" t="s">
        <v>3039</v>
      </c>
      <c r="K395" s="9" t="s">
        <v>3039</v>
      </c>
    </row>
    <row r="396" customFormat="false" ht="15" hidden="false" customHeight="false" outlineLevel="0" collapsed="false">
      <c r="A396" s="9" t="n">
        <v>122</v>
      </c>
      <c r="B396" s="9" t="s">
        <v>1123</v>
      </c>
      <c r="C396" s="10" t="s">
        <v>1124</v>
      </c>
      <c r="D396" s="10" t="s">
        <v>24</v>
      </c>
      <c r="E396" s="9" t="s">
        <v>4316</v>
      </c>
      <c r="F396" s="10" t="s">
        <v>4317</v>
      </c>
      <c r="G396" s="9" t="s">
        <v>3242</v>
      </c>
      <c r="H396" s="10" t="s">
        <v>4318</v>
      </c>
      <c r="I396" s="9"/>
      <c r="J396" s="9" t="s">
        <v>3039</v>
      </c>
      <c r="K396" s="9" t="s">
        <v>3039</v>
      </c>
    </row>
    <row r="397" customFormat="false" ht="15" hidden="false" customHeight="false" outlineLevel="0" collapsed="false">
      <c r="A397" s="9" t="n">
        <v>122</v>
      </c>
      <c r="B397" s="9" t="s">
        <v>1123</v>
      </c>
      <c r="C397" s="10" t="s">
        <v>1124</v>
      </c>
      <c r="D397" s="10" t="s">
        <v>24</v>
      </c>
      <c r="E397" s="9" t="s">
        <v>4340</v>
      </c>
      <c r="F397" s="10" t="s">
        <v>4341</v>
      </c>
      <c r="G397" s="9" t="s">
        <v>3242</v>
      </c>
      <c r="H397" s="10" t="s">
        <v>4342</v>
      </c>
      <c r="I397" s="9"/>
      <c r="J397" s="10" t="s">
        <v>3247</v>
      </c>
      <c r="K397" s="10" t="s">
        <v>3247</v>
      </c>
    </row>
    <row r="398" customFormat="false" ht="15" hidden="false" customHeight="false" outlineLevel="0" collapsed="false">
      <c r="A398" s="9" t="n">
        <v>123</v>
      </c>
      <c r="B398" s="9" t="s">
        <v>1127</v>
      </c>
      <c r="C398" s="10" t="s">
        <v>4343</v>
      </c>
      <c r="D398" s="10" t="s">
        <v>24</v>
      </c>
      <c r="E398" s="9" t="s">
        <v>4344</v>
      </c>
      <c r="F398" s="10" t="s">
        <v>4345</v>
      </c>
      <c r="G398" s="9" t="s">
        <v>3242</v>
      </c>
      <c r="H398" s="10" t="s">
        <v>4346</v>
      </c>
      <c r="I398" s="9"/>
      <c r="J398" s="9" t="s">
        <v>3062</v>
      </c>
      <c r="K398" s="9" t="s">
        <v>3062</v>
      </c>
    </row>
    <row r="399" customFormat="false" ht="15" hidden="false" customHeight="false" outlineLevel="0" collapsed="false">
      <c r="A399" s="9" t="n">
        <v>123</v>
      </c>
      <c r="B399" s="9" t="s">
        <v>1127</v>
      </c>
      <c r="C399" s="10" t="s">
        <v>4343</v>
      </c>
      <c r="D399" s="10" t="s">
        <v>24</v>
      </c>
      <c r="E399" s="9" t="s">
        <v>4124</v>
      </c>
      <c r="F399" s="10" t="s">
        <v>4125</v>
      </c>
      <c r="G399" s="9" t="s">
        <v>3242</v>
      </c>
      <c r="H399" s="10" t="s">
        <v>4126</v>
      </c>
      <c r="I399" s="9"/>
      <c r="J399" s="10" t="s">
        <v>3247</v>
      </c>
      <c r="K399" s="10" t="s">
        <v>3247</v>
      </c>
    </row>
    <row r="400" customFormat="false" ht="15" hidden="false" customHeight="false" outlineLevel="0" collapsed="false">
      <c r="A400" s="9" t="n">
        <v>123</v>
      </c>
      <c r="B400" s="9" t="s">
        <v>1127</v>
      </c>
      <c r="C400" s="10" t="s">
        <v>4343</v>
      </c>
      <c r="D400" s="10" t="s">
        <v>24</v>
      </c>
      <c r="E400" s="9" t="s">
        <v>4347</v>
      </c>
      <c r="F400" s="10" t="s">
        <v>4348</v>
      </c>
      <c r="G400" s="9" t="s">
        <v>3242</v>
      </c>
      <c r="H400" s="10" t="s">
        <v>4349</v>
      </c>
      <c r="I400" s="9"/>
      <c r="J400" s="9" t="s">
        <v>3062</v>
      </c>
      <c r="K400" s="9" t="s">
        <v>3062</v>
      </c>
    </row>
    <row r="401" customFormat="false" ht="15" hidden="false" customHeight="false" outlineLevel="0" collapsed="false">
      <c r="A401" s="9" t="n">
        <v>124</v>
      </c>
      <c r="B401" s="9" t="s">
        <v>1132</v>
      </c>
      <c r="C401" s="10" t="s">
        <v>1133</v>
      </c>
      <c r="D401" s="10" t="s">
        <v>24</v>
      </c>
      <c r="E401" s="9" t="s">
        <v>4350</v>
      </c>
      <c r="F401" s="10" t="s">
        <v>4351</v>
      </c>
      <c r="G401" s="9" t="s">
        <v>3242</v>
      </c>
      <c r="H401" s="10" t="s">
        <v>4352</v>
      </c>
      <c r="I401" s="9"/>
      <c r="J401" s="10" t="s">
        <v>3247</v>
      </c>
      <c r="K401" s="10" t="s">
        <v>3247</v>
      </c>
    </row>
    <row r="402" customFormat="false" ht="15" hidden="false" customHeight="false" outlineLevel="0" collapsed="false">
      <c r="A402" s="9" t="n">
        <v>125</v>
      </c>
      <c r="B402" s="9" t="s">
        <v>1135</v>
      </c>
      <c r="C402" s="10" t="s">
        <v>1136</v>
      </c>
      <c r="D402" s="10" t="s">
        <v>24</v>
      </c>
      <c r="E402" s="9" t="s">
        <v>4353</v>
      </c>
      <c r="F402" s="10" t="s">
        <v>4354</v>
      </c>
      <c r="G402" s="9" t="s">
        <v>3242</v>
      </c>
      <c r="H402" s="10" t="s">
        <v>4355</v>
      </c>
      <c r="I402" s="9"/>
      <c r="J402" s="9" t="s">
        <v>2232</v>
      </c>
      <c r="K402" s="9" t="s">
        <v>3284</v>
      </c>
    </row>
    <row r="403" customFormat="false" ht="15" hidden="false" customHeight="false" outlineLevel="0" collapsed="false">
      <c r="A403" s="9" t="n">
        <v>125</v>
      </c>
      <c r="B403" s="9" t="s">
        <v>1135</v>
      </c>
      <c r="C403" s="10" t="s">
        <v>1136</v>
      </c>
      <c r="D403" s="10" t="s">
        <v>24</v>
      </c>
      <c r="E403" s="9" t="s">
        <v>4356</v>
      </c>
      <c r="F403" s="10" t="s">
        <v>4357</v>
      </c>
      <c r="G403" s="9" t="s">
        <v>3242</v>
      </c>
      <c r="H403" s="10" t="s">
        <v>4358</v>
      </c>
      <c r="I403" s="9"/>
      <c r="J403" s="10" t="s">
        <v>3247</v>
      </c>
      <c r="K403" s="10" t="s">
        <v>3247</v>
      </c>
    </row>
    <row r="404" customFormat="false" ht="15" hidden="false" customHeight="false" outlineLevel="0" collapsed="false">
      <c r="A404" s="9" t="n">
        <v>125</v>
      </c>
      <c r="B404" s="9" t="s">
        <v>1135</v>
      </c>
      <c r="C404" s="10" t="s">
        <v>1136</v>
      </c>
      <c r="D404" s="10" t="s">
        <v>24</v>
      </c>
      <c r="E404" s="9" t="s">
        <v>4359</v>
      </c>
      <c r="F404" s="10" t="s">
        <v>4360</v>
      </c>
      <c r="G404" s="9" t="s">
        <v>3242</v>
      </c>
      <c r="H404" s="10" t="s">
        <v>4361</v>
      </c>
      <c r="I404" s="9"/>
      <c r="J404" s="9" t="s">
        <v>2232</v>
      </c>
      <c r="K404" s="9" t="s">
        <v>3284</v>
      </c>
    </row>
    <row r="405" customFormat="false" ht="15" hidden="false" customHeight="false" outlineLevel="0" collapsed="false">
      <c r="A405" s="9" t="n">
        <v>126</v>
      </c>
      <c r="B405" s="9" t="s">
        <v>1139</v>
      </c>
      <c r="C405" s="10" t="s">
        <v>1140</v>
      </c>
      <c r="D405" s="10" t="s">
        <v>26</v>
      </c>
      <c r="E405" s="9" t="s">
        <v>4362</v>
      </c>
      <c r="F405" s="10" t="s">
        <v>4363</v>
      </c>
      <c r="G405" s="9" t="s">
        <v>3242</v>
      </c>
      <c r="H405" s="10" t="s">
        <v>4364</v>
      </c>
      <c r="I405" s="9"/>
      <c r="J405" s="9" t="s">
        <v>3039</v>
      </c>
      <c r="K405" s="9" t="s">
        <v>3039</v>
      </c>
    </row>
    <row r="406" customFormat="false" ht="23.85" hidden="false" customHeight="false" outlineLevel="0" collapsed="false">
      <c r="A406" s="9" t="n">
        <v>126</v>
      </c>
      <c r="B406" s="9" t="s">
        <v>1139</v>
      </c>
      <c r="C406" s="10" t="s">
        <v>1140</v>
      </c>
      <c r="D406" s="10" t="s">
        <v>26</v>
      </c>
      <c r="E406" s="9" t="s">
        <v>4365</v>
      </c>
      <c r="F406" s="10" t="s">
        <v>4366</v>
      </c>
      <c r="G406" s="9" t="s">
        <v>3242</v>
      </c>
      <c r="H406" s="10" t="s">
        <v>4367</v>
      </c>
      <c r="I406" s="9"/>
      <c r="J406" s="9" t="s">
        <v>2773</v>
      </c>
      <c r="K406" s="9" t="s">
        <v>2773</v>
      </c>
    </row>
    <row r="407" customFormat="false" ht="23.85" hidden="false" customHeight="false" outlineLevel="0" collapsed="false">
      <c r="A407" s="9" t="n">
        <v>126</v>
      </c>
      <c r="B407" s="9" t="s">
        <v>1139</v>
      </c>
      <c r="C407" s="10" t="s">
        <v>1140</v>
      </c>
      <c r="D407" s="10" t="s">
        <v>26</v>
      </c>
      <c r="E407" s="9" t="s">
        <v>4368</v>
      </c>
      <c r="F407" s="10" t="s">
        <v>4369</v>
      </c>
      <c r="G407" s="9" t="s">
        <v>3242</v>
      </c>
      <c r="H407" s="10" t="s">
        <v>4370</v>
      </c>
      <c r="I407" s="9"/>
      <c r="J407" s="9" t="s">
        <v>2773</v>
      </c>
      <c r="K407" s="9" t="s">
        <v>2773</v>
      </c>
    </row>
    <row r="408" customFormat="false" ht="15" hidden="false" customHeight="false" outlineLevel="0" collapsed="false">
      <c r="A408" s="9" t="n">
        <v>127</v>
      </c>
      <c r="B408" s="9" t="s">
        <v>1143</v>
      </c>
      <c r="C408" s="10" t="s">
        <v>4371</v>
      </c>
      <c r="D408" s="10" t="s">
        <v>24</v>
      </c>
      <c r="E408" s="9" t="s">
        <v>4372</v>
      </c>
      <c r="F408" s="10" t="s">
        <v>4170</v>
      </c>
      <c r="G408" s="9" t="s">
        <v>3242</v>
      </c>
      <c r="H408" s="10" t="s">
        <v>4171</v>
      </c>
      <c r="I408" s="9" t="s">
        <v>4373</v>
      </c>
      <c r="J408" s="9" t="s">
        <v>2232</v>
      </c>
      <c r="K408" s="9" t="s">
        <v>3284</v>
      </c>
    </row>
    <row r="409" customFormat="false" ht="15" hidden="false" customHeight="false" outlineLevel="0" collapsed="false">
      <c r="A409" s="9" t="n">
        <v>127</v>
      </c>
      <c r="B409" s="9" t="s">
        <v>1143</v>
      </c>
      <c r="C409" s="10" t="s">
        <v>4371</v>
      </c>
      <c r="D409" s="10" t="s">
        <v>24</v>
      </c>
      <c r="E409" s="9" t="s">
        <v>4172</v>
      </c>
      <c r="F409" s="10" t="s">
        <v>4156</v>
      </c>
      <c r="G409" s="9" t="s">
        <v>3242</v>
      </c>
      <c r="H409" s="10" t="s">
        <v>4157</v>
      </c>
      <c r="I409" s="9" t="s">
        <v>4373</v>
      </c>
      <c r="J409" s="10" t="s">
        <v>3247</v>
      </c>
      <c r="K409" s="10" t="s">
        <v>3247</v>
      </c>
    </row>
    <row r="410" customFormat="false" ht="23.85" hidden="false" customHeight="false" outlineLevel="0" collapsed="false">
      <c r="A410" s="9" t="n">
        <v>127</v>
      </c>
      <c r="B410" s="9" t="s">
        <v>1143</v>
      </c>
      <c r="C410" s="10" t="s">
        <v>4371</v>
      </c>
      <c r="D410" s="10" t="s">
        <v>24</v>
      </c>
      <c r="E410" s="9" t="s">
        <v>4365</v>
      </c>
      <c r="F410" s="10" t="s">
        <v>4366</v>
      </c>
      <c r="G410" s="9" t="s">
        <v>3242</v>
      </c>
      <c r="H410" s="10" t="s">
        <v>4367</v>
      </c>
      <c r="I410" s="9" t="s">
        <v>4374</v>
      </c>
      <c r="J410" s="9" t="s">
        <v>2773</v>
      </c>
      <c r="K410" s="9" t="s">
        <v>2773</v>
      </c>
    </row>
    <row r="411" customFormat="false" ht="15" hidden="false" customHeight="false" outlineLevel="0" collapsed="false">
      <c r="A411" s="9" t="n">
        <v>127</v>
      </c>
      <c r="B411" s="9" t="s">
        <v>1143</v>
      </c>
      <c r="C411" s="10" t="s">
        <v>4371</v>
      </c>
      <c r="D411" s="10" t="s">
        <v>24</v>
      </c>
      <c r="E411" s="9" t="s">
        <v>4375</v>
      </c>
      <c r="F411" s="10" t="s">
        <v>4376</v>
      </c>
      <c r="G411" s="9" t="s">
        <v>3330</v>
      </c>
      <c r="H411" s="10" t="s">
        <v>4377</v>
      </c>
      <c r="I411" s="9"/>
      <c r="J411" s="10" t="s">
        <v>3247</v>
      </c>
      <c r="K411" s="10" t="s">
        <v>3247</v>
      </c>
    </row>
    <row r="412" customFormat="false" ht="15" hidden="false" customHeight="false" outlineLevel="0" collapsed="false">
      <c r="A412" s="9" t="n">
        <v>128</v>
      </c>
      <c r="B412" s="9" t="s">
        <v>1150</v>
      </c>
      <c r="C412" s="10" t="s">
        <v>4378</v>
      </c>
      <c r="D412" s="10" t="s">
        <v>24</v>
      </c>
      <c r="E412" s="9" t="s">
        <v>4379</v>
      </c>
      <c r="F412" s="10" t="s">
        <v>4380</v>
      </c>
      <c r="G412" s="9" t="s">
        <v>3242</v>
      </c>
      <c r="H412" s="10" t="s">
        <v>4381</v>
      </c>
      <c r="I412" s="9"/>
      <c r="J412" s="10" t="s">
        <v>3247</v>
      </c>
      <c r="K412" s="10" t="s">
        <v>3247</v>
      </c>
    </row>
    <row r="413" customFormat="false" ht="15" hidden="false" customHeight="false" outlineLevel="0" collapsed="false">
      <c r="A413" s="9" t="n">
        <v>128</v>
      </c>
      <c r="B413" s="9" t="s">
        <v>1150</v>
      </c>
      <c r="C413" s="10" t="s">
        <v>4378</v>
      </c>
      <c r="D413" s="10" t="s">
        <v>24</v>
      </c>
      <c r="E413" s="9" t="s">
        <v>4220</v>
      </c>
      <c r="F413" s="10" t="s">
        <v>4192</v>
      </c>
      <c r="G413" s="9" t="s">
        <v>3242</v>
      </c>
      <c r="H413" s="10" t="s">
        <v>4193</v>
      </c>
      <c r="I413" s="9"/>
      <c r="J413" s="10" t="s">
        <v>3247</v>
      </c>
      <c r="K413" s="10" t="s">
        <v>3247</v>
      </c>
    </row>
    <row r="414" customFormat="false" ht="15" hidden="false" customHeight="false" outlineLevel="0" collapsed="false">
      <c r="A414" s="9" t="n">
        <v>128</v>
      </c>
      <c r="B414" s="9" t="s">
        <v>1150</v>
      </c>
      <c r="C414" s="10" t="s">
        <v>4378</v>
      </c>
      <c r="D414" s="10" t="s">
        <v>24</v>
      </c>
      <c r="E414" s="9" t="s">
        <v>4362</v>
      </c>
      <c r="F414" s="10" t="s">
        <v>4363</v>
      </c>
      <c r="G414" s="9" t="s">
        <v>3242</v>
      </c>
      <c r="H414" s="10" t="s">
        <v>4364</v>
      </c>
      <c r="I414" s="9" t="s">
        <v>4374</v>
      </c>
      <c r="J414" s="9" t="s">
        <v>3039</v>
      </c>
      <c r="K414" s="9" t="s">
        <v>3039</v>
      </c>
    </row>
    <row r="415" customFormat="false" ht="15" hidden="false" customHeight="false" outlineLevel="0" collapsed="false">
      <c r="A415" s="9" t="n">
        <v>129</v>
      </c>
      <c r="B415" s="9" t="s">
        <v>1157</v>
      </c>
      <c r="C415" s="10" t="s">
        <v>4382</v>
      </c>
      <c r="D415" s="10" t="s">
        <v>24</v>
      </c>
      <c r="E415" s="9" t="s">
        <v>4217</v>
      </c>
      <c r="F415" s="10" t="s">
        <v>4218</v>
      </c>
      <c r="G415" s="9" t="s">
        <v>3242</v>
      </c>
      <c r="H415" s="10" t="s">
        <v>4219</v>
      </c>
      <c r="I415" s="9" t="s">
        <v>4383</v>
      </c>
      <c r="J415" s="9" t="s">
        <v>2232</v>
      </c>
      <c r="K415" s="9" t="s">
        <v>3284</v>
      </c>
    </row>
    <row r="416" customFormat="false" ht="15" hidden="false" customHeight="false" outlineLevel="0" collapsed="false">
      <c r="A416" s="9" t="n">
        <v>129</v>
      </c>
      <c r="B416" s="9" t="s">
        <v>1157</v>
      </c>
      <c r="C416" s="10" t="s">
        <v>4382</v>
      </c>
      <c r="D416" s="10" t="s">
        <v>24</v>
      </c>
      <c r="E416" s="9" t="s">
        <v>4384</v>
      </c>
      <c r="F416" s="10" t="s">
        <v>4385</v>
      </c>
      <c r="G416" s="9" t="s">
        <v>3242</v>
      </c>
      <c r="H416" s="10" t="s">
        <v>4386</v>
      </c>
      <c r="I416" s="9"/>
      <c r="J416" s="10" t="s">
        <v>3247</v>
      </c>
      <c r="K416" s="10" t="s">
        <v>3247</v>
      </c>
    </row>
    <row r="417" customFormat="false" ht="15" hidden="false" customHeight="false" outlineLevel="0" collapsed="false">
      <c r="A417" s="9" t="n">
        <v>129</v>
      </c>
      <c r="B417" s="9" t="s">
        <v>1157</v>
      </c>
      <c r="C417" s="10" t="s">
        <v>4382</v>
      </c>
      <c r="D417" s="10" t="s">
        <v>24</v>
      </c>
      <c r="E417" s="9" t="s">
        <v>4387</v>
      </c>
      <c r="F417" s="10" t="s">
        <v>4388</v>
      </c>
      <c r="G417" s="9" t="s">
        <v>3242</v>
      </c>
      <c r="H417" s="10" t="s">
        <v>4389</v>
      </c>
      <c r="I417" s="9"/>
      <c r="J417" s="10" t="s">
        <v>3247</v>
      </c>
      <c r="K417" s="10" t="s">
        <v>3247</v>
      </c>
    </row>
    <row r="418" customFormat="false" ht="39.55" hidden="false" customHeight="false" outlineLevel="0" collapsed="false">
      <c r="A418" s="9" t="n">
        <v>130</v>
      </c>
      <c r="B418" s="9" t="s">
        <v>1161</v>
      </c>
      <c r="C418" s="10" t="s">
        <v>1162</v>
      </c>
      <c r="D418" s="10" t="s">
        <v>24</v>
      </c>
      <c r="E418" s="9" t="s">
        <v>4390</v>
      </c>
      <c r="F418" s="10" t="s">
        <v>4156</v>
      </c>
      <c r="G418" s="9" t="s">
        <v>3242</v>
      </c>
      <c r="H418" s="10" t="s">
        <v>4157</v>
      </c>
      <c r="I418" s="9"/>
      <c r="J418" s="10" t="s">
        <v>3247</v>
      </c>
      <c r="K418" s="10" t="s">
        <v>3247</v>
      </c>
    </row>
    <row r="419" customFormat="false" ht="39.55" hidden="false" customHeight="false" outlineLevel="0" collapsed="false">
      <c r="A419" s="9" t="n">
        <v>130</v>
      </c>
      <c r="B419" s="9" t="s">
        <v>1161</v>
      </c>
      <c r="C419" s="10" t="s">
        <v>1162</v>
      </c>
      <c r="D419" s="10" t="s">
        <v>24</v>
      </c>
      <c r="E419" s="9" t="s">
        <v>4391</v>
      </c>
      <c r="F419" s="10" t="s">
        <v>4198</v>
      </c>
      <c r="G419" s="9" t="s">
        <v>3242</v>
      </c>
      <c r="H419" s="10" t="s">
        <v>4199</v>
      </c>
      <c r="I419" s="9"/>
      <c r="J419" s="10" t="s">
        <v>3247</v>
      </c>
      <c r="K419" s="10" t="s">
        <v>3247</v>
      </c>
    </row>
    <row r="420" customFormat="false" ht="39.55" hidden="false" customHeight="false" outlineLevel="0" collapsed="false">
      <c r="A420" s="9" t="n">
        <v>130</v>
      </c>
      <c r="B420" s="9" t="s">
        <v>1161</v>
      </c>
      <c r="C420" s="10" t="s">
        <v>1162</v>
      </c>
      <c r="D420" s="10" t="s">
        <v>24</v>
      </c>
      <c r="E420" s="9" t="s">
        <v>4392</v>
      </c>
      <c r="F420" s="10" t="s">
        <v>4099</v>
      </c>
      <c r="G420" s="9" t="s">
        <v>3242</v>
      </c>
      <c r="H420" s="10" t="s">
        <v>4100</v>
      </c>
      <c r="I420" s="9"/>
      <c r="J420" s="10" t="s">
        <v>3247</v>
      </c>
      <c r="K420" s="10" t="s">
        <v>3247</v>
      </c>
    </row>
    <row r="421" customFormat="false" ht="15" hidden="false" customHeight="false" outlineLevel="0" collapsed="false">
      <c r="A421" s="9" t="n">
        <v>131</v>
      </c>
      <c r="B421" s="9" t="s">
        <v>1165</v>
      </c>
      <c r="C421" s="10" t="s">
        <v>1166</v>
      </c>
      <c r="D421" s="10" t="s">
        <v>24</v>
      </c>
      <c r="E421" s="9" t="s">
        <v>4393</v>
      </c>
      <c r="F421" s="10" t="s">
        <v>4363</v>
      </c>
      <c r="G421" s="9" t="s">
        <v>3242</v>
      </c>
      <c r="H421" s="10" t="s">
        <v>4364</v>
      </c>
      <c r="I421" s="9"/>
      <c r="J421" s="9" t="s">
        <v>3039</v>
      </c>
      <c r="K421" s="9" t="s">
        <v>3039</v>
      </c>
    </row>
    <row r="422" customFormat="false" ht="15" hidden="false" customHeight="false" outlineLevel="0" collapsed="false">
      <c r="A422" s="9" t="n">
        <v>131</v>
      </c>
      <c r="B422" s="9" t="s">
        <v>1165</v>
      </c>
      <c r="C422" s="10" t="s">
        <v>1166</v>
      </c>
      <c r="D422" s="10" t="s">
        <v>24</v>
      </c>
      <c r="E422" s="9" t="s">
        <v>4239</v>
      </c>
      <c r="F422" s="10" t="s">
        <v>4240</v>
      </c>
      <c r="G422" s="9" t="s">
        <v>3242</v>
      </c>
      <c r="H422" s="10" t="s">
        <v>4241</v>
      </c>
      <c r="I422" s="9"/>
      <c r="J422" s="9" t="s">
        <v>2232</v>
      </c>
      <c r="K422" s="9" t="s">
        <v>3284</v>
      </c>
    </row>
    <row r="423" customFormat="false" ht="23.85" hidden="false" customHeight="false" outlineLevel="0" collapsed="false">
      <c r="A423" s="9" t="n">
        <v>131</v>
      </c>
      <c r="B423" s="9" t="s">
        <v>1165</v>
      </c>
      <c r="C423" s="10" t="s">
        <v>1166</v>
      </c>
      <c r="D423" s="10" t="s">
        <v>24</v>
      </c>
      <c r="E423" s="9" t="s">
        <v>4394</v>
      </c>
      <c r="F423" s="10" t="s">
        <v>4395</v>
      </c>
      <c r="G423" s="9" t="s">
        <v>3242</v>
      </c>
      <c r="H423" s="10" t="s">
        <v>4396</v>
      </c>
      <c r="I423" s="9"/>
      <c r="J423" s="9" t="s">
        <v>2232</v>
      </c>
      <c r="K423" s="9" t="s">
        <v>3284</v>
      </c>
    </row>
    <row r="424" customFormat="false" ht="15" hidden="false" customHeight="false" outlineLevel="0" collapsed="false">
      <c r="A424" s="9" t="n">
        <v>132</v>
      </c>
      <c r="B424" s="9" t="s">
        <v>1168</v>
      </c>
      <c r="C424" s="10" t="s">
        <v>1169</v>
      </c>
      <c r="D424" s="10" t="s">
        <v>25</v>
      </c>
      <c r="E424" s="9" t="s">
        <v>4397</v>
      </c>
      <c r="F424" s="10" t="s">
        <v>4099</v>
      </c>
      <c r="G424" s="9" t="s">
        <v>3242</v>
      </c>
      <c r="H424" s="10" t="s">
        <v>4100</v>
      </c>
      <c r="I424" s="9" t="s">
        <v>4398</v>
      </c>
      <c r="J424" s="10" t="s">
        <v>3247</v>
      </c>
      <c r="K424" s="10" t="s">
        <v>3247</v>
      </c>
    </row>
    <row r="425" customFormat="false" ht="15" hidden="false" customHeight="false" outlineLevel="0" collapsed="false">
      <c r="A425" s="9" t="n">
        <v>132</v>
      </c>
      <c r="B425" s="9" t="s">
        <v>1168</v>
      </c>
      <c r="C425" s="10" t="s">
        <v>1169</v>
      </c>
      <c r="D425" s="10" t="s">
        <v>25</v>
      </c>
      <c r="E425" s="9" t="s">
        <v>4399</v>
      </c>
      <c r="F425" s="10" t="s">
        <v>4202</v>
      </c>
      <c r="G425" s="9" t="s">
        <v>3242</v>
      </c>
      <c r="H425" s="10" t="s">
        <v>4203</v>
      </c>
      <c r="I425" s="9" t="s">
        <v>4398</v>
      </c>
      <c r="J425" s="10" t="s">
        <v>3247</v>
      </c>
      <c r="K425" s="10" t="s">
        <v>3247</v>
      </c>
    </row>
    <row r="426" customFormat="false" ht="15" hidden="false" customHeight="false" outlineLevel="0" collapsed="false">
      <c r="A426" s="9" t="n">
        <v>132</v>
      </c>
      <c r="B426" s="9" t="s">
        <v>1168</v>
      </c>
      <c r="C426" s="10" t="s">
        <v>1169</v>
      </c>
      <c r="D426" s="10" t="s">
        <v>25</v>
      </c>
      <c r="E426" s="9" t="s">
        <v>4400</v>
      </c>
      <c r="F426" s="10" t="s">
        <v>4160</v>
      </c>
      <c r="G426" s="9" t="s">
        <v>3242</v>
      </c>
      <c r="H426" s="10" t="s">
        <v>4161</v>
      </c>
      <c r="I426" s="9" t="s">
        <v>4398</v>
      </c>
      <c r="J426" s="10" t="s">
        <v>3247</v>
      </c>
      <c r="K426" s="10" t="s">
        <v>3247</v>
      </c>
    </row>
    <row r="427" customFormat="false" ht="15" hidden="false" customHeight="false" outlineLevel="0" collapsed="false">
      <c r="A427" s="9" t="n">
        <v>133</v>
      </c>
      <c r="B427" s="9" t="s">
        <v>1172</v>
      </c>
      <c r="C427" s="10" t="s">
        <v>1173</v>
      </c>
      <c r="D427" s="10" t="s">
        <v>25</v>
      </c>
      <c r="E427" s="9" t="s">
        <v>4353</v>
      </c>
      <c r="F427" s="10" t="s">
        <v>4354</v>
      </c>
      <c r="G427" s="9" t="s">
        <v>3242</v>
      </c>
      <c r="H427" s="10" t="s">
        <v>4355</v>
      </c>
      <c r="I427" s="9"/>
      <c r="J427" s="9" t="s">
        <v>2232</v>
      </c>
      <c r="K427" s="9" t="s">
        <v>3284</v>
      </c>
    </row>
    <row r="428" customFormat="false" ht="26.85" hidden="false" customHeight="false" outlineLevel="0" collapsed="false">
      <c r="A428" s="9" t="n">
        <v>133</v>
      </c>
      <c r="B428" s="9" t="s">
        <v>1172</v>
      </c>
      <c r="C428" s="10" t="s">
        <v>1173</v>
      </c>
      <c r="D428" s="10" t="s">
        <v>25</v>
      </c>
      <c r="E428" s="9" t="s">
        <v>4401</v>
      </c>
      <c r="F428" s="10" t="s">
        <v>4277</v>
      </c>
      <c r="G428" s="9" t="s">
        <v>3242</v>
      </c>
      <c r="H428" s="10" t="s">
        <v>4278</v>
      </c>
      <c r="I428" s="9"/>
      <c r="J428" s="10" t="s">
        <v>3247</v>
      </c>
      <c r="K428" s="10" t="s">
        <v>3247</v>
      </c>
    </row>
    <row r="429" customFormat="false" ht="23.85" hidden="false" customHeight="false" outlineLevel="0" collapsed="false">
      <c r="A429" s="9" t="n">
        <v>133</v>
      </c>
      <c r="B429" s="9" t="s">
        <v>1172</v>
      </c>
      <c r="C429" s="10" t="s">
        <v>1173</v>
      </c>
      <c r="D429" s="10" t="s">
        <v>25</v>
      </c>
      <c r="E429" s="9" t="s">
        <v>4211</v>
      </c>
      <c r="F429" s="10" t="s">
        <v>4212</v>
      </c>
      <c r="G429" s="9" t="s">
        <v>3242</v>
      </c>
      <c r="H429" s="10" t="s">
        <v>4213</v>
      </c>
      <c r="I429" s="9"/>
      <c r="J429" s="9" t="s">
        <v>2232</v>
      </c>
      <c r="K429" s="9" t="s">
        <v>3284</v>
      </c>
    </row>
    <row r="430" customFormat="false" ht="15" hidden="false" customHeight="false" outlineLevel="0" collapsed="false">
      <c r="A430" s="9" t="n">
        <v>134</v>
      </c>
      <c r="B430" s="9" t="s">
        <v>1176</v>
      </c>
      <c r="C430" s="10" t="s">
        <v>1177</v>
      </c>
      <c r="D430" s="10" t="s">
        <v>29</v>
      </c>
      <c r="E430" s="9" t="s">
        <v>4402</v>
      </c>
      <c r="F430" s="10" t="s">
        <v>4403</v>
      </c>
      <c r="G430" s="9" t="s">
        <v>3242</v>
      </c>
      <c r="H430" s="10" t="s">
        <v>4404</v>
      </c>
      <c r="I430" s="9"/>
      <c r="J430" s="10" t="s">
        <v>3247</v>
      </c>
      <c r="K430" s="10" t="s">
        <v>3247</v>
      </c>
    </row>
    <row r="431" customFormat="false" ht="15" hidden="false" customHeight="false" outlineLevel="0" collapsed="false">
      <c r="A431" s="9" t="n">
        <v>134</v>
      </c>
      <c r="B431" s="9" t="s">
        <v>1176</v>
      </c>
      <c r="C431" s="10" t="s">
        <v>1177</v>
      </c>
      <c r="D431" s="10" t="s">
        <v>29</v>
      </c>
      <c r="E431" s="9" t="s">
        <v>4405</v>
      </c>
      <c r="F431" s="10" t="s">
        <v>4406</v>
      </c>
      <c r="G431" s="9" t="s">
        <v>3242</v>
      </c>
      <c r="H431" s="10" t="s">
        <v>4407</v>
      </c>
      <c r="I431" s="9"/>
      <c r="J431" s="10" t="s">
        <v>3247</v>
      </c>
      <c r="K431" s="10" t="s">
        <v>3247</v>
      </c>
    </row>
    <row r="432" customFormat="false" ht="15" hidden="false" customHeight="false" outlineLevel="0" collapsed="false">
      <c r="A432" s="9" t="n">
        <v>134</v>
      </c>
      <c r="B432" s="9" t="s">
        <v>1176</v>
      </c>
      <c r="C432" s="10" t="s">
        <v>1177</v>
      </c>
      <c r="D432" s="10" t="s">
        <v>29</v>
      </c>
      <c r="E432" s="9" t="s">
        <v>4408</v>
      </c>
      <c r="F432" s="10" t="s">
        <v>4409</v>
      </c>
      <c r="G432" s="9" t="s">
        <v>3242</v>
      </c>
      <c r="H432" s="10" t="s">
        <v>4410</v>
      </c>
      <c r="I432" s="9"/>
      <c r="J432" s="10" t="s">
        <v>3247</v>
      </c>
      <c r="K432" s="10" t="s">
        <v>3247</v>
      </c>
    </row>
    <row r="433" customFormat="false" ht="15" hidden="false" customHeight="false" outlineLevel="0" collapsed="false">
      <c r="A433" s="9" t="n">
        <v>134</v>
      </c>
      <c r="B433" s="9" t="s">
        <v>1176</v>
      </c>
      <c r="C433" s="10" t="s">
        <v>1177</v>
      </c>
      <c r="D433" s="10" t="s">
        <v>29</v>
      </c>
      <c r="E433" s="9" t="s">
        <v>4411</v>
      </c>
      <c r="F433" s="10" t="s">
        <v>4412</v>
      </c>
      <c r="G433" s="9" t="s">
        <v>3242</v>
      </c>
      <c r="H433" s="10" t="s">
        <v>4413</v>
      </c>
      <c r="I433" s="9"/>
      <c r="J433" s="10" t="s">
        <v>3247</v>
      </c>
      <c r="K433" s="10" t="s">
        <v>3247</v>
      </c>
    </row>
    <row r="434" customFormat="false" ht="15" hidden="false" customHeight="false" outlineLevel="0" collapsed="false">
      <c r="A434" s="9" t="n">
        <v>135</v>
      </c>
      <c r="B434" s="9" t="s">
        <v>1180</v>
      </c>
      <c r="C434" s="10" t="s">
        <v>4414</v>
      </c>
      <c r="D434" s="10" t="s">
        <v>3933</v>
      </c>
      <c r="E434" s="9" t="s">
        <v>4415</v>
      </c>
      <c r="F434" s="10" t="s">
        <v>4406</v>
      </c>
      <c r="G434" s="9" t="s">
        <v>3242</v>
      </c>
      <c r="H434" s="10" t="s">
        <v>4407</v>
      </c>
      <c r="I434" s="9"/>
      <c r="J434" s="10" t="s">
        <v>3247</v>
      </c>
      <c r="K434" s="10" t="s">
        <v>3247</v>
      </c>
    </row>
    <row r="435" customFormat="false" ht="23.85" hidden="false" customHeight="false" outlineLevel="0" collapsed="false">
      <c r="A435" s="9" t="n">
        <v>135</v>
      </c>
      <c r="B435" s="9" t="s">
        <v>1180</v>
      </c>
      <c r="C435" s="10" t="s">
        <v>4414</v>
      </c>
      <c r="D435" s="10" t="s">
        <v>3933</v>
      </c>
      <c r="E435" s="9" t="s">
        <v>4416</v>
      </c>
      <c r="F435" s="10" t="s">
        <v>4417</v>
      </c>
      <c r="G435" s="9" t="s">
        <v>3242</v>
      </c>
      <c r="H435" s="10" t="s">
        <v>4418</v>
      </c>
      <c r="I435" s="9"/>
      <c r="J435" s="10" t="s">
        <v>3247</v>
      </c>
      <c r="K435" s="10" t="s">
        <v>3247</v>
      </c>
    </row>
    <row r="436" customFormat="false" ht="15" hidden="false" customHeight="false" outlineLevel="0" collapsed="false">
      <c r="A436" s="9" t="n">
        <v>135</v>
      </c>
      <c r="B436" s="9" t="s">
        <v>1180</v>
      </c>
      <c r="C436" s="10" t="s">
        <v>4414</v>
      </c>
      <c r="D436" s="10" t="s">
        <v>3933</v>
      </c>
      <c r="E436" s="9" t="s">
        <v>4402</v>
      </c>
      <c r="F436" s="10" t="s">
        <v>4403</v>
      </c>
      <c r="G436" s="9" t="s">
        <v>3242</v>
      </c>
      <c r="H436" s="10" t="s">
        <v>4404</v>
      </c>
      <c r="I436" s="9"/>
      <c r="J436" s="10" t="s">
        <v>3247</v>
      </c>
      <c r="K436" s="10" t="s">
        <v>3247</v>
      </c>
    </row>
    <row r="437" customFormat="false" ht="23.85" hidden="false" customHeight="false" outlineLevel="0" collapsed="false">
      <c r="A437" s="9" t="n">
        <v>135</v>
      </c>
      <c r="B437" s="9" t="s">
        <v>1180</v>
      </c>
      <c r="C437" s="10" t="s">
        <v>4414</v>
      </c>
      <c r="D437" s="10" t="s">
        <v>3933</v>
      </c>
      <c r="E437" s="9" t="s">
        <v>4419</v>
      </c>
      <c r="F437" s="10" t="s">
        <v>4420</v>
      </c>
      <c r="G437" s="9" t="s">
        <v>3242</v>
      </c>
      <c r="H437" s="10" t="s">
        <v>4421</v>
      </c>
      <c r="I437" s="9"/>
      <c r="J437" s="9" t="s">
        <v>2232</v>
      </c>
      <c r="K437" s="9" t="s">
        <v>3284</v>
      </c>
    </row>
    <row r="438" customFormat="false" ht="15" hidden="false" customHeight="false" outlineLevel="0" collapsed="false">
      <c r="A438" s="9" t="n">
        <v>136</v>
      </c>
      <c r="B438" s="9" t="s">
        <v>1186</v>
      </c>
      <c r="C438" s="10" t="s">
        <v>1187</v>
      </c>
      <c r="D438" s="10" t="s">
        <v>29</v>
      </c>
      <c r="E438" s="9" t="s">
        <v>4411</v>
      </c>
      <c r="F438" s="10" t="s">
        <v>4412</v>
      </c>
      <c r="G438" s="9" t="s">
        <v>3242</v>
      </c>
      <c r="H438" s="10" t="s">
        <v>4413</v>
      </c>
      <c r="I438" s="9"/>
      <c r="J438" s="10" t="s">
        <v>3247</v>
      </c>
      <c r="K438" s="10" t="s">
        <v>3247</v>
      </c>
    </row>
    <row r="439" customFormat="false" ht="15" hidden="false" customHeight="false" outlineLevel="0" collapsed="false">
      <c r="A439" s="9" t="n">
        <v>136</v>
      </c>
      <c r="B439" s="9" t="s">
        <v>1186</v>
      </c>
      <c r="C439" s="10" t="s">
        <v>1187</v>
      </c>
      <c r="D439" s="10" t="s">
        <v>29</v>
      </c>
      <c r="E439" s="9" t="s">
        <v>4408</v>
      </c>
      <c r="F439" s="10" t="s">
        <v>4409</v>
      </c>
      <c r="G439" s="9" t="s">
        <v>3242</v>
      </c>
      <c r="H439" s="10" t="s">
        <v>4410</v>
      </c>
      <c r="I439" s="9"/>
      <c r="J439" s="10" t="s">
        <v>3247</v>
      </c>
      <c r="K439" s="10" t="s">
        <v>3247</v>
      </c>
    </row>
    <row r="440" customFormat="false" ht="15" hidden="false" customHeight="false" outlineLevel="0" collapsed="false">
      <c r="A440" s="9" t="n">
        <v>136</v>
      </c>
      <c r="B440" s="9" t="s">
        <v>1186</v>
      </c>
      <c r="C440" s="10" t="s">
        <v>1187</v>
      </c>
      <c r="D440" s="10" t="s">
        <v>29</v>
      </c>
      <c r="E440" s="9" t="s">
        <v>4422</v>
      </c>
      <c r="F440" s="10" t="s">
        <v>4406</v>
      </c>
      <c r="G440" s="9" t="s">
        <v>3242</v>
      </c>
      <c r="H440" s="10" t="s">
        <v>4407</v>
      </c>
      <c r="I440" s="9"/>
      <c r="J440" s="10" t="s">
        <v>3247</v>
      </c>
      <c r="K440" s="10" t="s">
        <v>3247</v>
      </c>
    </row>
    <row r="441" customFormat="false" ht="15" hidden="false" customHeight="false" outlineLevel="0" collapsed="false">
      <c r="A441" s="9" t="n">
        <v>136</v>
      </c>
      <c r="B441" s="9" t="s">
        <v>1186</v>
      </c>
      <c r="C441" s="10" t="s">
        <v>1187</v>
      </c>
      <c r="D441" s="10" t="s">
        <v>29</v>
      </c>
      <c r="E441" s="9" t="s">
        <v>4134</v>
      </c>
      <c r="F441" s="10" t="s">
        <v>4135</v>
      </c>
      <c r="G441" s="9" t="s">
        <v>3242</v>
      </c>
      <c r="H441" s="10" t="s">
        <v>4136</v>
      </c>
      <c r="I441" s="9"/>
      <c r="J441" s="10" t="s">
        <v>3247</v>
      </c>
      <c r="K441" s="10" t="s">
        <v>3247</v>
      </c>
    </row>
    <row r="442" customFormat="false" ht="15" hidden="false" customHeight="false" outlineLevel="0" collapsed="false">
      <c r="A442" s="9" t="n">
        <v>137</v>
      </c>
      <c r="B442" s="9" t="s">
        <v>1190</v>
      </c>
      <c r="C442" s="10" t="s">
        <v>4423</v>
      </c>
      <c r="D442" s="10" t="s">
        <v>3933</v>
      </c>
      <c r="E442" s="9" t="s">
        <v>3244</v>
      </c>
      <c r="F442" s="10" t="s">
        <v>3245</v>
      </c>
      <c r="G442" s="9" t="s">
        <v>3242</v>
      </c>
      <c r="H442" s="10" t="s">
        <v>3246</v>
      </c>
      <c r="I442" s="9"/>
      <c r="J442" s="10" t="s">
        <v>3247</v>
      </c>
      <c r="K442" s="10" t="s">
        <v>3247</v>
      </c>
    </row>
    <row r="443" customFormat="false" ht="23.85" hidden="false" customHeight="false" outlineLevel="0" collapsed="false">
      <c r="A443" s="9" t="n">
        <v>137</v>
      </c>
      <c r="B443" s="9" t="s">
        <v>1190</v>
      </c>
      <c r="C443" s="10" t="s">
        <v>4423</v>
      </c>
      <c r="D443" s="10" t="s">
        <v>3933</v>
      </c>
      <c r="E443" s="9" t="s">
        <v>4416</v>
      </c>
      <c r="F443" s="10" t="s">
        <v>4417</v>
      </c>
      <c r="G443" s="9" t="s">
        <v>3242</v>
      </c>
      <c r="H443" s="10" t="s">
        <v>4418</v>
      </c>
      <c r="I443" s="9"/>
      <c r="J443" s="10" t="s">
        <v>3247</v>
      </c>
      <c r="K443" s="10" t="s">
        <v>3247</v>
      </c>
    </row>
    <row r="444" customFormat="false" ht="23.85" hidden="false" customHeight="false" outlineLevel="0" collapsed="false">
      <c r="A444" s="9" t="n">
        <v>137</v>
      </c>
      <c r="B444" s="9" t="s">
        <v>1190</v>
      </c>
      <c r="C444" s="10" t="s">
        <v>4423</v>
      </c>
      <c r="D444" s="10" t="s">
        <v>3933</v>
      </c>
      <c r="E444" s="9" t="s">
        <v>4424</v>
      </c>
      <c r="F444" s="10" t="s">
        <v>4425</v>
      </c>
      <c r="G444" s="9" t="s">
        <v>3242</v>
      </c>
      <c r="H444" s="10" t="s">
        <v>4426</v>
      </c>
      <c r="I444" s="9"/>
      <c r="J444" s="10" t="s">
        <v>3247</v>
      </c>
      <c r="K444" s="10" t="s">
        <v>3247</v>
      </c>
    </row>
    <row r="445" customFormat="false" ht="15" hidden="false" customHeight="false" outlineLevel="0" collapsed="false">
      <c r="A445" s="9" t="n">
        <v>137</v>
      </c>
      <c r="B445" s="9" t="s">
        <v>1190</v>
      </c>
      <c r="C445" s="10" t="s">
        <v>4423</v>
      </c>
      <c r="D445" s="10" t="s">
        <v>3933</v>
      </c>
      <c r="E445" s="9" t="s">
        <v>4427</v>
      </c>
      <c r="F445" s="10" t="s">
        <v>4428</v>
      </c>
      <c r="G445" s="9" t="s">
        <v>3242</v>
      </c>
      <c r="H445" s="10" t="s">
        <v>4429</v>
      </c>
      <c r="I445" s="9"/>
      <c r="J445" s="9" t="s">
        <v>2232</v>
      </c>
      <c r="K445" s="9" t="s">
        <v>3284</v>
      </c>
    </row>
    <row r="446" customFormat="false" ht="15" hidden="false" customHeight="false" outlineLevel="0" collapsed="false">
      <c r="A446" s="9" t="n">
        <v>138</v>
      </c>
      <c r="B446" s="9" t="s">
        <v>1199</v>
      </c>
      <c r="C446" s="10" t="s">
        <v>4430</v>
      </c>
      <c r="D446" s="10" t="s">
        <v>27</v>
      </c>
      <c r="E446" s="9" t="s">
        <v>4431</v>
      </c>
      <c r="F446" s="10" t="s">
        <v>4432</v>
      </c>
      <c r="G446" s="9" t="s">
        <v>3242</v>
      </c>
      <c r="H446" s="10" t="s">
        <v>4433</v>
      </c>
      <c r="I446" s="9"/>
      <c r="J446" s="9" t="s">
        <v>2773</v>
      </c>
      <c r="K446" s="9" t="s">
        <v>2773</v>
      </c>
    </row>
    <row r="447" customFormat="false" ht="15" hidden="false" customHeight="false" outlineLevel="0" collapsed="false">
      <c r="A447" s="9" t="n">
        <v>138</v>
      </c>
      <c r="B447" s="9" t="s">
        <v>1199</v>
      </c>
      <c r="C447" s="10" t="s">
        <v>4430</v>
      </c>
      <c r="D447" s="10" t="s">
        <v>27</v>
      </c>
      <c r="E447" s="9" t="s">
        <v>4434</v>
      </c>
      <c r="F447" s="10" t="s">
        <v>4435</v>
      </c>
      <c r="G447" s="9" t="s">
        <v>3242</v>
      </c>
      <c r="H447" s="10" t="s">
        <v>4436</v>
      </c>
      <c r="I447" s="9"/>
      <c r="J447" s="9" t="s">
        <v>2773</v>
      </c>
      <c r="K447" s="9" t="s">
        <v>2773</v>
      </c>
    </row>
    <row r="448" customFormat="false" ht="15" hidden="false" customHeight="false" outlineLevel="0" collapsed="false">
      <c r="A448" s="9" t="n">
        <v>138</v>
      </c>
      <c r="B448" s="9" t="s">
        <v>1199</v>
      </c>
      <c r="C448" s="10" t="s">
        <v>4430</v>
      </c>
      <c r="D448" s="10" t="s">
        <v>27</v>
      </c>
      <c r="E448" s="9" t="s">
        <v>4437</v>
      </c>
      <c r="F448" s="10" t="s">
        <v>4438</v>
      </c>
      <c r="G448" s="9" t="s">
        <v>3330</v>
      </c>
      <c r="H448" s="10" t="s">
        <v>4439</v>
      </c>
      <c r="I448" s="9"/>
      <c r="J448" s="10" t="s">
        <v>3247</v>
      </c>
      <c r="K448" s="10" t="s">
        <v>3247</v>
      </c>
    </row>
    <row r="449" customFormat="false" ht="15" hidden="false" customHeight="false" outlineLevel="0" collapsed="false">
      <c r="A449" s="9" t="n">
        <v>139</v>
      </c>
      <c r="B449" s="9" t="s">
        <v>1204</v>
      </c>
      <c r="C449" s="10" t="s">
        <v>1205</v>
      </c>
      <c r="D449" s="10" t="s">
        <v>27</v>
      </c>
      <c r="E449" s="9" t="s">
        <v>4440</v>
      </c>
      <c r="F449" s="10" t="s">
        <v>4441</v>
      </c>
      <c r="G449" s="9" t="s">
        <v>3242</v>
      </c>
      <c r="H449" s="10" t="s">
        <v>4442</v>
      </c>
      <c r="I449" s="9"/>
      <c r="J449" s="9" t="s">
        <v>2773</v>
      </c>
      <c r="K449" s="9" t="s">
        <v>2773</v>
      </c>
    </row>
    <row r="450" customFormat="false" ht="15" hidden="false" customHeight="false" outlineLevel="0" collapsed="false">
      <c r="A450" s="9" t="n">
        <v>139</v>
      </c>
      <c r="B450" s="9" t="s">
        <v>1204</v>
      </c>
      <c r="C450" s="10" t="s">
        <v>1205</v>
      </c>
      <c r="D450" s="10" t="s">
        <v>27</v>
      </c>
      <c r="E450" s="9" t="s">
        <v>4143</v>
      </c>
      <c r="F450" s="10" t="s">
        <v>4144</v>
      </c>
      <c r="G450" s="9" t="s">
        <v>3242</v>
      </c>
      <c r="H450" s="10" t="s">
        <v>4145</v>
      </c>
      <c r="I450" s="9"/>
      <c r="J450" s="9" t="s">
        <v>3039</v>
      </c>
      <c r="K450" s="9" t="s">
        <v>3039</v>
      </c>
    </row>
    <row r="451" customFormat="false" ht="15" hidden="false" customHeight="false" outlineLevel="0" collapsed="false">
      <c r="A451" s="9" t="n">
        <v>139</v>
      </c>
      <c r="B451" s="9" t="s">
        <v>1204</v>
      </c>
      <c r="C451" s="10" t="s">
        <v>1205</v>
      </c>
      <c r="D451" s="10" t="s">
        <v>27</v>
      </c>
      <c r="E451" s="9" t="s">
        <v>4443</v>
      </c>
      <c r="F451" s="10" t="s">
        <v>3241</v>
      </c>
      <c r="G451" s="9" t="s">
        <v>3242</v>
      </c>
      <c r="H451" s="10" t="s">
        <v>3243</v>
      </c>
      <c r="I451" s="9"/>
      <c r="J451" s="9" t="s">
        <v>2773</v>
      </c>
      <c r="K451" s="9" t="s">
        <v>2773</v>
      </c>
    </row>
    <row r="452" customFormat="false" ht="15" hidden="false" customHeight="false" outlineLevel="0" collapsed="false">
      <c r="A452" s="9" t="n">
        <v>140</v>
      </c>
      <c r="B452" s="9" t="s">
        <v>1208</v>
      </c>
      <c r="C452" s="10" t="s">
        <v>4444</v>
      </c>
      <c r="D452" s="10" t="s">
        <v>29</v>
      </c>
      <c r="E452" s="9" t="s">
        <v>4405</v>
      </c>
      <c r="F452" s="10" t="s">
        <v>4406</v>
      </c>
      <c r="G452" s="9" t="s">
        <v>3242</v>
      </c>
      <c r="H452" s="10" t="s">
        <v>4407</v>
      </c>
      <c r="I452" s="9"/>
      <c r="J452" s="10" t="s">
        <v>3247</v>
      </c>
      <c r="K452" s="10" t="s">
        <v>3247</v>
      </c>
    </row>
    <row r="453" customFormat="false" ht="15" hidden="false" customHeight="false" outlineLevel="0" collapsed="false">
      <c r="A453" s="9" t="n">
        <v>140</v>
      </c>
      <c r="B453" s="9" t="s">
        <v>1208</v>
      </c>
      <c r="C453" s="10" t="s">
        <v>4444</v>
      </c>
      <c r="D453" s="10" t="s">
        <v>29</v>
      </c>
      <c r="E453" s="9" t="s">
        <v>4402</v>
      </c>
      <c r="F453" s="10" t="s">
        <v>4403</v>
      </c>
      <c r="G453" s="9" t="s">
        <v>3242</v>
      </c>
      <c r="H453" s="10" t="s">
        <v>4404</v>
      </c>
      <c r="I453" s="9"/>
      <c r="J453" s="10" t="s">
        <v>3247</v>
      </c>
      <c r="K453" s="10" t="s">
        <v>3247</v>
      </c>
    </row>
    <row r="454" customFormat="false" ht="26.85" hidden="false" customHeight="false" outlineLevel="0" collapsed="false">
      <c r="A454" s="9" t="n">
        <v>141</v>
      </c>
      <c r="B454" s="9" t="s">
        <v>1213</v>
      </c>
      <c r="C454" s="10" t="s">
        <v>4445</v>
      </c>
      <c r="D454" s="10" t="s">
        <v>28</v>
      </c>
      <c r="E454" s="9" t="s">
        <v>4446</v>
      </c>
      <c r="F454" s="10" t="s">
        <v>4447</v>
      </c>
      <c r="G454" s="10" t="s">
        <v>3355</v>
      </c>
      <c r="H454" s="10" t="s">
        <v>4448</v>
      </c>
      <c r="I454" s="9"/>
      <c r="J454" s="10" t="s">
        <v>3247</v>
      </c>
      <c r="K454" s="10" t="s">
        <v>3247</v>
      </c>
    </row>
    <row r="455" customFormat="false" ht="15" hidden="false" customHeight="false" outlineLevel="0" collapsed="false">
      <c r="A455" s="9" t="n">
        <v>141</v>
      </c>
      <c r="B455" s="9" t="s">
        <v>1213</v>
      </c>
      <c r="C455" s="10" t="s">
        <v>4445</v>
      </c>
      <c r="D455" s="10" t="s">
        <v>28</v>
      </c>
      <c r="E455" s="9" t="s">
        <v>4449</v>
      </c>
      <c r="F455" s="10" t="s">
        <v>4450</v>
      </c>
      <c r="G455" s="9" t="s">
        <v>3242</v>
      </c>
      <c r="H455" s="10" t="s">
        <v>4451</v>
      </c>
      <c r="I455" s="9"/>
      <c r="J455" s="9" t="s">
        <v>2232</v>
      </c>
      <c r="K455" s="9" t="s">
        <v>3284</v>
      </c>
    </row>
    <row r="456" customFormat="false" ht="15" hidden="false" customHeight="false" outlineLevel="0" collapsed="false">
      <c r="A456" s="9" t="n">
        <v>141</v>
      </c>
      <c r="B456" s="9" t="s">
        <v>1213</v>
      </c>
      <c r="C456" s="10" t="s">
        <v>4445</v>
      </c>
      <c r="D456" s="10" t="s">
        <v>28</v>
      </c>
      <c r="E456" s="9" t="s">
        <v>4452</v>
      </c>
      <c r="F456" s="10" t="s">
        <v>4453</v>
      </c>
      <c r="G456" s="9" t="s">
        <v>3242</v>
      </c>
      <c r="H456" s="10" t="s">
        <v>4454</v>
      </c>
      <c r="I456" s="9"/>
      <c r="J456" s="9" t="s">
        <v>2232</v>
      </c>
      <c r="K456" s="9" t="s">
        <v>3284</v>
      </c>
    </row>
    <row r="457" customFormat="false" ht="23.85" hidden="false" customHeight="false" outlineLevel="0" collapsed="false">
      <c r="A457" s="9" t="n">
        <v>142</v>
      </c>
      <c r="B457" s="9" t="s">
        <v>1218</v>
      </c>
      <c r="C457" s="10" t="s">
        <v>4455</v>
      </c>
      <c r="D457" s="10" t="s">
        <v>28</v>
      </c>
      <c r="E457" s="9" t="s">
        <v>4456</v>
      </c>
      <c r="F457" s="10" t="s">
        <v>4420</v>
      </c>
      <c r="G457" s="9" t="s">
        <v>3242</v>
      </c>
      <c r="H457" s="10" t="s">
        <v>4421</v>
      </c>
      <c r="I457" s="9"/>
      <c r="J457" s="9" t="s">
        <v>2232</v>
      </c>
      <c r="K457" s="9" t="s">
        <v>3284</v>
      </c>
    </row>
    <row r="458" customFormat="false" ht="15" hidden="false" customHeight="false" outlineLevel="0" collapsed="false">
      <c r="A458" s="9" t="n">
        <v>142</v>
      </c>
      <c r="B458" s="9" t="s">
        <v>1218</v>
      </c>
      <c r="C458" s="10" t="s">
        <v>4455</v>
      </c>
      <c r="D458" s="10" t="s">
        <v>28</v>
      </c>
      <c r="E458" s="9" t="s">
        <v>4457</v>
      </c>
      <c r="F458" s="10" t="s">
        <v>4458</v>
      </c>
      <c r="G458" s="9" t="s">
        <v>3242</v>
      </c>
      <c r="H458" s="10" t="s">
        <v>4459</v>
      </c>
      <c r="I458" s="9"/>
      <c r="J458" s="9" t="s">
        <v>2232</v>
      </c>
      <c r="K458" s="9" t="s">
        <v>3284</v>
      </c>
    </row>
    <row r="459" customFormat="false" ht="15" hidden="false" customHeight="false" outlineLevel="0" collapsed="false">
      <c r="A459" s="9" t="n">
        <v>142</v>
      </c>
      <c r="B459" s="9" t="s">
        <v>1218</v>
      </c>
      <c r="C459" s="10" t="s">
        <v>4455</v>
      </c>
      <c r="D459" s="10" t="s">
        <v>28</v>
      </c>
      <c r="E459" s="9" t="s">
        <v>4452</v>
      </c>
      <c r="F459" s="10" t="s">
        <v>4453</v>
      </c>
      <c r="G459" s="9" t="s">
        <v>3242</v>
      </c>
      <c r="H459" s="10" t="s">
        <v>4454</v>
      </c>
      <c r="I459" s="9"/>
      <c r="J459" s="9" t="s">
        <v>2232</v>
      </c>
      <c r="K459" s="9" t="s">
        <v>3284</v>
      </c>
    </row>
    <row r="460" customFormat="false" ht="26.85" hidden="false" customHeight="false" outlineLevel="0" collapsed="false">
      <c r="A460" s="9" t="n">
        <v>142</v>
      </c>
      <c r="B460" s="9" t="s">
        <v>1218</v>
      </c>
      <c r="C460" s="10" t="s">
        <v>4455</v>
      </c>
      <c r="D460" s="10" t="s">
        <v>28</v>
      </c>
      <c r="E460" s="9" t="s">
        <v>4460</v>
      </c>
      <c r="F460" s="10" t="s">
        <v>4447</v>
      </c>
      <c r="G460" s="10" t="s">
        <v>3355</v>
      </c>
      <c r="H460" s="10" t="s">
        <v>4448</v>
      </c>
      <c r="I460" s="9"/>
      <c r="J460" s="10" t="s">
        <v>3247</v>
      </c>
      <c r="K460" s="10" t="s">
        <v>3247</v>
      </c>
    </row>
    <row r="461" customFormat="false" ht="23.85" hidden="false" customHeight="false" outlineLevel="0" collapsed="false">
      <c r="A461" s="9" t="n">
        <v>143</v>
      </c>
      <c r="B461" s="9" t="s">
        <v>1223</v>
      </c>
      <c r="C461" s="10" t="s">
        <v>4461</v>
      </c>
      <c r="D461" s="10" t="s">
        <v>27</v>
      </c>
      <c r="E461" s="9" t="s">
        <v>4462</v>
      </c>
      <c r="F461" s="10" t="s">
        <v>4463</v>
      </c>
      <c r="G461" s="9" t="s">
        <v>3242</v>
      </c>
      <c r="H461" s="10" t="s">
        <v>4464</v>
      </c>
      <c r="I461" s="9"/>
      <c r="J461" s="9" t="s">
        <v>2232</v>
      </c>
      <c r="K461" s="9" t="s">
        <v>3284</v>
      </c>
    </row>
    <row r="462" customFormat="false" ht="23.85" hidden="false" customHeight="false" outlineLevel="0" collapsed="false">
      <c r="A462" s="9" t="n">
        <v>143</v>
      </c>
      <c r="B462" s="9" t="s">
        <v>1223</v>
      </c>
      <c r="C462" s="10" t="s">
        <v>4461</v>
      </c>
      <c r="D462" s="10" t="s">
        <v>27</v>
      </c>
      <c r="E462" s="9" t="s">
        <v>4465</v>
      </c>
      <c r="F462" s="10" t="s">
        <v>4466</v>
      </c>
      <c r="G462" s="9" t="s">
        <v>3242</v>
      </c>
      <c r="H462" s="10" t="s">
        <v>4467</v>
      </c>
      <c r="I462" s="9"/>
      <c r="J462" s="9" t="s">
        <v>2232</v>
      </c>
      <c r="K462" s="9" t="s">
        <v>3284</v>
      </c>
    </row>
    <row r="463" customFormat="false" ht="23.85" hidden="false" customHeight="false" outlineLevel="0" collapsed="false">
      <c r="A463" s="9" t="n">
        <v>143</v>
      </c>
      <c r="B463" s="9" t="s">
        <v>1223</v>
      </c>
      <c r="C463" s="10" t="s">
        <v>4461</v>
      </c>
      <c r="D463" s="10" t="s">
        <v>27</v>
      </c>
      <c r="E463" s="9" t="s">
        <v>4468</v>
      </c>
      <c r="F463" s="10" t="s">
        <v>4469</v>
      </c>
      <c r="G463" s="9" t="s">
        <v>3242</v>
      </c>
      <c r="H463" s="10" t="s">
        <v>4470</v>
      </c>
      <c r="I463" s="9"/>
      <c r="J463" s="9" t="s">
        <v>2232</v>
      </c>
      <c r="K463" s="9" t="s">
        <v>3284</v>
      </c>
    </row>
    <row r="464" customFormat="false" ht="39.55" hidden="false" customHeight="false" outlineLevel="0" collapsed="false">
      <c r="A464" s="9" t="n">
        <v>143</v>
      </c>
      <c r="B464" s="9" t="s">
        <v>1223</v>
      </c>
      <c r="C464" s="10" t="s">
        <v>4461</v>
      </c>
      <c r="D464" s="10" t="s">
        <v>27</v>
      </c>
      <c r="E464" s="9" t="s">
        <v>4471</v>
      </c>
      <c r="F464" s="10" t="s">
        <v>4472</v>
      </c>
      <c r="G464" s="9" t="s">
        <v>3242</v>
      </c>
      <c r="H464" s="10" t="s">
        <v>4473</v>
      </c>
      <c r="I464" s="9" t="s">
        <v>4474</v>
      </c>
      <c r="J464" s="9" t="s">
        <v>2232</v>
      </c>
      <c r="K464" s="9" t="s">
        <v>3284</v>
      </c>
    </row>
    <row r="465" customFormat="false" ht="15" hidden="false" customHeight="false" outlineLevel="0" collapsed="false">
      <c r="A465" s="9" t="n">
        <v>144</v>
      </c>
      <c r="B465" s="9" t="s">
        <v>1240</v>
      </c>
      <c r="C465" s="10" t="s">
        <v>4475</v>
      </c>
      <c r="D465" s="10" t="s">
        <v>29</v>
      </c>
      <c r="E465" s="9" t="s">
        <v>4411</v>
      </c>
      <c r="F465" s="10" t="s">
        <v>4412</v>
      </c>
      <c r="G465" s="9" t="s">
        <v>3242</v>
      </c>
      <c r="H465" s="10" t="s">
        <v>4413</v>
      </c>
      <c r="I465" s="9"/>
      <c r="J465" s="10" t="s">
        <v>3247</v>
      </c>
      <c r="K465" s="10" t="s">
        <v>3247</v>
      </c>
    </row>
    <row r="466" customFormat="false" ht="15" hidden="false" customHeight="false" outlineLevel="0" collapsed="false">
      <c r="A466" s="9" t="n">
        <v>144</v>
      </c>
      <c r="B466" s="9" t="s">
        <v>1240</v>
      </c>
      <c r="C466" s="10" t="s">
        <v>4475</v>
      </c>
      <c r="D466" s="10" t="s">
        <v>29</v>
      </c>
      <c r="E466" s="9" t="s">
        <v>4476</v>
      </c>
      <c r="F466" s="10" t="s">
        <v>4477</v>
      </c>
      <c r="G466" s="9" t="s">
        <v>3242</v>
      </c>
      <c r="H466" s="10" t="s">
        <v>4478</v>
      </c>
      <c r="I466" s="9"/>
      <c r="J466" s="10" t="s">
        <v>3247</v>
      </c>
      <c r="K466" s="10" t="s">
        <v>3247</v>
      </c>
    </row>
    <row r="467" customFormat="false" ht="15" hidden="false" customHeight="false" outlineLevel="0" collapsed="false">
      <c r="A467" s="9" t="n">
        <v>144</v>
      </c>
      <c r="B467" s="9" t="s">
        <v>1240</v>
      </c>
      <c r="C467" s="10" t="s">
        <v>4475</v>
      </c>
      <c r="D467" s="10" t="s">
        <v>29</v>
      </c>
      <c r="E467" s="9" t="s">
        <v>4479</v>
      </c>
      <c r="F467" s="10" t="s">
        <v>4480</v>
      </c>
      <c r="G467" s="9" t="s">
        <v>3242</v>
      </c>
      <c r="H467" s="10" t="s">
        <v>4481</v>
      </c>
      <c r="I467" s="9"/>
      <c r="J467" s="9" t="s">
        <v>2232</v>
      </c>
      <c r="K467" s="9" t="s">
        <v>3284</v>
      </c>
    </row>
    <row r="468" customFormat="false" ht="15" hidden="false" customHeight="false" outlineLevel="0" collapsed="false">
      <c r="A468" s="9" t="n">
        <v>145</v>
      </c>
      <c r="B468" s="9" t="s">
        <v>1245</v>
      </c>
      <c r="C468" s="10" t="s">
        <v>4482</v>
      </c>
      <c r="D468" s="10" t="s">
        <v>27</v>
      </c>
      <c r="E468" s="9" t="s">
        <v>4483</v>
      </c>
      <c r="F468" s="10" t="s">
        <v>4484</v>
      </c>
      <c r="G468" s="9" t="s">
        <v>3242</v>
      </c>
      <c r="H468" s="10" t="s">
        <v>4485</v>
      </c>
      <c r="I468" s="9"/>
      <c r="J468" s="9" t="s">
        <v>2773</v>
      </c>
      <c r="K468" s="9" t="s">
        <v>2773</v>
      </c>
    </row>
    <row r="469" customFormat="false" ht="15" hidden="false" customHeight="false" outlineLevel="0" collapsed="false">
      <c r="A469" s="9" t="n">
        <v>145</v>
      </c>
      <c r="B469" s="9" t="s">
        <v>1245</v>
      </c>
      <c r="C469" s="10" t="s">
        <v>4482</v>
      </c>
      <c r="D469" s="10" t="s">
        <v>27</v>
      </c>
      <c r="E469" s="9" t="s">
        <v>4486</v>
      </c>
      <c r="F469" s="10" t="s">
        <v>4487</v>
      </c>
      <c r="G469" s="9" t="s">
        <v>3242</v>
      </c>
      <c r="H469" s="10" t="s">
        <v>4488</v>
      </c>
      <c r="I469" s="9"/>
      <c r="J469" s="9" t="s">
        <v>2773</v>
      </c>
      <c r="K469" s="9" t="s">
        <v>2773</v>
      </c>
    </row>
    <row r="470" customFormat="false" ht="15" hidden="false" customHeight="false" outlineLevel="0" collapsed="false">
      <c r="A470" s="9" t="n">
        <v>145</v>
      </c>
      <c r="B470" s="9" t="s">
        <v>1245</v>
      </c>
      <c r="C470" s="10" t="s">
        <v>4482</v>
      </c>
      <c r="D470" s="10" t="s">
        <v>27</v>
      </c>
      <c r="E470" s="9" t="s">
        <v>4489</v>
      </c>
      <c r="F470" s="10" t="s">
        <v>4490</v>
      </c>
      <c r="G470" s="9" t="s">
        <v>3242</v>
      </c>
      <c r="H470" s="10" t="s">
        <v>4491</v>
      </c>
      <c r="I470" s="9"/>
      <c r="J470" s="9" t="s">
        <v>2773</v>
      </c>
      <c r="K470" s="9" t="s">
        <v>2773</v>
      </c>
    </row>
    <row r="471" customFormat="false" ht="23.85" hidden="false" customHeight="false" outlineLevel="0" collapsed="false">
      <c r="A471" s="9" t="n">
        <v>146</v>
      </c>
      <c r="B471" s="9" t="s">
        <v>1250</v>
      </c>
      <c r="C471" s="10" t="s">
        <v>4492</v>
      </c>
      <c r="D471" s="10" t="s">
        <v>3503</v>
      </c>
      <c r="E471" s="9" t="s">
        <v>4456</v>
      </c>
      <c r="F471" s="10" t="s">
        <v>4420</v>
      </c>
      <c r="G471" s="9" t="s">
        <v>3242</v>
      </c>
      <c r="H471" s="10" t="s">
        <v>4421</v>
      </c>
      <c r="I471" s="9" t="s">
        <v>4493</v>
      </c>
      <c r="J471" s="9" t="s">
        <v>2232</v>
      </c>
      <c r="K471" s="9" t="s">
        <v>3284</v>
      </c>
    </row>
    <row r="472" customFormat="false" ht="23.85" hidden="false" customHeight="false" outlineLevel="0" collapsed="false">
      <c r="A472" s="9" t="n">
        <v>146</v>
      </c>
      <c r="B472" s="9" t="s">
        <v>1250</v>
      </c>
      <c r="C472" s="10" t="s">
        <v>4492</v>
      </c>
      <c r="D472" s="10" t="s">
        <v>3503</v>
      </c>
      <c r="E472" s="9" t="s">
        <v>4494</v>
      </c>
      <c r="F472" s="10" t="s">
        <v>4495</v>
      </c>
      <c r="G472" s="9" t="s">
        <v>3242</v>
      </c>
      <c r="H472" s="10" t="s">
        <v>4496</v>
      </c>
      <c r="I472" s="9"/>
      <c r="J472" s="9" t="s">
        <v>2232</v>
      </c>
      <c r="K472" s="9" t="s">
        <v>3284</v>
      </c>
    </row>
    <row r="473" customFormat="false" ht="23.85" hidden="false" customHeight="false" outlineLevel="0" collapsed="false">
      <c r="A473" s="9" t="n">
        <v>146</v>
      </c>
      <c r="B473" s="9" t="s">
        <v>1250</v>
      </c>
      <c r="C473" s="10" t="s">
        <v>4492</v>
      </c>
      <c r="D473" s="10" t="s">
        <v>3503</v>
      </c>
      <c r="E473" s="9" t="s">
        <v>4497</v>
      </c>
      <c r="F473" s="10" t="s">
        <v>4498</v>
      </c>
      <c r="G473" s="9" t="s">
        <v>3242</v>
      </c>
      <c r="H473" s="10" t="s">
        <v>4499</v>
      </c>
      <c r="I473" s="9"/>
      <c r="J473" s="9" t="s">
        <v>2773</v>
      </c>
      <c r="K473" s="9" t="s">
        <v>2773</v>
      </c>
    </row>
    <row r="474" customFormat="false" ht="23.85" hidden="false" customHeight="false" outlineLevel="0" collapsed="false">
      <c r="A474" s="9" t="n">
        <v>146</v>
      </c>
      <c r="B474" s="9" t="s">
        <v>1250</v>
      </c>
      <c r="C474" s="10" t="s">
        <v>4492</v>
      </c>
      <c r="D474" s="10" t="s">
        <v>3503</v>
      </c>
      <c r="E474" s="9" t="s">
        <v>4500</v>
      </c>
      <c r="F474" s="10" t="s">
        <v>4406</v>
      </c>
      <c r="G474" s="9" t="s">
        <v>3242</v>
      </c>
      <c r="H474" s="10" t="s">
        <v>4407</v>
      </c>
      <c r="I474" s="9" t="s">
        <v>4398</v>
      </c>
      <c r="J474" s="10" t="s">
        <v>3247</v>
      </c>
      <c r="K474" s="10" t="s">
        <v>3247</v>
      </c>
    </row>
    <row r="475" customFormat="false" ht="23.85" hidden="false" customHeight="false" outlineLevel="0" collapsed="false">
      <c r="A475" s="9" t="n">
        <v>147</v>
      </c>
      <c r="B475" s="9" t="s">
        <v>1262</v>
      </c>
      <c r="C475" s="10" t="s">
        <v>4501</v>
      </c>
      <c r="D475" s="10" t="s">
        <v>4232</v>
      </c>
      <c r="E475" s="9" t="s">
        <v>4452</v>
      </c>
      <c r="F475" s="10" t="s">
        <v>4453</v>
      </c>
      <c r="G475" s="9" t="s">
        <v>3242</v>
      </c>
      <c r="H475" s="10" t="s">
        <v>4454</v>
      </c>
      <c r="I475" s="9"/>
      <c r="J475" s="9" t="s">
        <v>2232</v>
      </c>
      <c r="K475" s="9" t="s">
        <v>3284</v>
      </c>
    </row>
    <row r="476" customFormat="false" ht="23.85" hidden="false" customHeight="false" outlineLevel="0" collapsed="false">
      <c r="A476" s="9" t="n">
        <v>147</v>
      </c>
      <c r="B476" s="9" t="s">
        <v>1262</v>
      </c>
      <c r="C476" s="10" t="s">
        <v>4501</v>
      </c>
      <c r="D476" s="10" t="s">
        <v>4232</v>
      </c>
      <c r="E476" s="9" t="s">
        <v>4502</v>
      </c>
      <c r="F476" s="10" t="s">
        <v>4420</v>
      </c>
      <c r="G476" s="9" t="s">
        <v>3242</v>
      </c>
      <c r="H476" s="10" t="s">
        <v>4421</v>
      </c>
      <c r="I476" s="9"/>
      <c r="J476" s="9" t="s">
        <v>2232</v>
      </c>
      <c r="K476" s="9" t="s">
        <v>3284</v>
      </c>
    </row>
    <row r="477" customFormat="false" ht="26.85" hidden="false" customHeight="false" outlineLevel="0" collapsed="false">
      <c r="A477" s="9" t="n">
        <v>147</v>
      </c>
      <c r="B477" s="9" t="s">
        <v>1262</v>
      </c>
      <c r="C477" s="10" t="s">
        <v>4501</v>
      </c>
      <c r="D477" s="10" t="s">
        <v>4232</v>
      </c>
      <c r="E477" s="9" t="s">
        <v>3244</v>
      </c>
      <c r="F477" s="10" t="s">
        <v>3245</v>
      </c>
      <c r="G477" s="9" t="s">
        <v>3242</v>
      </c>
      <c r="H477" s="10" t="s">
        <v>3246</v>
      </c>
      <c r="I477" s="9" t="s">
        <v>4503</v>
      </c>
      <c r="J477" s="10" t="s">
        <v>3247</v>
      </c>
      <c r="K477" s="10" t="s">
        <v>3247</v>
      </c>
    </row>
    <row r="478" customFormat="false" ht="15" hidden="false" customHeight="false" outlineLevel="0" collapsed="false">
      <c r="A478" s="9" t="n">
        <v>148</v>
      </c>
      <c r="B478" s="9" t="s">
        <v>1273</v>
      </c>
      <c r="C478" s="10" t="s">
        <v>1274</v>
      </c>
      <c r="D478" s="10" t="s">
        <v>24</v>
      </c>
      <c r="E478" s="9" t="s">
        <v>4143</v>
      </c>
      <c r="F478" s="10" t="s">
        <v>4144</v>
      </c>
      <c r="G478" s="9" t="s">
        <v>3242</v>
      </c>
      <c r="H478" s="10" t="s">
        <v>4145</v>
      </c>
      <c r="I478" s="9"/>
      <c r="J478" s="9" t="s">
        <v>3039</v>
      </c>
      <c r="K478" s="9" t="s">
        <v>3039</v>
      </c>
    </row>
    <row r="479" customFormat="false" ht="15" hidden="false" customHeight="false" outlineLevel="0" collapsed="false">
      <c r="A479" s="9" t="n">
        <v>148</v>
      </c>
      <c r="B479" s="9" t="s">
        <v>1273</v>
      </c>
      <c r="C479" s="10" t="s">
        <v>1274</v>
      </c>
      <c r="D479" s="10" t="s">
        <v>24</v>
      </c>
      <c r="E479" s="9" t="s">
        <v>4504</v>
      </c>
      <c r="F479" s="10" t="s">
        <v>4505</v>
      </c>
      <c r="G479" s="9" t="s">
        <v>3242</v>
      </c>
      <c r="H479" s="10" t="s">
        <v>4506</v>
      </c>
      <c r="I479" s="9"/>
      <c r="J479" s="10" t="s">
        <v>3247</v>
      </c>
      <c r="K479" s="10" t="s">
        <v>3247</v>
      </c>
    </row>
    <row r="480" customFormat="false" ht="15" hidden="false" customHeight="false" outlineLevel="0" collapsed="false">
      <c r="A480" s="9" t="n">
        <v>148</v>
      </c>
      <c r="B480" s="9" t="s">
        <v>1273</v>
      </c>
      <c r="C480" s="10" t="s">
        <v>1274</v>
      </c>
      <c r="D480" s="10" t="s">
        <v>24</v>
      </c>
      <c r="E480" s="9" t="s">
        <v>4146</v>
      </c>
      <c r="F480" s="10" t="s">
        <v>3241</v>
      </c>
      <c r="G480" s="9" t="s">
        <v>3242</v>
      </c>
      <c r="H480" s="10" t="s">
        <v>3243</v>
      </c>
      <c r="I480" s="9"/>
      <c r="J480" s="9" t="s">
        <v>2773</v>
      </c>
      <c r="K480" s="9" t="s">
        <v>2773</v>
      </c>
    </row>
    <row r="481" customFormat="false" ht="15" hidden="false" customHeight="false" outlineLevel="0" collapsed="false">
      <c r="A481" s="9" t="n">
        <v>149</v>
      </c>
      <c r="B481" s="9" t="s">
        <v>1277</v>
      </c>
      <c r="C481" s="10" t="s">
        <v>1278</v>
      </c>
      <c r="D481" s="10" t="s">
        <v>28</v>
      </c>
      <c r="E481" s="9" t="s">
        <v>3244</v>
      </c>
      <c r="F481" s="10" t="s">
        <v>3245</v>
      </c>
      <c r="G481" s="9" t="s">
        <v>3242</v>
      </c>
      <c r="H481" s="10" t="s">
        <v>3246</v>
      </c>
      <c r="I481" s="9" t="s">
        <v>4507</v>
      </c>
      <c r="J481" s="10" t="s">
        <v>3247</v>
      </c>
      <c r="K481" s="10" t="s">
        <v>3247</v>
      </c>
    </row>
    <row r="482" customFormat="false" ht="23.85" hidden="false" customHeight="false" outlineLevel="0" collapsed="false">
      <c r="A482" s="9" t="n">
        <v>149</v>
      </c>
      <c r="B482" s="9" t="s">
        <v>1277</v>
      </c>
      <c r="C482" s="10" t="s">
        <v>1278</v>
      </c>
      <c r="D482" s="10" t="s">
        <v>28</v>
      </c>
      <c r="E482" s="9" t="s">
        <v>4424</v>
      </c>
      <c r="F482" s="10" t="s">
        <v>4425</v>
      </c>
      <c r="G482" s="9" t="s">
        <v>3242</v>
      </c>
      <c r="H482" s="10" t="s">
        <v>4426</v>
      </c>
      <c r="I482" s="9"/>
      <c r="J482" s="10" t="s">
        <v>3247</v>
      </c>
      <c r="K482" s="10" t="s">
        <v>3247</v>
      </c>
    </row>
    <row r="483" customFormat="false" ht="15" hidden="false" customHeight="false" outlineLevel="0" collapsed="false">
      <c r="A483" s="9" t="n">
        <v>150</v>
      </c>
      <c r="B483" s="9" t="s">
        <v>1281</v>
      </c>
      <c r="C483" s="10" t="s">
        <v>1282</v>
      </c>
      <c r="D483" s="10" t="s">
        <v>26</v>
      </c>
      <c r="E483" s="9" t="s">
        <v>4431</v>
      </c>
      <c r="F483" s="10" t="s">
        <v>4432</v>
      </c>
      <c r="G483" s="9" t="s">
        <v>3242</v>
      </c>
      <c r="H483" s="10" t="s">
        <v>4433</v>
      </c>
      <c r="I483" s="9"/>
      <c r="J483" s="9" t="s">
        <v>2773</v>
      </c>
      <c r="K483" s="9" t="s">
        <v>2773</v>
      </c>
    </row>
    <row r="484" customFormat="false" ht="15" hidden="false" customHeight="false" outlineLevel="0" collapsed="false">
      <c r="A484" s="9" t="n">
        <v>150</v>
      </c>
      <c r="B484" s="9" t="s">
        <v>1281</v>
      </c>
      <c r="C484" s="10" t="s">
        <v>1282</v>
      </c>
      <c r="D484" s="10" t="s">
        <v>26</v>
      </c>
      <c r="E484" s="9" t="s">
        <v>4468</v>
      </c>
      <c r="F484" s="10" t="s">
        <v>4469</v>
      </c>
      <c r="G484" s="9" t="s">
        <v>3242</v>
      </c>
      <c r="H484" s="10" t="s">
        <v>4470</v>
      </c>
      <c r="I484" s="9" t="s">
        <v>4508</v>
      </c>
      <c r="J484" s="9" t="s">
        <v>2232</v>
      </c>
      <c r="K484" s="9" t="s">
        <v>3284</v>
      </c>
    </row>
    <row r="485" customFormat="false" ht="15" hidden="false" customHeight="false" outlineLevel="0" collapsed="false">
      <c r="A485" s="9" t="n">
        <v>150</v>
      </c>
      <c r="B485" s="9" t="s">
        <v>1281</v>
      </c>
      <c r="C485" s="10" t="s">
        <v>1282</v>
      </c>
      <c r="D485" s="10" t="s">
        <v>26</v>
      </c>
      <c r="E485" s="9" t="s">
        <v>4509</v>
      </c>
      <c r="F485" s="10" t="s">
        <v>4453</v>
      </c>
      <c r="G485" s="9" t="s">
        <v>3242</v>
      </c>
      <c r="H485" s="10" t="s">
        <v>4454</v>
      </c>
      <c r="I485" s="9" t="s">
        <v>4510</v>
      </c>
      <c r="J485" s="9" t="s">
        <v>2232</v>
      </c>
      <c r="K485" s="9" t="s">
        <v>3284</v>
      </c>
    </row>
    <row r="486" customFormat="false" ht="15" hidden="false" customHeight="false" outlineLevel="0" collapsed="false">
      <c r="A486" s="9" t="n">
        <v>150</v>
      </c>
      <c r="B486" s="9" t="s">
        <v>1281</v>
      </c>
      <c r="C486" s="10" t="s">
        <v>1282</v>
      </c>
      <c r="D486" s="10" t="s">
        <v>26</v>
      </c>
      <c r="E486" s="9" t="s">
        <v>4486</v>
      </c>
      <c r="F486" s="10" t="s">
        <v>4487</v>
      </c>
      <c r="G486" s="9" t="s">
        <v>3242</v>
      </c>
      <c r="H486" s="10" t="s">
        <v>4488</v>
      </c>
      <c r="I486" s="9"/>
      <c r="J486" s="9" t="s">
        <v>2773</v>
      </c>
      <c r="K486" s="9" t="s">
        <v>2773</v>
      </c>
    </row>
    <row r="487" customFormat="false" ht="15" hidden="false" customHeight="false" outlineLevel="0" collapsed="false">
      <c r="A487" s="9" t="n">
        <v>151</v>
      </c>
      <c r="B487" s="9" t="s">
        <v>1285</v>
      </c>
      <c r="C487" s="10" t="s">
        <v>4511</v>
      </c>
      <c r="D487" s="10" t="s">
        <v>4512</v>
      </c>
      <c r="E487" s="9" t="s">
        <v>4513</v>
      </c>
      <c r="F487" s="10" t="s">
        <v>4514</v>
      </c>
      <c r="G487" s="9" t="s">
        <v>3242</v>
      </c>
      <c r="H487" s="10" t="s">
        <v>4515</v>
      </c>
      <c r="I487" s="9"/>
      <c r="J487" s="9" t="s">
        <v>3062</v>
      </c>
      <c r="K487" s="9" t="s">
        <v>3062</v>
      </c>
    </row>
    <row r="488" customFormat="false" ht="15" hidden="false" customHeight="false" outlineLevel="0" collapsed="false">
      <c r="A488" s="9" t="n">
        <v>151</v>
      </c>
      <c r="B488" s="9" t="s">
        <v>1285</v>
      </c>
      <c r="C488" s="10" t="s">
        <v>4511</v>
      </c>
      <c r="D488" s="10" t="s">
        <v>4512</v>
      </c>
      <c r="E488" s="9" t="s">
        <v>4516</v>
      </c>
      <c r="F488" s="10" t="s">
        <v>4517</v>
      </c>
      <c r="G488" s="9" t="s">
        <v>3242</v>
      </c>
      <c r="H488" s="10" t="s">
        <v>4518</v>
      </c>
      <c r="I488" s="9"/>
      <c r="J488" s="9" t="s">
        <v>3062</v>
      </c>
      <c r="K488" s="9" t="s">
        <v>3062</v>
      </c>
    </row>
    <row r="489" customFormat="false" ht="15" hidden="false" customHeight="false" outlineLevel="0" collapsed="false">
      <c r="A489" s="9" t="n">
        <v>152</v>
      </c>
      <c r="B489" s="9" t="s">
        <v>1293</v>
      </c>
      <c r="C489" s="10" t="s">
        <v>4519</v>
      </c>
      <c r="D489" s="10" t="s">
        <v>27</v>
      </c>
      <c r="E489" s="9" t="s">
        <v>4520</v>
      </c>
      <c r="F489" s="10" t="s">
        <v>4521</v>
      </c>
      <c r="G489" s="9" t="s">
        <v>3330</v>
      </c>
      <c r="H489" s="10" t="s">
        <v>4522</v>
      </c>
      <c r="I489" s="9"/>
      <c r="J489" s="10" t="s">
        <v>3247</v>
      </c>
      <c r="K489" s="10" t="s">
        <v>3247</v>
      </c>
    </row>
    <row r="490" customFormat="false" ht="26.85" hidden="false" customHeight="false" outlineLevel="0" collapsed="false">
      <c r="A490" s="9" t="n">
        <v>152</v>
      </c>
      <c r="B490" s="9" t="s">
        <v>1293</v>
      </c>
      <c r="C490" s="10" t="s">
        <v>4519</v>
      </c>
      <c r="D490" s="10" t="s">
        <v>27</v>
      </c>
      <c r="E490" s="9" t="s">
        <v>4523</v>
      </c>
      <c r="F490" s="10" t="s">
        <v>4524</v>
      </c>
      <c r="G490" s="9" t="s">
        <v>3242</v>
      </c>
      <c r="H490" s="10" t="s">
        <v>4525</v>
      </c>
      <c r="I490" s="9"/>
      <c r="J490" s="9" t="s">
        <v>3039</v>
      </c>
      <c r="K490" s="9" t="s">
        <v>3039</v>
      </c>
    </row>
    <row r="491" customFormat="false" ht="15" hidden="false" customHeight="false" outlineLevel="0" collapsed="false">
      <c r="A491" s="9" t="n">
        <v>152</v>
      </c>
      <c r="B491" s="9" t="s">
        <v>1293</v>
      </c>
      <c r="C491" s="10" t="s">
        <v>4519</v>
      </c>
      <c r="D491" s="10" t="s">
        <v>27</v>
      </c>
      <c r="E491" s="9" t="s">
        <v>4526</v>
      </c>
      <c r="F491" s="10" t="s">
        <v>4527</v>
      </c>
      <c r="G491" s="9" t="s">
        <v>3242</v>
      </c>
      <c r="H491" s="10" t="s">
        <v>4528</v>
      </c>
      <c r="I491" s="9"/>
      <c r="J491" s="9" t="s">
        <v>3062</v>
      </c>
      <c r="K491" s="9" t="s">
        <v>3062</v>
      </c>
    </row>
    <row r="492" customFormat="false" ht="23.85" hidden="false" customHeight="false" outlineLevel="0" collapsed="false">
      <c r="A492" s="9" t="n">
        <v>152</v>
      </c>
      <c r="B492" s="9" t="s">
        <v>1293</v>
      </c>
      <c r="C492" s="10" t="s">
        <v>4519</v>
      </c>
      <c r="D492" s="10" t="s">
        <v>27</v>
      </c>
      <c r="E492" s="9" t="s">
        <v>4529</v>
      </c>
      <c r="F492" s="10" t="s">
        <v>4530</v>
      </c>
      <c r="G492" s="9" t="s">
        <v>3330</v>
      </c>
      <c r="H492" s="10" t="s">
        <v>4531</v>
      </c>
      <c r="I492" s="9" t="s">
        <v>4532</v>
      </c>
      <c r="J492" s="10" t="s">
        <v>3247</v>
      </c>
      <c r="K492" s="10" t="s">
        <v>3247</v>
      </c>
    </row>
    <row r="493" customFormat="false" ht="15" hidden="false" customHeight="false" outlineLevel="0" collapsed="false">
      <c r="A493" s="9" t="n">
        <v>153</v>
      </c>
      <c r="B493" s="9" t="s">
        <v>1300</v>
      </c>
      <c r="C493" s="10" t="s">
        <v>4533</v>
      </c>
      <c r="D493" s="10" t="s">
        <v>26</v>
      </c>
      <c r="E493" s="9" t="s">
        <v>4534</v>
      </c>
      <c r="F493" s="10" t="s">
        <v>4535</v>
      </c>
      <c r="G493" s="9" t="s">
        <v>3242</v>
      </c>
      <c r="H493" s="10" t="s">
        <v>4536</v>
      </c>
      <c r="I493" s="9"/>
      <c r="J493" s="9" t="s">
        <v>3062</v>
      </c>
      <c r="K493" s="9" t="s">
        <v>3062</v>
      </c>
    </row>
    <row r="494" customFormat="false" ht="15" hidden="false" customHeight="false" outlineLevel="0" collapsed="false">
      <c r="A494" s="9" t="n">
        <v>153</v>
      </c>
      <c r="B494" s="9" t="s">
        <v>1300</v>
      </c>
      <c r="C494" s="10" t="s">
        <v>4533</v>
      </c>
      <c r="D494" s="10" t="s">
        <v>26</v>
      </c>
      <c r="E494" s="9" t="s">
        <v>4513</v>
      </c>
      <c r="F494" s="10" t="s">
        <v>4514</v>
      </c>
      <c r="G494" s="9" t="s">
        <v>3242</v>
      </c>
      <c r="H494" s="10" t="s">
        <v>4515</v>
      </c>
      <c r="I494" s="9"/>
      <c r="J494" s="9" t="s">
        <v>3062</v>
      </c>
      <c r="K494" s="9" t="s">
        <v>3062</v>
      </c>
    </row>
    <row r="495" customFormat="false" ht="15" hidden="false" customHeight="false" outlineLevel="0" collapsed="false">
      <c r="A495" s="9" t="n">
        <v>153</v>
      </c>
      <c r="B495" s="9" t="s">
        <v>1300</v>
      </c>
      <c r="C495" s="10" t="s">
        <v>4533</v>
      </c>
      <c r="D495" s="10" t="s">
        <v>26</v>
      </c>
      <c r="E495" s="9" t="s">
        <v>4537</v>
      </c>
      <c r="F495" s="10" t="s">
        <v>4538</v>
      </c>
      <c r="G495" s="9" t="s">
        <v>3242</v>
      </c>
      <c r="H495" s="10" t="s">
        <v>4539</v>
      </c>
      <c r="I495" s="9"/>
      <c r="J495" s="9" t="s">
        <v>3062</v>
      </c>
      <c r="K495" s="9" t="s">
        <v>3062</v>
      </c>
    </row>
    <row r="496" customFormat="false" ht="23.85" hidden="false" customHeight="false" outlineLevel="0" collapsed="false">
      <c r="A496" s="9" t="n">
        <v>153</v>
      </c>
      <c r="B496" s="9" t="s">
        <v>1300</v>
      </c>
      <c r="C496" s="10" t="s">
        <v>4533</v>
      </c>
      <c r="D496" s="10" t="s">
        <v>26</v>
      </c>
      <c r="E496" s="9" t="s">
        <v>4529</v>
      </c>
      <c r="F496" s="10" t="s">
        <v>4530</v>
      </c>
      <c r="G496" s="9" t="s">
        <v>3330</v>
      </c>
      <c r="H496" s="10" t="s">
        <v>4531</v>
      </c>
      <c r="I496" s="9" t="s">
        <v>4532</v>
      </c>
      <c r="J496" s="10" t="s">
        <v>3247</v>
      </c>
      <c r="K496" s="10" t="s">
        <v>3247</v>
      </c>
    </row>
    <row r="497" customFormat="false" ht="25.35" hidden="false" customHeight="false" outlineLevel="0" collapsed="false">
      <c r="A497" s="9" t="n">
        <v>154</v>
      </c>
      <c r="B497" s="9" t="s">
        <v>1307</v>
      </c>
      <c r="C497" s="10" t="s">
        <v>4540</v>
      </c>
      <c r="D497" s="10" t="s">
        <v>25</v>
      </c>
      <c r="E497" s="9" t="s">
        <v>4541</v>
      </c>
      <c r="F497" s="10" t="s">
        <v>4542</v>
      </c>
      <c r="G497" s="9" t="s">
        <v>3242</v>
      </c>
      <c r="H497" s="10" t="s">
        <v>4543</v>
      </c>
      <c r="I497" s="9"/>
      <c r="J497" s="9" t="s">
        <v>3062</v>
      </c>
      <c r="K497" s="9" t="s">
        <v>3062</v>
      </c>
    </row>
    <row r="498" customFormat="false" ht="15" hidden="false" customHeight="false" outlineLevel="0" collapsed="false">
      <c r="A498" s="9" t="n">
        <v>154</v>
      </c>
      <c r="B498" s="9" t="s">
        <v>1307</v>
      </c>
      <c r="C498" s="10" t="s">
        <v>4540</v>
      </c>
      <c r="D498" s="10" t="s">
        <v>25</v>
      </c>
      <c r="E498" s="9" t="s">
        <v>4544</v>
      </c>
      <c r="F498" s="10" t="s">
        <v>4545</v>
      </c>
      <c r="G498" s="9" t="s">
        <v>3330</v>
      </c>
      <c r="H498" s="10" t="s">
        <v>4546</v>
      </c>
      <c r="I498" s="9"/>
      <c r="J498" s="10" t="s">
        <v>3247</v>
      </c>
      <c r="K498" s="10" t="s">
        <v>3247</v>
      </c>
    </row>
    <row r="499" customFormat="false" ht="23.85" hidden="false" customHeight="false" outlineLevel="0" collapsed="false">
      <c r="A499" s="9" t="n">
        <v>154</v>
      </c>
      <c r="B499" s="9" t="s">
        <v>1307</v>
      </c>
      <c r="C499" s="10" t="s">
        <v>4540</v>
      </c>
      <c r="D499" s="10" t="s">
        <v>25</v>
      </c>
      <c r="E499" s="9" t="s">
        <v>4547</v>
      </c>
      <c r="F499" s="10" t="s">
        <v>4548</v>
      </c>
      <c r="G499" s="9" t="s">
        <v>3330</v>
      </c>
      <c r="H499" s="10" t="s">
        <v>4549</v>
      </c>
      <c r="I499" s="9" t="s">
        <v>4550</v>
      </c>
      <c r="J499" s="10" t="s">
        <v>3247</v>
      </c>
      <c r="K499" s="10" t="s">
        <v>3247</v>
      </c>
    </row>
    <row r="500" customFormat="false" ht="26.85" hidden="false" customHeight="false" outlineLevel="0" collapsed="false">
      <c r="A500" s="9" t="n">
        <v>155</v>
      </c>
      <c r="B500" s="9" t="s">
        <v>1316</v>
      </c>
      <c r="C500" s="10" t="s">
        <v>1317</v>
      </c>
      <c r="D500" s="10" t="s">
        <v>27</v>
      </c>
      <c r="E500" s="9" t="s">
        <v>4551</v>
      </c>
      <c r="F500" s="10" t="s">
        <v>4552</v>
      </c>
      <c r="G500" s="9" t="s">
        <v>3330</v>
      </c>
      <c r="H500" s="10" t="s">
        <v>4553</v>
      </c>
      <c r="I500" s="9" t="s">
        <v>4554</v>
      </c>
      <c r="J500" s="10" t="s">
        <v>3247</v>
      </c>
      <c r="K500" s="10" t="s">
        <v>3247</v>
      </c>
    </row>
    <row r="501" customFormat="false" ht="26.85" hidden="false" customHeight="false" outlineLevel="0" collapsed="false">
      <c r="A501" s="9" t="n">
        <v>155</v>
      </c>
      <c r="B501" s="9" t="s">
        <v>1316</v>
      </c>
      <c r="C501" s="10" t="s">
        <v>1317</v>
      </c>
      <c r="D501" s="10" t="s">
        <v>27</v>
      </c>
      <c r="E501" s="9" t="s">
        <v>4555</v>
      </c>
      <c r="F501" s="10" t="s">
        <v>4556</v>
      </c>
      <c r="G501" s="9" t="s">
        <v>3330</v>
      </c>
      <c r="H501" s="10" t="s">
        <v>4557</v>
      </c>
      <c r="I501" s="9" t="s">
        <v>4554</v>
      </c>
      <c r="J501" s="10" t="s">
        <v>3247</v>
      </c>
      <c r="K501" s="10" t="s">
        <v>3247</v>
      </c>
    </row>
    <row r="502" customFormat="false" ht="26.85" hidden="false" customHeight="false" outlineLevel="0" collapsed="false">
      <c r="A502" s="9" t="n">
        <v>155</v>
      </c>
      <c r="B502" s="9" t="s">
        <v>1316</v>
      </c>
      <c r="C502" s="10" t="s">
        <v>1317</v>
      </c>
      <c r="D502" s="10" t="s">
        <v>27</v>
      </c>
      <c r="E502" s="9" t="s">
        <v>4558</v>
      </c>
      <c r="F502" s="10" t="s">
        <v>4559</v>
      </c>
      <c r="G502" s="9" t="s">
        <v>3242</v>
      </c>
      <c r="H502" s="10" t="s">
        <v>4560</v>
      </c>
      <c r="I502" s="9" t="s">
        <v>4561</v>
      </c>
      <c r="J502" s="9" t="s">
        <v>2232</v>
      </c>
      <c r="K502" s="9" t="s">
        <v>3284</v>
      </c>
    </row>
    <row r="503" customFormat="false" ht="15" hidden="false" customHeight="false" outlineLevel="0" collapsed="false">
      <c r="A503" s="9" t="n">
        <v>156</v>
      </c>
      <c r="B503" s="9" t="s">
        <v>486</v>
      </c>
      <c r="C503" s="10" t="s">
        <v>4562</v>
      </c>
      <c r="D503" s="10" t="s">
        <v>28</v>
      </c>
      <c r="E503" s="9" t="s">
        <v>4563</v>
      </c>
      <c r="F503" s="10" t="s">
        <v>3463</v>
      </c>
      <c r="G503" s="9" t="s">
        <v>3242</v>
      </c>
      <c r="H503" s="10" t="s">
        <v>3464</v>
      </c>
      <c r="I503" s="9"/>
      <c r="J503" s="9" t="s">
        <v>2232</v>
      </c>
      <c r="K503" s="9" t="s">
        <v>3284</v>
      </c>
    </row>
    <row r="504" customFormat="false" ht="15" hidden="false" customHeight="false" outlineLevel="0" collapsed="false">
      <c r="A504" s="9" t="n">
        <v>156</v>
      </c>
      <c r="B504" s="9" t="s">
        <v>486</v>
      </c>
      <c r="C504" s="10" t="s">
        <v>4562</v>
      </c>
      <c r="D504" s="10" t="s">
        <v>28</v>
      </c>
      <c r="E504" s="9" t="s">
        <v>4564</v>
      </c>
      <c r="F504" s="10" t="s">
        <v>3460</v>
      </c>
      <c r="G504" s="9" t="s">
        <v>3242</v>
      </c>
      <c r="H504" s="10" t="s">
        <v>3461</v>
      </c>
      <c r="I504" s="9"/>
      <c r="J504" s="9" t="s">
        <v>2232</v>
      </c>
      <c r="K504" s="9" t="s">
        <v>3284</v>
      </c>
    </row>
    <row r="505" customFormat="false" ht="15" hidden="false" customHeight="false" outlineLevel="0" collapsed="false">
      <c r="A505" s="9" t="n">
        <v>156</v>
      </c>
      <c r="B505" s="9" t="s">
        <v>486</v>
      </c>
      <c r="C505" s="10" t="s">
        <v>4562</v>
      </c>
      <c r="D505" s="10" t="s">
        <v>28</v>
      </c>
      <c r="E505" s="9" t="s">
        <v>4565</v>
      </c>
      <c r="F505" s="10" t="s">
        <v>3466</v>
      </c>
      <c r="G505" s="9" t="s">
        <v>3242</v>
      </c>
      <c r="H505" s="10" t="s">
        <v>3467</v>
      </c>
      <c r="I505" s="9"/>
      <c r="J505" s="10" t="s">
        <v>3247</v>
      </c>
      <c r="K505" s="10" t="s">
        <v>3247</v>
      </c>
    </row>
    <row r="506" customFormat="false" ht="15" hidden="false" customHeight="false" outlineLevel="0" collapsed="false">
      <c r="A506" s="9" t="n">
        <v>156</v>
      </c>
      <c r="B506" s="9" t="s">
        <v>486</v>
      </c>
      <c r="C506" s="10" t="s">
        <v>4562</v>
      </c>
      <c r="D506" s="10" t="s">
        <v>28</v>
      </c>
      <c r="E506" s="9" t="s">
        <v>4566</v>
      </c>
      <c r="F506" s="10" t="s">
        <v>4567</v>
      </c>
      <c r="G506" s="9" t="s">
        <v>3242</v>
      </c>
      <c r="H506" s="10" t="s">
        <v>4568</v>
      </c>
      <c r="I506" s="9"/>
      <c r="J506" s="9" t="s">
        <v>2773</v>
      </c>
      <c r="K506" s="9" t="s">
        <v>2773</v>
      </c>
    </row>
    <row r="507" customFormat="false" ht="26.85" hidden="false" customHeight="false" outlineLevel="0" collapsed="false">
      <c r="A507" s="9" t="n">
        <v>157</v>
      </c>
      <c r="B507" s="9" t="s">
        <v>495</v>
      </c>
      <c r="C507" s="10" t="s">
        <v>4569</v>
      </c>
      <c r="D507" s="10" t="s">
        <v>28</v>
      </c>
      <c r="E507" s="9" t="s">
        <v>4570</v>
      </c>
      <c r="F507" s="10" t="s">
        <v>3470</v>
      </c>
      <c r="G507" s="9" t="s">
        <v>3242</v>
      </c>
      <c r="H507" s="10" t="s">
        <v>3471</v>
      </c>
      <c r="I507" s="9"/>
      <c r="J507" s="9" t="s">
        <v>2232</v>
      </c>
      <c r="K507" s="9" t="s">
        <v>3284</v>
      </c>
    </row>
    <row r="508" customFormat="false" ht="15" hidden="false" customHeight="false" outlineLevel="0" collapsed="false">
      <c r="A508" s="9" t="n">
        <v>157</v>
      </c>
      <c r="B508" s="9" t="s">
        <v>495</v>
      </c>
      <c r="C508" s="10" t="s">
        <v>4569</v>
      </c>
      <c r="D508" s="10" t="s">
        <v>28</v>
      </c>
      <c r="E508" s="9" t="s">
        <v>4571</v>
      </c>
      <c r="F508" s="10" t="s">
        <v>3473</v>
      </c>
      <c r="G508" s="9" t="s">
        <v>3242</v>
      </c>
      <c r="H508" s="10" t="s">
        <v>3474</v>
      </c>
      <c r="I508" s="9"/>
      <c r="J508" s="9" t="s">
        <v>2232</v>
      </c>
      <c r="K508" s="9" t="s">
        <v>3284</v>
      </c>
    </row>
    <row r="509" customFormat="false" ht="26.85" hidden="false" customHeight="false" outlineLevel="0" collapsed="false">
      <c r="A509" s="9" t="n">
        <v>157</v>
      </c>
      <c r="B509" s="9" t="s">
        <v>495</v>
      </c>
      <c r="C509" s="10" t="s">
        <v>4569</v>
      </c>
      <c r="D509" s="10" t="s">
        <v>28</v>
      </c>
      <c r="E509" s="9" t="s">
        <v>4572</v>
      </c>
      <c r="F509" s="10" t="s">
        <v>4573</v>
      </c>
      <c r="G509" s="9" t="s">
        <v>3242</v>
      </c>
      <c r="H509" s="10" t="s">
        <v>4574</v>
      </c>
      <c r="I509" s="9"/>
      <c r="J509" s="9" t="s">
        <v>2232</v>
      </c>
      <c r="K509" s="9" t="s">
        <v>3284</v>
      </c>
    </row>
    <row r="510" customFormat="false" ht="15" hidden="false" customHeight="false" outlineLevel="0" collapsed="false">
      <c r="A510" s="9" t="n">
        <v>157</v>
      </c>
      <c r="B510" s="9" t="s">
        <v>495</v>
      </c>
      <c r="C510" s="10" t="s">
        <v>4569</v>
      </c>
      <c r="D510" s="10" t="s">
        <v>28</v>
      </c>
      <c r="E510" s="9" t="s">
        <v>4575</v>
      </c>
      <c r="F510" s="10" t="s">
        <v>4576</v>
      </c>
      <c r="G510" s="9" t="s">
        <v>3242</v>
      </c>
      <c r="H510" s="10" t="s">
        <v>4577</v>
      </c>
      <c r="I510" s="9"/>
      <c r="J510" s="9" t="s">
        <v>2232</v>
      </c>
      <c r="K510" s="9" t="s">
        <v>3284</v>
      </c>
    </row>
    <row r="511" customFormat="false" ht="26.85" hidden="false" customHeight="false" outlineLevel="0" collapsed="false">
      <c r="A511" s="9" t="n">
        <v>158</v>
      </c>
      <c r="B511" s="9" t="s">
        <v>502</v>
      </c>
      <c r="C511" s="10" t="s">
        <v>4578</v>
      </c>
      <c r="D511" s="10" t="s">
        <v>3482</v>
      </c>
      <c r="E511" s="9" t="s">
        <v>4579</v>
      </c>
      <c r="F511" s="10" t="s">
        <v>3484</v>
      </c>
      <c r="G511" s="9" t="s">
        <v>3242</v>
      </c>
      <c r="H511" s="10" t="s">
        <v>3485</v>
      </c>
      <c r="I511" s="9"/>
      <c r="J511" s="9" t="s">
        <v>2232</v>
      </c>
      <c r="K511" s="10" t="s">
        <v>3247</v>
      </c>
    </row>
    <row r="512" customFormat="false" ht="23.85" hidden="false" customHeight="false" outlineLevel="0" collapsed="false">
      <c r="A512" s="9" t="n">
        <v>158</v>
      </c>
      <c r="B512" s="9" t="s">
        <v>502</v>
      </c>
      <c r="C512" s="10" t="s">
        <v>4578</v>
      </c>
      <c r="D512" s="10" t="s">
        <v>3482</v>
      </c>
      <c r="E512" s="9" t="s">
        <v>4580</v>
      </c>
      <c r="F512" s="10" t="s">
        <v>3487</v>
      </c>
      <c r="G512" s="9" t="s">
        <v>3242</v>
      </c>
      <c r="H512" s="10" t="s">
        <v>3488</v>
      </c>
      <c r="I512" s="9"/>
      <c r="J512" s="9" t="s">
        <v>2232</v>
      </c>
      <c r="K512" s="9" t="s">
        <v>3284</v>
      </c>
    </row>
    <row r="513" customFormat="false" ht="23.85" hidden="false" customHeight="false" outlineLevel="0" collapsed="false">
      <c r="A513" s="9" t="n">
        <v>158</v>
      </c>
      <c r="B513" s="9" t="s">
        <v>502</v>
      </c>
      <c r="C513" s="10" t="s">
        <v>4578</v>
      </c>
      <c r="D513" s="10" t="s">
        <v>3482</v>
      </c>
      <c r="E513" s="9" t="s">
        <v>4581</v>
      </c>
      <c r="F513" s="10" t="s">
        <v>3493</v>
      </c>
      <c r="G513" s="9" t="s">
        <v>3242</v>
      </c>
      <c r="H513" s="10" t="s">
        <v>3494</v>
      </c>
      <c r="I513" s="9" t="s">
        <v>4582</v>
      </c>
      <c r="J513" s="9" t="s">
        <v>2232</v>
      </c>
      <c r="K513" s="10" t="s">
        <v>3247</v>
      </c>
    </row>
    <row r="514" customFormat="false" ht="23.85" hidden="false" customHeight="false" outlineLevel="0" collapsed="false">
      <c r="A514" s="9" t="n">
        <v>158</v>
      </c>
      <c r="B514" s="9" t="s">
        <v>502</v>
      </c>
      <c r="C514" s="10" t="s">
        <v>4578</v>
      </c>
      <c r="D514" s="10" t="s">
        <v>3482</v>
      </c>
      <c r="E514" s="9" t="s">
        <v>3489</v>
      </c>
      <c r="F514" s="10" t="s">
        <v>3490</v>
      </c>
      <c r="G514" s="9" t="s">
        <v>3242</v>
      </c>
      <c r="H514" s="10" t="s">
        <v>3491</v>
      </c>
      <c r="I514" s="9"/>
      <c r="J514" s="9" t="s">
        <v>2232</v>
      </c>
      <c r="K514" s="9" t="s">
        <v>3284</v>
      </c>
    </row>
    <row r="515" customFormat="false" ht="26.85" hidden="false" customHeight="false" outlineLevel="0" collapsed="false">
      <c r="A515" s="9" t="n">
        <v>159</v>
      </c>
      <c r="B515" s="9" t="s">
        <v>1334</v>
      </c>
      <c r="C515" s="10" t="s">
        <v>4583</v>
      </c>
      <c r="D515" s="10" t="s">
        <v>24</v>
      </c>
      <c r="E515" s="9" t="s">
        <v>4584</v>
      </c>
      <c r="F515" s="10" t="s">
        <v>3497</v>
      </c>
      <c r="G515" s="9" t="s">
        <v>3242</v>
      </c>
      <c r="H515" s="10" t="s">
        <v>3498</v>
      </c>
      <c r="I515" s="9" t="s">
        <v>4585</v>
      </c>
      <c r="J515" s="9" t="s">
        <v>2232</v>
      </c>
      <c r="K515" s="9" t="s">
        <v>3284</v>
      </c>
    </row>
    <row r="516" customFormat="false" ht="23.85" hidden="false" customHeight="false" outlineLevel="0" collapsed="false">
      <c r="A516" s="9" t="n">
        <v>159</v>
      </c>
      <c r="B516" s="9" t="s">
        <v>1334</v>
      </c>
      <c r="C516" s="10" t="s">
        <v>4583</v>
      </c>
      <c r="D516" s="10" t="s">
        <v>24</v>
      </c>
      <c r="E516" s="9" t="s">
        <v>4586</v>
      </c>
      <c r="F516" s="10" t="s">
        <v>3484</v>
      </c>
      <c r="G516" s="9" t="s">
        <v>3242</v>
      </c>
      <c r="H516" s="10" t="s">
        <v>3485</v>
      </c>
      <c r="I516" s="9" t="s">
        <v>4587</v>
      </c>
      <c r="J516" s="9" t="s">
        <v>2232</v>
      </c>
      <c r="K516" s="10" t="s">
        <v>3247</v>
      </c>
    </row>
    <row r="517" customFormat="false" ht="15" hidden="false" customHeight="false" outlineLevel="0" collapsed="false">
      <c r="A517" s="9" t="n">
        <v>159</v>
      </c>
      <c r="B517" s="9" t="s">
        <v>1334</v>
      </c>
      <c r="C517" s="10" t="s">
        <v>4583</v>
      </c>
      <c r="D517" s="10" t="s">
        <v>24</v>
      </c>
      <c r="E517" s="9" t="s">
        <v>4580</v>
      </c>
      <c r="F517" s="10" t="s">
        <v>3487</v>
      </c>
      <c r="G517" s="9" t="s">
        <v>3242</v>
      </c>
      <c r="H517" s="10" t="s">
        <v>3488</v>
      </c>
      <c r="I517" s="9"/>
      <c r="J517" s="9" t="s">
        <v>2232</v>
      </c>
      <c r="K517" s="9" t="s">
        <v>3284</v>
      </c>
    </row>
    <row r="518" customFormat="false" ht="26.85" hidden="false" customHeight="false" outlineLevel="0" collapsed="false">
      <c r="A518" s="9" t="n">
        <v>160</v>
      </c>
      <c r="B518" s="9" t="s">
        <v>1337</v>
      </c>
      <c r="C518" s="10" t="s">
        <v>4588</v>
      </c>
      <c r="D518" s="10" t="s">
        <v>3503</v>
      </c>
      <c r="E518" s="9" t="s">
        <v>4589</v>
      </c>
      <c r="F518" s="10" t="s">
        <v>4590</v>
      </c>
      <c r="G518" s="9" t="s">
        <v>3242</v>
      </c>
      <c r="H518" s="10" t="s">
        <v>4591</v>
      </c>
      <c r="I518" s="9"/>
      <c r="J518" s="10" t="s">
        <v>3247</v>
      </c>
      <c r="K518" s="10" t="s">
        <v>3247</v>
      </c>
    </row>
    <row r="519" customFormat="false" ht="26.85" hidden="false" customHeight="false" outlineLevel="0" collapsed="false">
      <c r="A519" s="9" t="n">
        <v>160</v>
      </c>
      <c r="B519" s="9" t="s">
        <v>1337</v>
      </c>
      <c r="C519" s="10" t="s">
        <v>4588</v>
      </c>
      <c r="D519" s="10" t="s">
        <v>3503</v>
      </c>
      <c r="E519" s="9" t="s">
        <v>4592</v>
      </c>
      <c r="F519" s="10" t="s">
        <v>3505</v>
      </c>
      <c r="G519" s="9" t="s">
        <v>3242</v>
      </c>
      <c r="H519" s="10" t="s">
        <v>3506</v>
      </c>
      <c r="I519" s="9"/>
      <c r="J519" s="9" t="s">
        <v>2773</v>
      </c>
      <c r="K519" s="9" t="s">
        <v>2773</v>
      </c>
    </row>
    <row r="520" customFormat="false" ht="26.85" hidden="false" customHeight="false" outlineLevel="0" collapsed="false">
      <c r="A520" s="9" t="n">
        <v>160</v>
      </c>
      <c r="B520" s="9" t="s">
        <v>1337</v>
      </c>
      <c r="C520" s="10" t="s">
        <v>4588</v>
      </c>
      <c r="D520" s="10" t="s">
        <v>3503</v>
      </c>
      <c r="E520" s="9" t="s">
        <v>4593</v>
      </c>
      <c r="F520" s="10" t="s">
        <v>4594</v>
      </c>
      <c r="G520" s="9" t="s">
        <v>3242</v>
      </c>
      <c r="H520" s="10" t="s">
        <v>4595</v>
      </c>
      <c r="I520" s="9" t="s">
        <v>4596</v>
      </c>
      <c r="J520" s="9" t="s">
        <v>2773</v>
      </c>
      <c r="K520" s="9" t="s">
        <v>2773</v>
      </c>
    </row>
    <row r="521" customFormat="false" ht="26.85" hidden="false" customHeight="false" outlineLevel="0" collapsed="false">
      <c r="A521" s="9" t="n">
        <v>161</v>
      </c>
      <c r="B521" s="9" t="s">
        <v>1342</v>
      </c>
      <c r="C521" s="10" t="s">
        <v>4597</v>
      </c>
      <c r="D521" s="10" t="s">
        <v>3859</v>
      </c>
      <c r="E521" s="10" t="s">
        <v>4598</v>
      </c>
      <c r="F521" s="10" t="s">
        <v>4043</v>
      </c>
      <c r="G521" s="9" t="s">
        <v>3242</v>
      </c>
      <c r="H521" s="10" t="s">
        <v>4044</v>
      </c>
      <c r="I521" s="9"/>
      <c r="J521" s="9" t="s">
        <v>2773</v>
      </c>
      <c r="K521" s="9" t="s">
        <v>2773</v>
      </c>
    </row>
    <row r="522" customFormat="false" ht="15" hidden="false" customHeight="false" outlineLevel="0" collapsed="false">
      <c r="A522" s="9" t="n">
        <v>161</v>
      </c>
      <c r="B522" s="9" t="s">
        <v>1342</v>
      </c>
      <c r="C522" s="10" t="s">
        <v>4597</v>
      </c>
      <c r="D522" s="10" t="s">
        <v>3859</v>
      </c>
      <c r="E522" s="9" t="s">
        <v>4599</v>
      </c>
      <c r="F522" s="10" t="s">
        <v>4034</v>
      </c>
      <c r="G522" s="9" t="s">
        <v>3242</v>
      </c>
      <c r="H522" s="10" t="s">
        <v>4035</v>
      </c>
      <c r="I522" s="9"/>
      <c r="J522" s="9" t="s">
        <v>2773</v>
      </c>
      <c r="K522" s="9" t="s">
        <v>2773</v>
      </c>
    </row>
    <row r="523" customFormat="false" ht="15" hidden="false" customHeight="false" outlineLevel="0" collapsed="false">
      <c r="A523" s="9" t="n">
        <v>161</v>
      </c>
      <c r="B523" s="9" t="s">
        <v>1342</v>
      </c>
      <c r="C523" s="10" t="s">
        <v>4597</v>
      </c>
      <c r="D523" s="10" t="s">
        <v>3859</v>
      </c>
      <c r="E523" s="9" t="s">
        <v>4600</v>
      </c>
      <c r="F523" s="10" t="s">
        <v>4601</v>
      </c>
      <c r="G523" s="9" t="s">
        <v>3242</v>
      </c>
      <c r="H523" s="10" t="s">
        <v>4602</v>
      </c>
      <c r="I523" s="9"/>
      <c r="J523" s="10" t="s">
        <v>3247</v>
      </c>
      <c r="K523" s="10" t="s">
        <v>3247</v>
      </c>
    </row>
    <row r="524" customFormat="false" ht="15" hidden="false" customHeight="false" outlineLevel="0" collapsed="false">
      <c r="A524" s="9" t="n">
        <v>162</v>
      </c>
      <c r="B524" s="9" t="s">
        <v>1348</v>
      </c>
      <c r="C524" s="10" t="s">
        <v>4603</v>
      </c>
      <c r="D524" s="10" t="s">
        <v>4604</v>
      </c>
      <c r="E524" s="9" t="s">
        <v>4600</v>
      </c>
      <c r="F524" s="10" t="s">
        <v>4601</v>
      </c>
      <c r="G524" s="9" t="s">
        <v>3242</v>
      </c>
      <c r="H524" s="10" t="s">
        <v>4602</v>
      </c>
      <c r="I524" s="9"/>
      <c r="J524" s="10" t="s">
        <v>3247</v>
      </c>
      <c r="K524" s="10" t="s">
        <v>3247</v>
      </c>
    </row>
    <row r="525" customFormat="false" ht="23.85" hidden="false" customHeight="false" outlineLevel="0" collapsed="false">
      <c r="A525" s="9" t="n">
        <v>162</v>
      </c>
      <c r="B525" s="9" t="s">
        <v>1348</v>
      </c>
      <c r="C525" s="10" t="s">
        <v>4603</v>
      </c>
      <c r="D525" s="10" t="s">
        <v>4604</v>
      </c>
      <c r="E525" s="9" t="s">
        <v>4605</v>
      </c>
      <c r="F525" s="10" t="s">
        <v>4606</v>
      </c>
      <c r="G525" s="9" t="s">
        <v>3242</v>
      </c>
      <c r="H525" s="10" t="s">
        <v>4607</v>
      </c>
      <c r="I525" s="9"/>
      <c r="J525" s="10" t="s">
        <v>3247</v>
      </c>
      <c r="K525" s="10" t="s">
        <v>3247</v>
      </c>
    </row>
    <row r="526" customFormat="false" ht="23.85" hidden="false" customHeight="false" outlineLevel="0" collapsed="false">
      <c r="A526" s="9" t="n">
        <v>162</v>
      </c>
      <c r="B526" s="9" t="s">
        <v>1348</v>
      </c>
      <c r="C526" s="10" t="s">
        <v>4603</v>
      </c>
      <c r="D526" s="10" t="s">
        <v>4604</v>
      </c>
      <c r="E526" s="9" t="s">
        <v>4608</v>
      </c>
      <c r="F526" s="10" t="s">
        <v>3530</v>
      </c>
      <c r="G526" s="9" t="s">
        <v>3242</v>
      </c>
      <c r="H526" s="10" t="s">
        <v>3531</v>
      </c>
      <c r="I526" s="9"/>
      <c r="J526" s="10" t="s">
        <v>3247</v>
      </c>
      <c r="K526" s="10" t="s">
        <v>3247</v>
      </c>
    </row>
    <row r="527" customFormat="false" ht="15" hidden="false" customHeight="false" outlineLevel="0" collapsed="false">
      <c r="A527" s="9" t="n">
        <v>162</v>
      </c>
      <c r="B527" s="9" t="s">
        <v>1348</v>
      </c>
      <c r="C527" s="10" t="s">
        <v>4603</v>
      </c>
      <c r="D527" s="10" t="s">
        <v>4604</v>
      </c>
      <c r="E527" s="9" t="s">
        <v>4609</v>
      </c>
      <c r="F527" s="10" t="s">
        <v>4610</v>
      </c>
      <c r="G527" s="9" t="s">
        <v>3242</v>
      </c>
      <c r="H527" s="10" t="s">
        <v>4611</v>
      </c>
      <c r="I527" s="9"/>
      <c r="J527" s="9" t="s">
        <v>2232</v>
      </c>
      <c r="K527" s="9" t="s">
        <v>3284</v>
      </c>
    </row>
    <row r="528" customFormat="false" ht="15" hidden="false" customHeight="false" outlineLevel="0" collapsed="false">
      <c r="A528" s="9" t="n">
        <v>163</v>
      </c>
      <c r="B528" s="9" t="s">
        <v>1358</v>
      </c>
      <c r="C528" s="10" t="s">
        <v>4612</v>
      </c>
      <c r="D528" s="10" t="s">
        <v>3807</v>
      </c>
      <c r="E528" s="9" t="s">
        <v>4613</v>
      </c>
      <c r="F528" s="10" t="s">
        <v>4614</v>
      </c>
      <c r="G528" s="9" t="s">
        <v>3242</v>
      </c>
      <c r="H528" s="10" t="s">
        <v>4615</v>
      </c>
      <c r="I528" s="9"/>
      <c r="J528" s="9" t="s">
        <v>3039</v>
      </c>
      <c r="K528" s="9" t="s">
        <v>3039</v>
      </c>
    </row>
    <row r="529" customFormat="false" ht="15" hidden="false" customHeight="false" outlineLevel="0" collapsed="false">
      <c r="A529" s="9" t="n">
        <v>163</v>
      </c>
      <c r="B529" s="9" t="s">
        <v>1358</v>
      </c>
      <c r="C529" s="10" t="s">
        <v>4612</v>
      </c>
      <c r="D529" s="10" t="s">
        <v>3807</v>
      </c>
      <c r="E529" s="9" t="s">
        <v>4616</v>
      </c>
      <c r="F529" s="10" t="s">
        <v>4617</v>
      </c>
      <c r="G529" s="9" t="s">
        <v>3242</v>
      </c>
      <c r="H529" s="10" t="s">
        <v>4618</v>
      </c>
      <c r="I529" s="9"/>
      <c r="J529" s="9" t="s">
        <v>3039</v>
      </c>
      <c r="K529" s="9" t="s">
        <v>3039</v>
      </c>
    </row>
    <row r="530" customFormat="false" ht="15" hidden="false" customHeight="false" outlineLevel="0" collapsed="false">
      <c r="A530" s="9" t="n">
        <v>163</v>
      </c>
      <c r="B530" s="9" t="s">
        <v>1358</v>
      </c>
      <c r="C530" s="10" t="s">
        <v>4612</v>
      </c>
      <c r="D530" s="10" t="s">
        <v>3807</v>
      </c>
      <c r="E530" s="9" t="s">
        <v>4619</v>
      </c>
      <c r="F530" s="10" t="s">
        <v>4620</v>
      </c>
      <c r="G530" s="9" t="s">
        <v>3242</v>
      </c>
      <c r="H530" s="10" t="s">
        <v>4621</v>
      </c>
      <c r="I530" s="9"/>
      <c r="J530" s="9" t="s">
        <v>3039</v>
      </c>
      <c r="K530" s="9" t="s">
        <v>3039</v>
      </c>
    </row>
    <row r="531" customFormat="false" ht="15" hidden="false" customHeight="false" outlineLevel="0" collapsed="false">
      <c r="A531" s="9" t="n">
        <v>164</v>
      </c>
      <c r="B531" s="9" t="s">
        <v>1366</v>
      </c>
      <c r="C531" s="10" t="s">
        <v>4622</v>
      </c>
      <c r="D531" s="10" t="s">
        <v>4623</v>
      </c>
      <c r="E531" s="9" t="s">
        <v>4520</v>
      </c>
      <c r="F531" s="10" t="s">
        <v>4521</v>
      </c>
      <c r="G531" s="9" t="s">
        <v>3330</v>
      </c>
      <c r="H531" s="10" t="s">
        <v>4522</v>
      </c>
      <c r="I531" s="9"/>
      <c r="J531" s="10" t="s">
        <v>3247</v>
      </c>
      <c r="K531" s="10" t="s">
        <v>3247</v>
      </c>
    </row>
    <row r="532" customFormat="false" ht="15" hidden="false" customHeight="false" outlineLevel="0" collapsed="false">
      <c r="A532" s="9" t="n">
        <v>164</v>
      </c>
      <c r="B532" s="9" t="s">
        <v>1366</v>
      </c>
      <c r="C532" s="10" t="s">
        <v>4622</v>
      </c>
      <c r="D532" s="10" t="s">
        <v>4623</v>
      </c>
      <c r="E532" s="9" t="s">
        <v>4624</v>
      </c>
      <c r="F532" s="10" t="s">
        <v>4625</v>
      </c>
      <c r="G532" s="9" t="s">
        <v>3330</v>
      </c>
      <c r="H532" s="10" t="s">
        <v>4626</v>
      </c>
      <c r="I532" s="9"/>
      <c r="J532" s="10" t="s">
        <v>3247</v>
      </c>
      <c r="K532" s="10" t="s">
        <v>3247</v>
      </c>
    </row>
    <row r="533" customFormat="false" ht="15" hidden="false" customHeight="false" outlineLevel="0" collapsed="false">
      <c r="A533" s="9" t="n">
        <v>164</v>
      </c>
      <c r="B533" s="9" t="s">
        <v>1366</v>
      </c>
      <c r="C533" s="10" t="s">
        <v>4622</v>
      </c>
      <c r="D533" s="10" t="s">
        <v>4623</v>
      </c>
      <c r="E533" s="9" t="s">
        <v>4627</v>
      </c>
      <c r="F533" s="10" t="s">
        <v>4628</v>
      </c>
      <c r="G533" s="9" t="s">
        <v>3330</v>
      </c>
      <c r="H533" s="10" t="s">
        <v>4629</v>
      </c>
      <c r="I533" s="9"/>
      <c r="J533" s="10" t="s">
        <v>3247</v>
      </c>
      <c r="K533" s="10" t="s">
        <v>3247</v>
      </c>
    </row>
    <row r="534" customFormat="false" ht="15" hidden="false" customHeight="false" outlineLevel="0" collapsed="false">
      <c r="A534" s="9" t="n">
        <v>165</v>
      </c>
      <c r="B534" s="9" t="s">
        <v>1373</v>
      </c>
      <c r="C534" s="10" t="s">
        <v>1374</v>
      </c>
      <c r="D534" s="10" t="s">
        <v>25</v>
      </c>
      <c r="E534" s="9" t="s">
        <v>4630</v>
      </c>
      <c r="F534" s="10" t="s">
        <v>4631</v>
      </c>
      <c r="G534" s="9" t="s">
        <v>3330</v>
      </c>
      <c r="H534" s="10" t="s">
        <v>4632</v>
      </c>
      <c r="I534" s="9"/>
      <c r="J534" s="10" t="s">
        <v>3247</v>
      </c>
      <c r="K534" s="10" t="s">
        <v>3247</v>
      </c>
    </row>
    <row r="535" customFormat="false" ht="15" hidden="false" customHeight="false" outlineLevel="0" collapsed="false">
      <c r="A535" s="9" t="n">
        <v>165</v>
      </c>
      <c r="B535" s="9" t="s">
        <v>1373</v>
      </c>
      <c r="C535" s="10" t="s">
        <v>1374</v>
      </c>
      <c r="D535" s="10" t="s">
        <v>25</v>
      </c>
      <c r="E535" s="9" t="s">
        <v>4633</v>
      </c>
      <c r="F535" s="10" t="s">
        <v>4634</v>
      </c>
      <c r="G535" s="9" t="s">
        <v>3330</v>
      </c>
      <c r="H535" s="10" t="s">
        <v>4635</v>
      </c>
      <c r="I535" s="9"/>
      <c r="J535" s="10" t="s">
        <v>3247</v>
      </c>
      <c r="K535" s="10" t="s">
        <v>3247</v>
      </c>
    </row>
    <row r="536" customFormat="false" ht="15" hidden="false" customHeight="false" outlineLevel="0" collapsed="false">
      <c r="A536" s="9" t="n">
        <v>165</v>
      </c>
      <c r="B536" s="9" t="s">
        <v>1373</v>
      </c>
      <c r="C536" s="10" t="s">
        <v>1374</v>
      </c>
      <c r="D536" s="10" t="s">
        <v>25</v>
      </c>
      <c r="E536" s="9" t="s">
        <v>4636</v>
      </c>
      <c r="F536" s="10" t="s">
        <v>4637</v>
      </c>
      <c r="G536" s="9" t="s">
        <v>3330</v>
      </c>
      <c r="H536" s="10" t="s">
        <v>4638</v>
      </c>
      <c r="I536" s="9"/>
      <c r="J536" s="10" t="s">
        <v>3247</v>
      </c>
      <c r="K536" s="10" t="s">
        <v>3247</v>
      </c>
    </row>
    <row r="537" customFormat="false" ht="15" hidden="false" customHeight="false" outlineLevel="0" collapsed="false">
      <c r="A537" s="9" t="n">
        <v>166</v>
      </c>
      <c r="B537" s="9" t="s">
        <v>1377</v>
      </c>
      <c r="C537" s="10" t="s">
        <v>4639</v>
      </c>
      <c r="D537" s="10" t="s">
        <v>25</v>
      </c>
      <c r="E537" s="9" t="s">
        <v>4640</v>
      </c>
      <c r="F537" s="10" t="s">
        <v>4641</v>
      </c>
      <c r="G537" s="9" t="s">
        <v>3330</v>
      </c>
      <c r="H537" s="10" t="s">
        <v>4642</v>
      </c>
      <c r="I537" s="9"/>
      <c r="J537" s="10" t="s">
        <v>3247</v>
      </c>
      <c r="K537" s="10" t="s">
        <v>3247</v>
      </c>
    </row>
    <row r="538" customFormat="false" ht="23.85" hidden="false" customHeight="false" outlineLevel="0" collapsed="false">
      <c r="A538" s="9" t="n">
        <v>166</v>
      </c>
      <c r="B538" s="9" t="s">
        <v>1377</v>
      </c>
      <c r="C538" s="10" t="s">
        <v>4639</v>
      </c>
      <c r="D538" s="10" t="s">
        <v>25</v>
      </c>
      <c r="E538" s="9" t="s">
        <v>4643</v>
      </c>
      <c r="F538" s="10" t="s">
        <v>4644</v>
      </c>
      <c r="G538" s="9" t="s">
        <v>3330</v>
      </c>
      <c r="H538" s="10" t="s">
        <v>4645</v>
      </c>
      <c r="I538" s="9"/>
      <c r="J538" s="10" t="s">
        <v>3247</v>
      </c>
      <c r="K538" s="10" t="s">
        <v>3247</v>
      </c>
    </row>
    <row r="539" customFormat="false" ht="23.85" hidden="false" customHeight="false" outlineLevel="0" collapsed="false">
      <c r="A539" s="9" t="n">
        <v>166</v>
      </c>
      <c r="B539" s="9" t="s">
        <v>1377</v>
      </c>
      <c r="C539" s="10" t="s">
        <v>4639</v>
      </c>
      <c r="D539" s="10" t="s">
        <v>25</v>
      </c>
      <c r="E539" s="9" t="s">
        <v>4551</v>
      </c>
      <c r="F539" s="10" t="s">
        <v>4552</v>
      </c>
      <c r="G539" s="9" t="s">
        <v>3330</v>
      </c>
      <c r="H539" s="10" t="s">
        <v>4553</v>
      </c>
      <c r="I539" s="9"/>
      <c r="J539" s="10" t="s">
        <v>3247</v>
      </c>
      <c r="K539" s="10" t="s">
        <v>3247</v>
      </c>
    </row>
    <row r="540" customFormat="false" ht="15" hidden="false" customHeight="false" outlineLevel="0" collapsed="false">
      <c r="A540" s="9" t="n">
        <v>167</v>
      </c>
      <c r="B540" s="9" t="s">
        <v>1382</v>
      </c>
      <c r="C540" s="10" t="s">
        <v>4646</v>
      </c>
      <c r="D540" s="10" t="s">
        <v>24</v>
      </c>
      <c r="E540" s="9" t="s">
        <v>4647</v>
      </c>
      <c r="F540" s="10" t="s">
        <v>4648</v>
      </c>
      <c r="G540" s="9" t="s">
        <v>3242</v>
      </c>
      <c r="H540" s="10" t="s">
        <v>4649</v>
      </c>
      <c r="I540" s="9"/>
      <c r="J540" s="9" t="s">
        <v>3039</v>
      </c>
      <c r="K540" s="9" t="s">
        <v>3039</v>
      </c>
    </row>
    <row r="541" customFormat="false" ht="15" hidden="false" customHeight="false" outlineLevel="0" collapsed="false">
      <c r="A541" s="9" t="n">
        <v>167</v>
      </c>
      <c r="B541" s="9" t="s">
        <v>1382</v>
      </c>
      <c r="C541" s="10" t="s">
        <v>4646</v>
      </c>
      <c r="D541" s="10" t="s">
        <v>24</v>
      </c>
      <c r="E541" s="9" t="s">
        <v>4650</v>
      </c>
      <c r="F541" s="10" t="s">
        <v>4651</v>
      </c>
      <c r="G541" s="9" t="s">
        <v>3330</v>
      </c>
      <c r="H541" s="10" t="s">
        <v>4652</v>
      </c>
      <c r="I541" s="9"/>
      <c r="J541" s="10" t="s">
        <v>3247</v>
      </c>
      <c r="K541" s="10" t="s">
        <v>3247</v>
      </c>
    </row>
    <row r="542" customFormat="false" ht="15" hidden="false" customHeight="false" outlineLevel="0" collapsed="false">
      <c r="A542" s="9" t="n">
        <v>167</v>
      </c>
      <c r="B542" s="9" t="s">
        <v>1382</v>
      </c>
      <c r="C542" s="10" t="s">
        <v>4646</v>
      </c>
      <c r="D542" s="10" t="s">
        <v>24</v>
      </c>
      <c r="E542" s="9" t="s">
        <v>4653</v>
      </c>
      <c r="F542" s="10" t="s">
        <v>4654</v>
      </c>
      <c r="G542" s="9" t="s">
        <v>3242</v>
      </c>
      <c r="H542" s="10" t="s">
        <v>4655</v>
      </c>
      <c r="I542" s="9"/>
      <c r="J542" s="9" t="s">
        <v>3039</v>
      </c>
      <c r="K542" s="9" t="s">
        <v>3039</v>
      </c>
    </row>
    <row r="543" customFormat="false" ht="26.85" hidden="false" customHeight="false" outlineLevel="0" collapsed="false">
      <c r="A543" s="9" t="n">
        <v>167</v>
      </c>
      <c r="B543" s="9" t="s">
        <v>1382</v>
      </c>
      <c r="C543" s="10" t="s">
        <v>4646</v>
      </c>
      <c r="D543" s="10" t="s">
        <v>24</v>
      </c>
      <c r="E543" s="9" t="s">
        <v>4656</v>
      </c>
      <c r="F543" s="10" t="s">
        <v>4657</v>
      </c>
      <c r="G543" s="9" t="s">
        <v>3242</v>
      </c>
      <c r="H543" s="10" t="s">
        <v>4658</v>
      </c>
      <c r="I543" s="9"/>
      <c r="J543" s="9" t="s">
        <v>3062</v>
      </c>
      <c r="K543" s="9" t="s">
        <v>3062</v>
      </c>
    </row>
    <row r="544" customFormat="false" ht="26.85" hidden="false" customHeight="false" outlineLevel="0" collapsed="false">
      <c r="A544" s="9" t="n">
        <v>168</v>
      </c>
      <c r="B544" s="9" t="s">
        <v>1391</v>
      </c>
      <c r="C544" s="10" t="s">
        <v>4659</v>
      </c>
      <c r="D544" s="10" t="s">
        <v>24</v>
      </c>
      <c r="E544" s="9" t="s">
        <v>4660</v>
      </c>
      <c r="F544" s="10" t="s">
        <v>4661</v>
      </c>
      <c r="G544" s="9" t="s">
        <v>3330</v>
      </c>
      <c r="H544" s="10" t="s">
        <v>4662</v>
      </c>
      <c r="I544" s="9"/>
      <c r="J544" s="10" t="s">
        <v>3247</v>
      </c>
      <c r="K544" s="10" t="s">
        <v>3247</v>
      </c>
    </row>
    <row r="545" customFormat="false" ht="15" hidden="false" customHeight="false" outlineLevel="0" collapsed="false">
      <c r="A545" s="9" t="n">
        <v>168</v>
      </c>
      <c r="B545" s="9" t="s">
        <v>1391</v>
      </c>
      <c r="C545" s="10" t="s">
        <v>4659</v>
      </c>
      <c r="D545" s="10" t="s">
        <v>24</v>
      </c>
      <c r="E545" s="9" t="s">
        <v>4663</v>
      </c>
      <c r="F545" s="10" t="s">
        <v>4664</v>
      </c>
      <c r="G545" s="9" t="s">
        <v>3330</v>
      </c>
      <c r="H545" s="10" t="s">
        <v>4665</v>
      </c>
      <c r="I545" s="9"/>
      <c r="J545" s="10" t="s">
        <v>3247</v>
      </c>
      <c r="K545" s="10" t="s">
        <v>3247</v>
      </c>
    </row>
    <row r="546" customFormat="false" ht="26.85" hidden="false" customHeight="false" outlineLevel="0" collapsed="false">
      <c r="A546" s="9" t="n">
        <v>168</v>
      </c>
      <c r="B546" s="9" t="s">
        <v>1391</v>
      </c>
      <c r="C546" s="10" t="s">
        <v>4659</v>
      </c>
      <c r="D546" s="10" t="s">
        <v>24</v>
      </c>
      <c r="E546" s="9" t="s">
        <v>4666</v>
      </c>
      <c r="F546" s="10" t="s">
        <v>4667</v>
      </c>
      <c r="G546" s="9" t="s">
        <v>3242</v>
      </c>
      <c r="H546" s="10" t="s">
        <v>4668</v>
      </c>
      <c r="I546" s="9"/>
      <c r="J546" s="9" t="s">
        <v>3062</v>
      </c>
      <c r="K546" s="9" t="s">
        <v>3062</v>
      </c>
    </row>
    <row r="547" customFormat="false" ht="15" hidden="false" customHeight="false" outlineLevel="0" collapsed="false">
      <c r="A547" s="9" t="n">
        <v>169</v>
      </c>
      <c r="B547" s="9" t="s">
        <v>1400</v>
      </c>
      <c r="C547" s="10" t="s">
        <v>1401</v>
      </c>
      <c r="D547" s="10" t="s">
        <v>24</v>
      </c>
      <c r="E547" s="9" t="s">
        <v>4669</v>
      </c>
      <c r="F547" s="10" t="s">
        <v>4670</v>
      </c>
      <c r="G547" s="9" t="s">
        <v>3242</v>
      </c>
      <c r="H547" s="10" t="s">
        <v>4671</v>
      </c>
      <c r="I547" s="9"/>
      <c r="J547" s="9" t="s">
        <v>3039</v>
      </c>
      <c r="K547" s="9" t="s">
        <v>3039</v>
      </c>
    </row>
    <row r="548" customFormat="false" ht="15" hidden="false" customHeight="false" outlineLevel="0" collapsed="false">
      <c r="A548" s="9" t="n">
        <v>169</v>
      </c>
      <c r="B548" s="9" t="s">
        <v>1400</v>
      </c>
      <c r="C548" s="10" t="s">
        <v>1401</v>
      </c>
      <c r="D548" s="10" t="s">
        <v>24</v>
      </c>
      <c r="E548" s="9" t="s">
        <v>4672</v>
      </c>
      <c r="F548" s="10" t="s">
        <v>3519</v>
      </c>
      <c r="G548" s="9" t="s">
        <v>3242</v>
      </c>
      <c r="H548" s="10" t="s">
        <v>3520</v>
      </c>
      <c r="I548" s="9"/>
      <c r="J548" s="9" t="s">
        <v>2232</v>
      </c>
      <c r="K548" s="9" t="s">
        <v>3284</v>
      </c>
    </row>
    <row r="549" customFormat="false" ht="15" hidden="false" customHeight="false" outlineLevel="0" collapsed="false">
      <c r="A549" s="9" t="n">
        <v>169</v>
      </c>
      <c r="B549" s="9" t="s">
        <v>1400</v>
      </c>
      <c r="C549" s="10" t="s">
        <v>1401</v>
      </c>
      <c r="D549" s="10" t="s">
        <v>24</v>
      </c>
      <c r="E549" s="9" t="s">
        <v>4673</v>
      </c>
      <c r="F549" s="10" t="s">
        <v>4674</v>
      </c>
      <c r="G549" s="9" t="s">
        <v>3242</v>
      </c>
      <c r="H549" s="10" t="s">
        <v>4675</v>
      </c>
      <c r="I549" s="9"/>
      <c r="J549" s="9" t="s">
        <v>3039</v>
      </c>
      <c r="K549" s="9" t="s">
        <v>3039</v>
      </c>
    </row>
    <row r="550" customFormat="false" ht="15" hidden="false" customHeight="false" outlineLevel="0" collapsed="false">
      <c r="A550" s="9" t="n">
        <v>170</v>
      </c>
      <c r="B550" s="9" t="s">
        <v>1404</v>
      </c>
      <c r="C550" s="10" t="s">
        <v>4676</v>
      </c>
      <c r="D550" s="10" t="s">
        <v>24</v>
      </c>
      <c r="E550" s="9" t="s">
        <v>4677</v>
      </c>
      <c r="F550" s="10" t="s">
        <v>4678</v>
      </c>
      <c r="G550" s="9" t="s">
        <v>3330</v>
      </c>
      <c r="H550" s="10" t="s">
        <v>4679</v>
      </c>
      <c r="I550" s="9"/>
      <c r="J550" s="10" t="s">
        <v>3247</v>
      </c>
      <c r="K550" s="10" t="s">
        <v>3247</v>
      </c>
    </row>
    <row r="551" customFormat="false" ht="15" hidden="false" customHeight="false" outlineLevel="0" collapsed="false">
      <c r="A551" s="9" t="n">
        <v>170</v>
      </c>
      <c r="B551" s="9" t="s">
        <v>1404</v>
      </c>
      <c r="C551" s="10" t="s">
        <v>4676</v>
      </c>
      <c r="D551" s="10" t="s">
        <v>24</v>
      </c>
      <c r="E551" s="9" t="s">
        <v>4680</v>
      </c>
      <c r="F551" s="10" t="s">
        <v>4681</v>
      </c>
      <c r="G551" s="9" t="s">
        <v>3242</v>
      </c>
      <c r="H551" s="10" t="s">
        <v>4682</v>
      </c>
      <c r="I551" s="9"/>
      <c r="J551" s="9" t="s">
        <v>3062</v>
      </c>
      <c r="K551" s="9" t="s">
        <v>3062</v>
      </c>
    </row>
    <row r="552" customFormat="false" ht="15" hidden="false" customHeight="false" outlineLevel="0" collapsed="false">
      <c r="A552" s="9" t="n">
        <v>170</v>
      </c>
      <c r="B552" s="9" t="s">
        <v>1404</v>
      </c>
      <c r="C552" s="10" t="s">
        <v>4676</v>
      </c>
      <c r="D552" s="10" t="s">
        <v>24</v>
      </c>
      <c r="E552" s="9" t="s">
        <v>4683</v>
      </c>
      <c r="F552" s="10" t="s">
        <v>4684</v>
      </c>
      <c r="G552" s="9" t="s">
        <v>3330</v>
      </c>
      <c r="H552" s="10" t="s">
        <v>4685</v>
      </c>
      <c r="I552" s="9"/>
      <c r="J552" s="10" t="s">
        <v>3247</v>
      </c>
      <c r="K552" s="10" t="s">
        <v>3247</v>
      </c>
    </row>
    <row r="553" customFormat="false" ht="15" hidden="false" customHeight="false" outlineLevel="0" collapsed="false">
      <c r="A553" s="9" t="n">
        <v>170</v>
      </c>
      <c r="B553" s="9" t="s">
        <v>1404</v>
      </c>
      <c r="C553" s="10" t="s">
        <v>4676</v>
      </c>
      <c r="D553" s="10" t="s">
        <v>24</v>
      </c>
      <c r="E553" s="9" t="s">
        <v>4686</v>
      </c>
      <c r="F553" s="10" t="s">
        <v>4687</v>
      </c>
      <c r="G553" s="9" t="s">
        <v>3242</v>
      </c>
      <c r="H553" s="10" t="s">
        <v>4688</v>
      </c>
      <c r="I553" s="9"/>
      <c r="J553" s="9" t="s">
        <v>3039</v>
      </c>
      <c r="K553" s="9" t="s">
        <v>3039</v>
      </c>
    </row>
    <row r="554" customFormat="false" ht="26.85" hidden="false" customHeight="false" outlineLevel="0" collapsed="false">
      <c r="A554" s="9" t="n">
        <v>171</v>
      </c>
      <c r="B554" s="9" t="s">
        <v>1411</v>
      </c>
      <c r="C554" s="10" t="s">
        <v>1412</v>
      </c>
      <c r="D554" s="10" t="s">
        <v>24</v>
      </c>
      <c r="E554" s="9" t="s">
        <v>4689</v>
      </c>
      <c r="F554" s="10" t="s">
        <v>4690</v>
      </c>
      <c r="G554" s="9" t="s">
        <v>4249</v>
      </c>
      <c r="H554" s="10" t="s">
        <v>4691</v>
      </c>
      <c r="I554" s="9"/>
      <c r="J554" s="10" t="s">
        <v>3247</v>
      </c>
      <c r="K554" s="10" t="s">
        <v>3247</v>
      </c>
    </row>
    <row r="555" customFormat="false" ht="23.85" hidden="false" customHeight="false" outlineLevel="0" collapsed="false">
      <c r="A555" s="9" t="n">
        <v>171</v>
      </c>
      <c r="B555" s="9" t="s">
        <v>1411</v>
      </c>
      <c r="C555" s="10" t="s">
        <v>1412</v>
      </c>
      <c r="D555" s="10" t="s">
        <v>24</v>
      </c>
      <c r="E555" s="9" t="s">
        <v>4692</v>
      </c>
      <c r="F555" s="10" t="s">
        <v>4693</v>
      </c>
      <c r="G555" s="9" t="s">
        <v>3330</v>
      </c>
      <c r="H555" s="10" t="s">
        <v>4694</v>
      </c>
      <c r="I555" s="9"/>
      <c r="J555" s="10" t="s">
        <v>3247</v>
      </c>
      <c r="K555" s="10" t="s">
        <v>3247</v>
      </c>
    </row>
    <row r="556" customFormat="false" ht="23.85" hidden="false" customHeight="false" outlineLevel="0" collapsed="false">
      <c r="A556" s="9" t="n">
        <v>171</v>
      </c>
      <c r="B556" s="9" t="s">
        <v>1411</v>
      </c>
      <c r="C556" s="10" t="s">
        <v>1412</v>
      </c>
      <c r="D556" s="10" t="s">
        <v>24</v>
      </c>
      <c r="E556" s="9" t="s">
        <v>4695</v>
      </c>
      <c r="F556" s="10" t="s">
        <v>4696</v>
      </c>
      <c r="G556" s="9" t="s">
        <v>3330</v>
      </c>
      <c r="H556" s="10" t="s">
        <v>4697</v>
      </c>
      <c r="I556" s="9"/>
      <c r="J556" s="10" t="s">
        <v>3247</v>
      </c>
      <c r="K556" s="10" t="s">
        <v>3247</v>
      </c>
    </row>
    <row r="557" customFormat="false" ht="15" hidden="false" customHeight="false" outlineLevel="0" collapsed="false">
      <c r="A557" s="9" t="n">
        <v>172</v>
      </c>
      <c r="B557" s="9" t="s">
        <v>1414</v>
      </c>
      <c r="C557" s="10" t="s">
        <v>4698</v>
      </c>
      <c r="D557" s="10" t="s">
        <v>24</v>
      </c>
      <c r="E557" s="9" t="s">
        <v>4699</v>
      </c>
      <c r="F557" s="10" t="s">
        <v>3516</v>
      </c>
      <c r="G557" s="9" t="s">
        <v>3242</v>
      </c>
      <c r="H557" s="10" t="s">
        <v>3517</v>
      </c>
      <c r="I557" s="9"/>
      <c r="J557" s="9" t="s">
        <v>2232</v>
      </c>
      <c r="K557" s="9" t="s">
        <v>3284</v>
      </c>
    </row>
    <row r="558" customFormat="false" ht="15" hidden="false" customHeight="false" outlineLevel="0" collapsed="false">
      <c r="A558" s="9" t="n">
        <v>172</v>
      </c>
      <c r="B558" s="9" t="s">
        <v>1414</v>
      </c>
      <c r="C558" s="10" t="s">
        <v>4698</v>
      </c>
      <c r="D558" s="10" t="s">
        <v>24</v>
      </c>
      <c r="E558" s="9" t="s">
        <v>3521</v>
      </c>
      <c r="F558" s="10" t="s">
        <v>3522</v>
      </c>
      <c r="G558" s="9" t="s">
        <v>3242</v>
      </c>
      <c r="H558" s="10" t="s">
        <v>3523</v>
      </c>
      <c r="I558" s="9"/>
      <c r="J558" s="10" t="s">
        <v>3247</v>
      </c>
      <c r="K558" s="10" t="s">
        <v>3247</v>
      </c>
    </row>
    <row r="559" customFormat="false" ht="15" hidden="false" customHeight="false" outlineLevel="0" collapsed="false">
      <c r="A559" s="9" t="n">
        <v>172</v>
      </c>
      <c r="B559" s="9" t="s">
        <v>1414</v>
      </c>
      <c r="C559" s="10" t="s">
        <v>4698</v>
      </c>
      <c r="D559" s="10" t="s">
        <v>24</v>
      </c>
      <c r="E559" s="9" t="s">
        <v>4700</v>
      </c>
      <c r="F559" s="10" t="s">
        <v>4701</v>
      </c>
      <c r="G559" s="9" t="s">
        <v>3242</v>
      </c>
      <c r="H559" s="10" t="s">
        <v>4702</v>
      </c>
      <c r="I559" s="9"/>
      <c r="J559" s="10" t="s">
        <v>3247</v>
      </c>
      <c r="K559" s="10" t="s">
        <v>3247</v>
      </c>
    </row>
    <row r="560" customFormat="false" ht="23.85" hidden="false" customHeight="false" outlineLevel="0" collapsed="false">
      <c r="A560" s="9" t="n">
        <v>172</v>
      </c>
      <c r="B560" s="9" t="s">
        <v>1414</v>
      </c>
      <c r="C560" s="10" t="s">
        <v>4698</v>
      </c>
      <c r="D560" s="10" t="s">
        <v>24</v>
      </c>
      <c r="E560" s="9" t="s">
        <v>4703</v>
      </c>
      <c r="F560" s="10" t="s">
        <v>4704</v>
      </c>
      <c r="G560" s="9" t="s">
        <v>3330</v>
      </c>
      <c r="H560" s="10" t="s">
        <v>4705</v>
      </c>
      <c r="I560" s="9"/>
      <c r="J560" s="10" t="s">
        <v>3247</v>
      </c>
      <c r="K560" s="10" t="s">
        <v>3247</v>
      </c>
    </row>
    <row r="561" customFormat="false" ht="23.85" hidden="false" customHeight="false" outlineLevel="0" collapsed="false">
      <c r="A561" s="9" t="n">
        <v>173</v>
      </c>
      <c r="B561" s="9" t="s">
        <v>1419</v>
      </c>
      <c r="C561" s="10" t="s">
        <v>4706</v>
      </c>
      <c r="D561" s="10" t="s">
        <v>4623</v>
      </c>
      <c r="E561" s="9" t="s">
        <v>4707</v>
      </c>
      <c r="F561" s="10" t="s">
        <v>4708</v>
      </c>
      <c r="G561" s="9" t="s">
        <v>3330</v>
      </c>
      <c r="H561" s="10" t="s">
        <v>4709</v>
      </c>
      <c r="I561" s="9"/>
      <c r="J561" s="10" t="s">
        <v>3247</v>
      </c>
      <c r="K561" s="10" t="s">
        <v>3247</v>
      </c>
    </row>
    <row r="562" customFormat="false" ht="15" hidden="false" customHeight="false" outlineLevel="0" collapsed="false">
      <c r="A562" s="9" t="n">
        <v>173</v>
      </c>
      <c r="B562" s="9" t="s">
        <v>1419</v>
      </c>
      <c r="C562" s="10" t="s">
        <v>4706</v>
      </c>
      <c r="D562" s="10" t="s">
        <v>4623</v>
      </c>
      <c r="E562" s="9" t="s">
        <v>4710</v>
      </c>
      <c r="F562" s="10" t="s">
        <v>4711</v>
      </c>
      <c r="G562" s="9" t="s">
        <v>3242</v>
      </c>
      <c r="H562" s="10" t="s">
        <v>4712</v>
      </c>
      <c r="I562" s="9"/>
      <c r="J562" s="10" t="s">
        <v>3247</v>
      </c>
      <c r="K562" s="10" t="s">
        <v>3247</v>
      </c>
    </row>
    <row r="563" customFormat="false" ht="15" hidden="false" customHeight="false" outlineLevel="0" collapsed="false">
      <c r="A563" s="9" t="n">
        <v>173</v>
      </c>
      <c r="B563" s="9" t="s">
        <v>1419</v>
      </c>
      <c r="C563" s="10" t="s">
        <v>4706</v>
      </c>
      <c r="D563" s="10" t="s">
        <v>4623</v>
      </c>
      <c r="E563" s="9" t="s">
        <v>4713</v>
      </c>
      <c r="F563" s="10" t="s">
        <v>4714</v>
      </c>
      <c r="G563" s="9" t="s">
        <v>3330</v>
      </c>
      <c r="H563" s="10" t="s">
        <v>4715</v>
      </c>
      <c r="I563" s="9"/>
      <c r="J563" s="10" t="s">
        <v>3247</v>
      </c>
      <c r="K563" s="10" t="s">
        <v>3247</v>
      </c>
    </row>
    <row r="564" customFormat="false" ht="23.85" hidden="false" customHeight="false" outlineLevel="0" collapsed="false">
      <c r="A564" s="9" t="n">
        <v>174</v>
      </c>
      <c r="B564" s="9" t="s">
        <v>1427</v>
      </c>
      <c r="C564" s="10" t="s">
        <v>4716</v>
      </c>
      <c r="D564" s="10" t="s">
        <v>24</v>
      </c>
      <c r="E564" s="9" t="s">
        <v>4717</v>
      </c>
      <c r="F564" s="10" t="s">
        <v>4718</v>
      </c>
      <c r="G564" s="9" t="s">
        <v>3242</v>
      </c>
      <c r="H564" s="10" t="s">
        <v>4719</v>
      </c>
      <c r="I564" s="9"/>
      <c r="J564" s="10" t="s">
        <v>3247</v>
      </c>
      <c r="K564" s="10" t="s">
        <v>3247</v>
      </c>
    </row>
    <row r="565" customFormat="false" ht="26.85" hidden="false" customHeight="false" outlineLevel="0" collapsed="false">
      <c r="A565" s="9" t="n">
        <v>174</v>
      </c>
      <c r="B565" s="9" t="s">
        <v>1427</v>
      </c>
      <c r="C565" s="10" t="s">
        <v>4716</v>
      </c>
      <c r="D565" s="10" t="s">
        <v>24</v>
      </c>
      <c r="E565" s="9" t="s">
        <v>4720</v>
      </c>
      <c r="F565" s="10" t="s">
        <v>4721</v>
      </c>
      <c r="G565" s="9" t="s">
        <v>3242</v>
      </c>
      <c r="H565" s="10" t="s">
        <v>4722</v>
      </c>
      <c r="I565" s="9"/>
      <c r="J565" s="10" t="s">
        <v>3247</v>
      </c>
      <c r="K565" s="10" t="s">
        <v>3247</v>
      </c>
    </row>
    <row r="566" customFormat="false" ht="15" hidden="false" customHeight="false" outlineLevel="0" collapsed="false">
      <c r="A566" s="9" t="n">
        <v>174</v>
      </c>
      <c r="B566" s="9" t="s">
        <v>1427</v>
      </c>
      <c r="C566" s="10" t="s">
        <v>4716</v>
      </c>
      <c r="D566" s="10" t="s">
        <v>24</v>
      </c>
      <c r="E566" s="9" t="s">
        <v>4723</v>
      </c>
      <c r="F566" s="10" t="s">
        <v>4724</v>
      </c>
      <c r="G566" s="9" t="s">
        <v>3242</v>
      </c>
      <c r="H566" s="10" t="s">
        <v>4725</v>
      </c>
      <c r="I566" s="9"/>
      <c r="J566" s="9" t="s">
        <v>3039</v>
      </c>
      <c r="K566" s="9" t="s">
        <v>3039</v>
      </c>
    </row>
    <row r="567" customFormat="false" ht="15" hidden="false" customHeight="false" outlineLevel="0" collapsed="false">
      <c r="A567" s="9" t="n">
        <v>174</v>
      </c>
      <c r="B567" s="9" t="s">
        <v>1427</v>
      </c>
      <c r="C567" s="10" t="s">
        <v>4716</v>
      </c>
      <c r="D567" s="10" t="s">
        <v>24</v>
      </c>
      <c r="E567" s="9" t="s">
        <v>4726</v>
      </c>
      <c r="F567" s="10" t="s">
        <v>4727</v>
      </c>
      <c r="G567" s="9" t="s">
        <v>3242</v>
      </c>
      <c r="H567" s="10" t="s">
        <v>4728</v>
      </c>
      <c r="I567" s="9"/>
      <c r="J567" s="10" t="s">
        <v>3247</v>
      </c>
      <c r="K567" s="10" t="s">
        <v>3247</v>
      </c>
    </row>
    <row r="568" customFormat="false" ht="23.85" hidden="false" customHeight="false" outlineLevel="0" collapsed="false">
      <c r="A568" s="9" t="n">
        <v>175</v>
      </c>
      <c r="B568" s="9" t="s">
        <v>1434</v>
      </c>
      <c r="C568" s="10" t="s">
        <v>4729</v>
      </c>
      <c r="D568" s="10" t="s">
        <v>3503</v>
      </c>
      <c r="E568" s="9" t="s">
        <v>4730</v>
      </c>
      <c r="F568" s="10" t="s">
        <v>4731</v>
      </c>
      <c r="G568" s="9" t="s">
        <v>3330</v>
      </c>
      <c r="H568" s="10" t="s">
        <v>4732</v>
      </c>
      <c r="I568" s="9"/>
      <c r="J568" s="10" t="s">
        <v>3247</v>
      </c>
      <c r="K568" s="10" t="s">
        <v>3247</v>
      </c>
    </row>
    <row r="569" customFormat="false" ht="23.85" hidden="false" customHeight="false" outlineLevel="0" collapsed="false">
      <c r="A569" s="9" t="n">
        <v>175</v>
      </c>
      <c r="B569" s="9" t="s">
        <v>1434</v>
      </c>
      <c r="C569" s="10" t="s">
        <v>4729</v>
      </c>
      <c r="D569" s="10" t="s">
        <v>3503</v>
      </c>
      <c r="E569" s="9" t="s">
        <v>4733</v>
      </c>
      <c r="F569" s="10" t="s">
        <v>4734</v>
      </c>
      <c r="G569" s="9" t="s">
        <v>3330</v>
      </c>
      <c r="H569" s="10" t="s">
        <v>4735</v>
      </c>
      <c r="I569" s="9"/>
      <c r="J569" s="10" t="s">
        <v>3247</v>
      </c>
      <c r="K569" s="10" t="s">
        <v>3247</v>
      </c>
    </row>
    <row r="570" customFormat="false" ht="23.85" hidden="false" customHeight="false" outlineLevel="0" collapsed="false">
      <c r="A570" s="9" t="n">
        <v>175</v>
      </c>
      <c r="B570" s="9" t="s">
        <v>1434</v>
      </c>
      <c r="C570" s="10" t="s">
        <v>4729</v>
      </c>
      <c r="D570" s="10" t="s">
        <v>3503</v>
      </c>
      <c r="E570" s="9" t="s">
        <v>4736</v>
      </c>
      <c r="F570" s="10" t="s">
        <v>4545</v>
      </c>
      <c r="G570" s="9" t="s">
        <v>3330</v>
      </c>
      <c r="H570" s="10" t="s">
        <v>4546</v>
      </c>
      <c r="I570" s="9"/>
      <c r="J570" s="10" t="s">
        <v>3247</v>
      </c>
      <c r="K570" s="10" t="s">
        <v>3247</v>
      </c>
    </row>
    <row r="571" customFormat="false" ht="23.85" hidden="false" customHeight="false" outlineLevel="0" collapsed="false">
      <c r="A571" s="9" t="n">
        <v>175</v>
      </c>
      <c r="B571" s="9" t="s">
        <v>1434</v>
      </c>
      <c r="C571" s="10" t="s">
        <v>4729</v>
      </c>
      <c r="D571" s="10" t="s">
        <v>3503</v>
      </c>
      <c r="E571" s="9" t="s">
        <v>4737</v>
      </c>
      <c r="F571" s="10" t="s">
        <v>4738</v>
      </c>
      <c r="G571" s="9" t="s">
        <v>3330</v>
      </c>
      <c r="H571" s="10" t="s">
        <v>4739</v>
      </c>
      <c r="I571" s="9"/>
      <c r="J571" s="10" t="s">
        <v>3247</v>
      </c>
      <c r="K571" s="10" t="s">
        <v>3247</v>
      </c>
    </row>
    <row r="572" customFormat="false" ht="15" hidden="false" customHeight="false" outlineLevel="0" collapsed="false">
      <c r="A572" s="9" t="n">
        <v>176</v>
      </c>
      <c r="B572" s="9" t="s">
        <v>1450</v>
      </c>
      <c r="C572" s="10" t="s">
        <v>1451</v>
      </c>
      <c r="D572" s="10" t="s">
        <v>24</v>
      </c>
      <c r="E572" s="9" t="s">
        <v>4740</v>
      </c>
      <c r="F572" s="10" t="s">
        <v>4741</v>
      </c>
      <c r="G572" s="9" t="s">
        <v>3242</v>
      </c>
      <c r="H572" s="10" t="s">
        <v>4742</v>
      </c>
      <c r="I572" s="9"/>
      <c r="J572" s="9" t="s">
        <v>3039</v>
      </c>
      <c r="K572" s="9" t="s">
        <v>3039</v>
      </c>
    </row>
    <row r="573" customFormat="false" ht="15" hidden="false" customHeight="false" outlineLevel="0" collapsed="false">
      <c r="A573" s="9" t="n">
        <v>176</v>
      </c>
      <c r="B573" s="9" t="s">
        <v>1450</v>
      </c>
      <c r="C573" s="10" t="s">
        <v>1451</v>
      </c>
      <c r="D573" s="10" t="s">
        <v>24</v>
      </c>
      <c r="E573" s="9" t="s">
        <v>4743</v>
      </c>
      <c r="F573" s="10" t="s">
        <v>4744</v>
      </c>
      <c r="G573" s="9" t="s">
        <v>3242</v>
      </c>
      <c r="H573" s="10" t="s">
        <v>4745</v>
      </c>
      <c r="I573" s="9"/>
      <c r="J573" s="10" t="s">
        <v>3247</v>
      </c>
      <c r="K573" s="10" t="s">
        <v>3247</v>
      </c>
    </row>
    <row r="574" customFormat="false" ht="15" hidden="false" customHeight="false" outlineLevel="0" collapsed="false">
      <c r="A574" s="9" t="n">
        <v>176</v>
      </c>
      <c r="B574" s="9" t="s">
        <v>1450</v>
      </c>
      <c r="C574" s="10" t="s">
        <v>1451</v>
      </c>
      <c r="D574" s="10" t="s">
        <v>24</v>
      </c>
      <c r="E574" s="9" t="s">
        <v>4746</v>
      </c>
      <c r="F574" s="10" t="s">
        <v>4747</v>
      </c>
      <c r="G574" s="9" t="s">
        <v>3242</v>
      </c>
      <c r="H574" s="10" t="s">
        <v>4748</v>
      </c>
      <c r="I574" s="9"/>
      <c r="J574" s="9" t="s">
        <v>3039</v>
      </c>
      <c r="K574" s="9" t="s">
        <v>3039</v>
      </c>
    </row>
    <row r="575" customFormat="false" ht="23.85" hidden="false" customHeight="false" outlineLevel="0" collapsed="false">
      <c r="A575" s="9" t="n">
        <v>177</v>
      </c>
      <c r="B575" s="9" t="s">
        <v>1453</v>
      </c>
      <c r="C575" s="10" t="s">
        <v>4749</v>
      </c>
      <c r="D575" s="10" t="s">
        <v>3528</v>
      </c>
      <c r="E575" s="9" t="s">
        <v>4529</v>
      </c>
      <c r="F575" s="10" t="s">
        <v>4530</v>
      </c>
      <c r="G575" s="9" t="s">
        <v>3330</v>
      </c>
      <c r="H575" s="10" t="s">
        <v>4531</v>
      </c>
      <c r="I575" s="9" t="s">
        <v>4532</v>
      </c>
      <c r="J575" s="10" t="s">
        <v>3247</v>
      </c>
      <c r="K575" s="10" t="s">
        <v>3247</v>
      </c>
    </row>
    <row r="576" customFormat="false" ht="23.85" hidden="false" customHeight="false" outlineLevel="0" collapsed="false">
      <c r="A576" s="9" t="n">
        <v>177</v>
      </c>
      <c r="B576" s="9" t="s">
        <v>1453</v>
      </c>
      <c r="C576" s="10" t="s">
        <v>4749</v>
      </c>
      <c r="D576" s="10" t="s">
        <v>3528</v>
      </c>
      <c r="E576" s="9" t="s">
        <v>4547</v>
      </c>
      <c r="F576" s="10" t="s">
        <v>4548</v>
      </c>
      <c r="G576" s="9" t="s">
        <v>3330</v>
      </c>
      <c r="H576" s="10" t="s">
        <v>4549</v>
      </c>
      <c r="I576" s="9"/>
      <c r="J576" s="10" t="s">
        <v>3247</v>
      </c>
      <c r="K576" s="10" t="s">
        <v>3247</v>
      </c>
    </row>
    <row r="577" customFormat="false" ht="23.85" hidden="false" customHeight="false" outlineLevel="0" collapsed="false">
      <c r="A577" s="9" t="n">
        <v>177</v>
      </c>
      <c r="B577" s="9" t="s">
        <v>1453</v>
      </c>
      <c r="C577" s="10" t="s">
        <v>4749</v>
      </c>
      <c r="D577" s="10" t="s">
        <v>3528</v>
      </c>
      <c r="E577" s="9" t="s">
        <v>4526</v>
      </c>
      <c r="F577" s="10" t="s">
        <v>4527</v>
      </c>
      <c r="G577" s="9" t="s">
        <v>3242</v>
      </c>
      <c r="H577" s="10" t="s">
        <v>4528</v>
      </c>
      <c r="I577" s="9"/>
      <c r="J577" s="9" t="s">
        <v>3062</v>
      </c>
      <c r="K577" s="9" t="s">
        <v>3062</v>
      </c>
    </row>
    <row r="578" customFormat="false" ht="23.85" hidden="false" customHeight="false" outlineLevel="0" collapsed="false">
      <c r="A578" s="9" t="n">
        <v>177</v>
      </c>
      <c r="B578" s="9" t="s">
        <v>1453</v>
      </c>
      <c r="C578" s="10" t="s">
        <v>4749</v>
      </c>
      <c r="D578" s="10" t="s">
        <v>3528</v>
      </c>
      <c r="E578" s="9" t="s">
        <v>4750</v>
      </c>
      <c r="F578" s="10" t="s">
        <v>4535</v>
      </c>
      <c r="G578" s="9" t="s">
        <v>3242</v>
      </c>
      <c r="H578" s="10" t="s">
        <v>4536</v>
      </c>
      <c r="I578" s="9"/>
      <c r="J578" s="9" t="s">
        <v>3062</v>
      </c>
      <c r="K578" s="9" t="s">
        <v>3062</v>
      </c>
    </row>
    <row r="579" customFormat="false" ht="15" hidden="false" customHeight="false" outlineLevel="0" collapsed="false">
      <c r="A579" s="9" t="n">
        <v>178</v>
      </c>
      <c r="B579" s="9" t="s">
        <v>538</v>
      </c>
      <c r="C579" s="10" t="s">
        <v>4751</v>
      </c>
      <c r="D579" s="10" t="s">
        <v>3528</v>
      </c>
      <c r="E579" s="9" t="s">
        <v>3489</v>
      </c>
      <c r="F579" s="10" t="s">
        <v>3490</v>
      </c>
      <c r="G579" s="9" t="s">
        <v>3242</v>
      </c>
      <c r="H579" s="10" t="s">
        <v>3491</v>
      </c>
      <c r="I579" s="9"/>
      <c r="J579" s="9" t="s">
        <v>2232</v>
      </c>
      <c r="K579" s="9" t="s">
        <v>3284</v>
      </c>
    </row>
    <row r="580" customFormat="false" ht="15" hidden="false" customHeight="false" outlineLevel="0" collapsed="false">
      <c r="A580" s="9" t="n">
        <v>178</v>
      </c>
      <c r="B580" s="9" t="s">
        <v>538</v>
      </c>
      <c r="C580" s="10" t="s">
        <v>4751</v>
      </c>
      <c r="D580" s="10" t="s">
        <v>3528</v>
      </c>
      <c r="E580" s="9" t="s">
        <v>4580</v>
      </c>
      <c r="F580" s="10" t="s">
        <v>3487</v>
      </c>
      <c r="G580" s="9" t="s">
        <v>3242</v>
      </c>
      <c r="H580" s="10" t="s">
        <v>3488</v>
      </c>
      <c r="I580" s="9"/>
      <c r="J580" s="9" t="s">
        <v>2232</v>
      </c>
      <c r="K580" s="9" t="s">
        <v>3284</v>
      </c>
    </row>
    <row r="581" customFormat="false" ht="15" hidden="false" customHeight="false" outlineLevel="0" collapsed="false">
      <c r="A581" s="9" t="n">
        <v>178</v>
      </c>
      <c r="B581" s="9" t="s">
        <v>538</v>
      </c>
      <c r="C581" s="10" t="s">
        <v>4751</v>
      </c>
      <c r="D581" s="10" t="s">
        <v>3528</v>
      </c>
      <c r="E581" s="9" t="s">
        <v>4752</v>
      </c>
      <c r="F581" s="10" t="s">
        <v>3533</v>
      </c>
      <c r="G581" s="9" t="s">
        <v>3330</v>
      </c>
      <c r="H581" s="10" t="s">
        <v>3534</v>
      </c>
      <c r="I581" s="9"/>
      <c r="J581" s="10" t="s">
        <v>3247</v>
      </c>
      <c r="K581" s="10" t="s">
        <v>3247</v>
      </c>
    </row>
    <row r="582" customFormat="false" ht="15" hidden="false" customHeight="false" outlineLevel="0" collapsed="false">
      <c r="A582" s="9" t="n">
        <v>178</v>
      </c>
      <c r="B582" s="9" t="s">
        <v>538</v>
      </c>
      <c r="C582" s="10" t="s">
        <v>4751</v>
      </c>
      <c r="D582" s="10" t="s">
        <v>3528</v>
      </c>
      <c r="E582" s="9" t="s">
        <v>4753</v>
      </c>
      <c r="F582" s="10" t="s">
        <v>4754</v>
      </c>
      <c r="G582" s="9" t="s">
        <v>3242</v>
      </c>
      <c r="H582" s="10" t="s">
        <v>4755</v>
      </c>
      <c r="I582" s="9"/>
      <c r="J582" s="9" t="s">
        <v>2232</v>
      </c>
      <c r="K582" s="9" t="s">
        <v>3284</v>
      </c>
    </row>
    <row r="583" customFormat="false" ht="23.85" hidden="false" customHeight="false" outlineLevel="0" collapsed="false">
      <c r="A583" s="9" t="n">
        <v>179</v>
      </c>
      <c r="B583" s="9" t="s">
        <v>1469</v>
      </c>
      <c r="C583" s="10" t="s">
        <v>4756</v>
      </c>
      <c r="D583" s="10" t="s">
        <v>3807</v>
      </c>
      <c r="E583" s="9" t="s">
        <v>4558</v>
      </c>
      <c r="F583" s="10" t="s">
        <v>4559</v>
      </c>
      <c r="G583" s="9" t="s">
        <v>3242</v>
      </c>
      <c r="H583" s="10" t="s">
        <v>4560</v>
      </c>
      <c r="I583" s="9"/>
      <c r="J583" s="9" t="s">
        <v>2232</v>
      </c>
      <c r="K583" s="9" t="s">
        <v>3284</v>
      </c>
    </row>
    <row r="584" customFormat="false" ht="23.85" hidden="false" customHeight="false" outlineLevel="0" collapsed="false">
      <c r="A584" s="9" t="n">
        <v>179</v>
      </c>
      <c r="B584" s="9" t="s">
        <v>1469</v>
      </c>
      <c r="C584" s="10" t="s">
        <v>4756</v>
      </c>
      <c r="D584" s="10" t="s">
        <v>3807</v>
      </c>
      <c r="E584" s="9" t="s">
        <v>4757</v>
      </c>
      <c r="F584" s="10" t="s">
        <v>4758</v>
      </c>
      <c r="G584" s="9" t="s">
        <v>3242</v>
      </c>
      <c r="H584" s="10" t="s">
        <v>4759</v>
      </c>
      <c r="I584" s="9" t="s">
        <v>4760</v>
      </c>
      <c r="J584" s="9" t="s">
        <v>3062</v>
      </c>
      <c r="K584" s="9" t="s">
        <v>3062</v>
      </c>
    </row>
    <row r="585" customFormat="false" ht="23.85" hidden="false" customHeight="false" outlineLevel="0" collapsed="false">
      <c r="A585" s="9" t="n">
        <v>179</v>
      </c>
      <c r="B585" s="9" t="s">
        <v>1469</v>
      </c>
      <c r="C585" s="10" t="s">
        <v>4756</v>
      </c>
      <c r="D585" s="10" t="s">
        <v>3807</v>
      </c>
      <c r="E585" s="9" t="s">
        <v>4633</v>
      </c>
      <c r="F585" s="10" t="s">
        <v>4634</v>
      </c>
      <c r="G585" s="9" t="s">
        <v>3330</v>
      </c>
      <c r="H585" s="10" t="s">
        <v>4635</v>
      </c>
      <c r="I585" s="9"/>
      <c r="J585" s="10" t="s">
        <v>3247</v>
      </c>
      <c r="K585" s="10" t="s">
        <v>3247</v>
      </c>
    </row>
    <row r="586" customFormat="false" ht="26.85" hidden="false" customHeight="false" outlineLevel="0" collapsed="false">
      <c r="A586" s="9" t="n">
        <v>179</v>
      </c>
      <c r="B586" s="9" t="s">
        <v>1469</v>
      </c>
      <c r="C586" s="10" t="s">
        <v>4756</v>
      </c>
      <c r="D586" s="10" t="s">
        <v>3807</v>
      </c>
      <c r="E586" s="9" t="s">
        <v>4666</v>
      </c>
      <c r="F586" s="10" t="s">
        <v>4667</v>
      </c>
      <c r="G586" s="9" t="s">
        <v>3242</v>
      </c>
      <c r="H586" s="10" t="s">
        <v>4668</v>
      </c>
      <c r="I586" s="9"/>
      <c r="J586" s="9" t="s">
        <v>3062</v>
      </c>
      <c r="K586" s="9" t="s">
        <v>3062</v>
      </c>
    </row>
    <row r="587" customFormat="false" ht="15" hidden="false" customHeight="false" outlineLevel="0" collapsed="false">
      <c r="A587" s="9" t="n">
        <v>180</v>
      </c>
      <c r="B587" s="9" t="s">
        <v>1480</v>
      </c>
      <c r="C587" s="10" t="s">
        <v>4761</v>
      </c>
      <c r="D587" s="10" t="s">
        <v>24</v>
      </c>
      <c r="E587" s="9" t="s">
        <v>4762</v>
      </c>
      <c r="F587" s="10" t="s">
        <v>4763</v>
      </c>
      <c r="G587" s="9" t="s">
        <v>3242</v>
      </c>
      <c r="H587" s="10" t="s">
        <v>4764</v>
      </c>
      <c r="I587" s="9"/>
      <c r="J587" s="9" t="s">
        <v>3062</v>
      </c>
      <c r="K587" s="9" t="s">
        <v>3062</v>
      </c>
    </row>
    <row r="588" customFormat="false" ht="15" hidden="false" customHeight="false" outlineLevel="0" collapsed="false">
      <c r="A588" s="9" t="n">
        <v>180</v>
      </c>
      <c r="B588" s="9" t="s">
        <v>1480</v>
      </c>
      <c r="C588" s="10" t="s">
        <v>4761</v>
      </c>
      <c r="D588" s="10" t="s">
        <v>24</v>
      </c>
      <c r="E588" s="9" t="s">
        <v>4765</v>
      </c>
      <c r="F588" s="10" t="s">
        <v>4766</v>
      </c>
      <c r="G588" s="9" t="s">
        <v>3242</v>
      </c>
      <c r="H588" s="10" t="s">
        <v>4767</v>
      </c>
      <c r="I588" s="9"/>
      <c r="J588" s="9" t="s">
        <v>3062</v>
      </c>
      <c r="K588" s="9" t="s">
        <v>3062</v>
      </c>
    </row>
    <row r="589" customFormat="false" ht="15" hidden="false" customHeight="false" outlineLevel="0" collapsed="false">
      <c r="A589" s="9" t="n">
        <v>180</v>
      </c>
      <c r="B589" s="9" t="s">
        <v>1480</v>
      </c>
      <c r="C589" s="10" t="s">
        <v>4761</v>
      </c>
      <c r="D589" s="10" t="s">
        <v>24</v>
      </c>
      <c r="E589" s="9" t="s">
        <v>4616</v>
      </c>
      <c r="F589" s="10" t="s">
        <v>4617</v>
      </c>
      <c r="G589" s="9" t="s">
        <v>3242</v>
      </c>
      <c r="H589" s="10" t="s">
        <v>4618</v>
      </c>
      <c r="I589" s="9"/>
      <c r="J589" s="9" t="s">
        <v>3039</v>
      </c>
      <c r="K589" s="9" t="s">
        <v>3039</v>
      </c>
    </row>
    <row r="590" customFormat="false" ht="23.85" hidden="false" customHeight="false" outlineLevel="0" collapsed="false">
      <c r="A590" s="9" t="n">
        <v>180</v>
      </c>
      <c r="B590" s="9" t="s">
        <v>1480</v>
      </c>
      <c r="C590" s="10" t="s">
        <v>4761</v>
      </c>
      <c r="D590" s="10" t="s">
        <v>24</v>
      </c>
      <c r="E590" s="9" t="s">
        <v>4547</v>
      </c>
      <c r="F590" s="10" t="s">
        <v>4548</v>
      </c>
      <c r="G590" s="9" t="s">
        <v>3330</v>
      </c>
      <c r="H590" s="10" t="s">
        <v>4549</v>
      </c>
      <c r="I590" s="9"/>
      <c r="J590" s="10" t="s">
        <v>3247</v>
      </c>
      <c r="K590" s="10" t="s">
        <v>3247</v>
      </c>
    </row>
    <row r="591" customFormat="false" ht="15" hidden="false" customHeight="false" outlineLevel="0" collapsed="false">
      <c r="A591" s="9" t="n">
        <v>181</v>
      </c>
      <c r="B591" s="9" t="s">
        <v>1485</v>
      </c>
      <c r="C591" s="10" t="s">
        <v>1486</v>
      </c>
      <c r="D591" s="10" t="s">
        <v>24</v>
      </c>
      <c r="E591" s="9" t="s">
        <v>4768</v>
      </c>
      <c r="F591" s="10" t="s">
        <v>4620</v>
      </c>
      <c r="G591" s="9" t="s">
        <v>3242</v>
      </c>
      <c r="H591" s="10" t="s">
        <v>4621</v>
      </c>
      <c r="I591" s="9"/>
      <c r="J591" s="9" t="s">
        <v>3039</v>
      </c>
      <c r="K591" s="9" t="s">
        <v>3039</v>
      </c>
    </row>
    <row r="592" customFormat="false" ht="15" hidden="false" customHeight="false" outlineLevel="0" collapsed="false">
      <c r="A592" s="9" t="n">
        <v>181</v>
      </c>
      <c r="B592" s="9" t="s">
        <v>1485</v>
      </c>
      <c r="C592" s="10" t="s">
        <v>1486</v>
      </c>
      <c r="D592" s="10" t="s">
        <v>24</v>
      </c>
      <c r="E592" s="9" t="s">
        <v>3064</v>
      </c>
      <c r="F592" s="10" t="s">
        <v>4763</v>
      </c>
      <c r="G592" s="9" t="s">
        <v>3242</v>
      </c>
      <c r="H592" s="10" t="s">
        <v>4764</v>
      </c>
      <c r="I592" s="9"/>
      <c r="J592" s="9" t="s">
        <v>3062</v>
      </c>
      <c r="K592" s="9" t="s">
        <v>3062</v>
      </c>
    </row>
    <row r="593" customFormat="false" ht="15" hidden="false" customHeight="false" outlineLevel="0" collapsed="false">
      <c r="A593" s="9" t="n">
        <v>181</v>
      </c>
      <c r="B593" s="9" t="s">
        <v>1485</v>
      </c>
      <c r="C593" s="10" t="s">
        <v>1486</v>
      </c>
      <c r="D593" s="10" t="s">
        <v>24</v>
      </c>
      <c r="E593" s="9" t="s">
        <v>4769</v>
      </c>
      <c r="F593" s="10" t="s">
        <v>4770</v>
      </c>
      <c r="G593" s="9" t="s">
        <v>3242</v>
      </c>
      <c r="H593" s="10" t="s">
        <v>4771</v>
      </c>
      <c r="I593" s="9"/>
      <c r="J593" s="9" t="s">
        <v>3039</v>
      </c>
      <c r="K593" s="9" t="s">
        <v>3039</v>
      </c>
    </row>
    <row r="594" customFormat="false" ht="15" hidden="false" customHeight="false" outlineLevel="0" collapsed="false">
      <c r="A594" s="9" t="n">
        <v>181</v>
      </c>
      <c r="B594" s="9" t="s">
        <v>1485</v>
      </c>
      <c r="C594" s="10" t="s">
        <v>1486</v>
      </c>
      <c r="D594" s="10" t="s">
        <v>24</v>
      </c>
      <c r="E594" s="9" t="s">
        <v>4772</v>
      </c>
      <c r="F594" s="10" t="s">
        <v>4773</v>
      </c>
      <c r="G594" s="9" t="s">
        <v>3242</v>
      </c>
      <c r="H594" s="10" t="s">
        <v>4774</v>
      </c>
      <c r="I594" s="9"/>
      <c r="J594" s="9" t="s">
        <v>3039</v>
      </c>
      <c r="K594" s="9" t="s">
        <v>3039</v>
      </c>
    </row>
    <row r="595" customFormat="false" ht="26.85" hidden="false" customHeight="false" outlineLevel="0" collapsed="false">
      <c r="A595" s="9" t="n">
        <v>182</v>
      </c>
      <c r="B595" s="9" t="s">
        <v>1489</v>
      </c>
      <c r="C595" s="10" t="s">
        <v>1490</v>
      </c>
      <c r="D595" s="10" t="s">
        <v>26</v>
      </c>
      <c r="E595" s="9" t="s">
        <v>4775</v>
      </c>
      <c r="F595" s="10" t="s">
        <v>4776</v>
      </c>
      <c r="G595" s="9" t="s">
        <v>3242</v>
      </c>
      <c r="H595" s="10" t="s">
        <v>4777</v>
      </c>
      <c r="I595" s="9" t="s">
        <v>4778</v>
      </c>
      <c r="J595" s="10" t="s">
        <v>3247</v>
      </c>
      <c r="K595" s="10" t="s">
        <v>3247</v>
      </c>
    </row>
    <row r="596" customFormat="false" ht="26.85" hidden="false" customHeight="false" outlineLevel="0" collapsed="false">
      <c r="A596" s="9" t="n">
        <v>182</v>
      </c>
      <c r="B596" s="9" t="s">
        <v>1489</v>
      </c>
      <c r="C596" s="10" t="s">
        <v>1490</v>
      </c>
      <c r="D596" s="10" t="s">
        <v>26</v>
      </c>
      <c r="E596" s="9" t="s">
        <v>4779</v>
      </c>
      <c r="F596" s="10" t="s">
        <v>4780</v>
      </c>
      <c r="G596" s="9" t="s">
        <v>3242</v>
      </c>
      <c r="H596" s="10" t="s">
        <v>4781</v>
      </c>
      <c r="I596" s="9" t="s">
        <v>4778</v>
      </c>
      <c r="J596" s="10" t="s">
        <v>3247</v>
      </c>
      <c r="K596" s="10" t="s">
        <v>3247</v>
      </c>
    </row>
    <row r="597" customFormat="false" ht="26.85" hidden="false" customHeight="false" outlineLevel="0" collapsed="false">
      <c r="A597" s="9" t="n">
        <v>182</v>
      </c>
      <c r="B597" s="9" t="s">
        <v>1489</v>
      </c>
      <c r="C597" s="10" t="s">
        <v>1490</v>
      </c>
      <c r="D597" s="10" t="s">
        <v>26</v>
      </c>
      <c r="E597" s="9" t="s">
        <v>4782</v>
      </c>
      <c r="F597" s="10" t="s">
        <v>4783</v>
      </c>
      <c r="G597" s="9" t="s">
        <v>3242</v>
      </c>
      <c r="H597" s="10" t="s">
        <v>4784</v>
      </c>
      <c r="I597" s="9"/>
      <c r="J597" s="10" t="s">
        <v>3247</v>
      </c>
      <c r="K597" s="10" t="s">
        <v>3247</v>
      </c>
    </row>
    <row r="598" customFormat="false" ht="26.85" hidden="false" customHeight="false" outlineLevel="0" collapsed="false">
      <c r="A598" s="9" t="n">
        <v>183</v>
      </c>
      <c r="B598" s="9" t="s">
        <v>1493</v>
      </c>
      <c r="C598" s="10" t="s">
        <v>4785</v>
      </c>
      <c r="D598" s="10" t="s">
        <v>25</v>
      </c>
      <c r="E598" s="9" t="s">
        <v>4786</v>
      </c>
      <c r="F598" s="10" t="s">
        <v>4727</v>
      </c>
      <c r="G598" s="9" t="s">
        <v>3242</v>
      </c>
      <c r="H598" s="10" t="s">
        <v>4728</v>
      </c>
      <c r="I598" s="9"/>
      <c r="J598" s="10" t="s">
        <v>3247</v>
      </c>
      <c r="K598" s="10" t="s">
        <v>3247</v>
      </c>
    </row>
    <row r="599" customFormat="false" ht="26.85" hidden="false" customHeight="false" outlineLevel="0" collapsed="false">
      <c r="A599" s="9" t="n">
        <v>183</v>
      </c>
      <c r="B599" s="9" t="s">
        <v>1493</v>
      </c>
      <c r="C599" s="10" t="s">
        <v>4785</v>
      </c>
      <c r="D599" s="10" t="s">
        <v>25</v>
      </c>
      <c r="E599" s="9" t="s">
        <v>4782</v>
      </c>
      <c r="F599" s="10" t="s">
        <v>4783</v>
      </c>
      <c r="G599" s="9" t="s">
        <v>3242</v>
      </c>
      <c r="H599" s="10" t="s">
        <v>4784</v>
      </c>
      <c r="I599" s="9"/>
      <c r="J599" s="10" t="s">
        <v>3247</v>
      </c>
      <c r="K599" s="10" t="s">
        <v>3247</v>
      </c>
    </row>
    <row r="600" customFormat="false" ht="26.85" hidden="false" customHeight="false" outlineLevel="0" collapsed="false">
      <c r="A600" s="9" t="n">
        <v>183</v>
      </c>
      <c r="B600" s="9" t="s">
        <v>1493</v>
      </c>
      <c r="C600" s="10" t="s">
        <v>4785</v>
      </c>
      <c r="D600" s="10" t="s">
        <v>25</v>
      </c>
      <c r="E600" s="9" t="s">
        <v>4787</v>
      </c>
      <c r="F600" s="10" t="s">
        <v>4788</v>
      </c>
      <c r="G600" s="9" t="s">
        <v>3242</v>
      </c>
      <c r="H600" s="10" t="s">
        <v>4789</v>
      </c>
      <c r="I600" s="9"/>
      <c r="J600" s="10" t="s">
        <v>3247</v>
      </c>
      <c r="K600" s="10" t="s">
        <v>3247</v>
      </c>
    </row>
    <row r="601" customFormat="false" ht="26.85" hidden="false" customHeight="false" outlineLevel="0" collapsed="false">
      <c r="A601" s="9" t="n">
        <v>183</v>
      </c>
      <c r="B601" s="9" t="s">
        <v>1493</v>
      </c>
      <c r="C601" s="10" t="s">
        <v>4785</v>
      </c>
      <c r="D601" s="10" t="s">
        <v>25</v>
      </c>
      <c r="E601" s="9" t="s">
        <v>4723</v>
      </c>
      <c r="F601" s="10" t="s">
        <v>4724</v>
      </c>
      <c r="G601" s="9" t="s">
        <v>3242</v>
      </c>
      <c r="H601" s="10" t="s">
        <v>4725</v>
      </c>
      <c r="I601" s="9"/>
      <c r="J601" s="9" t="s">
        <v>3039</v>
      </c>
      <c r="K601" s="9" t="s">
        <v>3039</v>
      </c>
    </row>
    <row r="602" customFormat="false" ht="26.85" hidden="false" customHeight="false" outlineLevel="0" collapsed="false">
      <c r="A602" s="9" t="n">
        <v>184</v>
      </c>
      <c r="B602" s="9" t="s">
        <v>1498</v>
      </c>
      <c r="C602" s="10" t="s">
        <v>4790</v>
      </c>
      <c r="D602" s="10" t="s">
        <v>25</v>
      </c>
      <c r="E602" s="9" t="s">
        <v>4791</v>
      </c>
      <c r="F602" s="10" t="s">
        <v>4792</v>
      </c>
      <c r="G602" s="9" t="s">
        <v>3242</v>
      </c>
      <c r="H602" s="10" t="s">
        <v>4793</v>
      </c>
      <c r="I602" s="9"/>
      <c r="J602" s="10" t="s">
        <v>3247</v>
      </c>
      <c r="K602" s="10" t="s">
        <v>3247</v>
      </c>
    </row>
    <row r="603" customFormat="false" ht="26.85" hidden="false" customHeight="false" outlineLevel="0" collapsed="false">
      <c r="A603" s="9" t="n">
        <v>184</v>
      </c>
      <c r="B603" s="9" t="s">
        <v>1498</v>
      </c>
      <c r="C603" s="10" t="s">
        <v>4790</v>
      </c>
      <c r="D603" s="10" t="s">
        <v>25</v>
      </c>
      <c r="E603" s="9" t="s">
        <v>4794</v>
      </c>
      <c r="F603" s="10" t="s">
        <v>4795</v>
      </c>
      <c r="G603" s="9" t="s">
        <v>3242</v>
      </c>
      <c r="H603" s="10" t="s">
        <v>4796</v>
      </c>
      <c r="I603" s="9"/>
      <c r="J603" s="10" t="s">
        <v>3247</v>
      </c>
      <c r="K603" s="10" t="s">
        <v>3247</v>
      </c>
    </row>
    <row r="604" customFormat="false" ht="26.85" hidden="false" customHeight="false" outlineLevel="0" collapsed="false">
      <c r="A604" s="9" t="n">
        <v>184</v>
      </c>
      <c r="B604" s="9" t="s">
        <v>1498</v>
      </c>
      <c r="C604" s="10" t="s">
        <v>4790</v>
      </c>
      <c r="D604" s="10" t="s">
        <v>25</v>
      </c>
      <c r="E604" s="9" t="s">
        <v>4775</v>
      </c>
      <c r="F604" s="10" t="s">
        <v>4776</v>
      </c>
      <c r="G604" s="9" t="s">
        <v>3242</v>
      </c>
      <c r="H604" s="10" t="s">
        <v>4777</v>
      </c>
      <c r="I604" s="9"/>
      <c r="J604" s="10" t="s">
        <v>3247</v>
      </c>
      <c r="K604" s="10" t="s">
        <v>3247</v>
      </c>
    </row>
    <row r="605" customFormat="false" ht="26.85" hidden="false" customHeight="false" outlineLevel="0" collapsed="false">
      <c r="A605" s="9" t="n">
        <v>184</v>
      </c>
      <c r="B605" s="9" t="s">
        <v>1498</v>
      </c>
      <c r="C605" s="10" t="s">
        <v>4790</v>
      </c>
      <c r="D605" s="10" t="s">
        <v>25</v>
      </c>
      <c r="E605" s="9" t="s">
        <v>4797</v>
      </c>
      <c r="F605" s="10" t="s">
        <v>4798</v>
      </c>
      <c r="G605" s="9" t="s">
        <v>3242</v>
      </c>
      <c r="H605" s="10" t="s">
        <v>4799</v>
      </c>
      <c r="I605" s="9"/>
      <c r="J605" s="10" t="s">
        <v>3247</v>
      </c>
      <c r="K605" s="10" t="s">
        <v>3247</v>
      </c>
    </row>
    <row r="606" customFormat="false" ht="15" hidden="false" customHeight="false" outlineLevel="0" collapsed="false">
      <c r="A606" s="9" t="n">
        <v>185</v>
      </c>
      <c r="B606" s="9" t="s">
        <v>1503</v>
      </c>
      <c r="C606" s="10" t="s">
        <v>4800</v>
      </c>
      <c r="D606" s="10" t="s">
        <v>3482</v>
      </c>
      <c r="E606" s="9" t="s">
        <v>4801</v>
      </c>
      <c r="F606" s="10" t="s">
        <v>4802</v>
      </c>
      <c r="G606" s="9" t="s">
        <v>3242</v>
      </c>
      <c r="H606" s="10" t="s">
        <v>4803</v>
      </c>
      <c r="I606" s="9"/>
      <c r="J606" s="10" t="s">
        <v>3247</v>
      </c>
      <c r="K606" s="10" t="s">
        <v>3247</v>
      </c>
    </row>
    <row r="607" customFormat="false" ht="23.85" hidden="false" customHeight="false" outlineLevel="0" collapsed="false">
      <c r="A607" s="9" t="n">
        <v>185</v>
      </c>
      <c r="B607" s="9" t="s">
        <v>1503</v>
      </c>
      <c r="C607" s="10" t="s">
        <v>4800</v>
      </c>
      <c r="D607" s="10" t="s">
        <v>3482</v>
      </c>
      <c r="E607" s="9" t="s">
        <v>4804</v>
      </c>
      <c r="F607" s="10" t="s">
        <v>4805</v>
      </c>
      <c r="G607" s="9" t="s">
        <v>3242</v>
      </c>
      <c r="H607" s="10" t="s">
        <v>4806</v>
      </c>
      <c r="I607" s="9"/>
      <c r="J607" s="10" t="s">
        <v>3247</v>
      </c>
      <c r="K607" s="10" t="s">
        <v>3247</v>
      </c>
    </row>
    <row r="608" customFormat="false" ht="23.85" hidden="false" customHeight="false" outlineLevel="0" collapsed="false">
      <c r="A608" s="9" t="n">
        <v>185</v>
      </c>
      <c r="B608" s="9" t="s">
        <v>1503</v>
      </c>
      <c r="C608" s="10" t="s">
        <v>4800</v>
      </c>
      <c r="D608" s="10" t="s">
        <v>3482</v>
      </c>
      <c r="E608" s="9" t="s">
        <v>4775</v>
      </c>
      <c r="F608" s="10" t="s">
        <v>4776</v>
      </c>
      <c r="G608" s="9" t="s">
        <v>3242</v>
      </c>
      <c r="H608" s="10" t="s">
        <v>4777</v>
      </c>
      <c r="I608" s="9"/>
      <c r="J608" s="10" t="s">
        <v>3247</v>
      </c>
      <c r="K608" s="10" t="s">
        <v>3247</v>
      </c>
    </row>
    <row r="609" customFormat="false" ht="23.85" hidden="false" customHeight="false" outlineLevel="0" collapsed="false">
      <c r="A609" s="9" t="n">
        <v>185</v>
      </c>
      <c r="B609" s="9" t="s">
        <v>1503</v>
      </c>
      <c r="C609" s="10" t="s">
        <v>4800</v>
      </c>
      <c r="D609" s="10" t="s">
        <v>3482</v>
      </c>
      <c r="E609" s="9" t="s">
        <v>4807</v>
      </c>
      <c r="F609" s="10" t="s">
        <v>4808</v>
      </c>
      <c r="G609" s="9" t="s">
        <v>3242</v>
      </c>
      <c r="H609" s="10" t="s">
        <v>4809</v>
      </c>
      <c r="I609" s="9"/>
      <c r="J609" s="10" t="s">
        <v>3247</v>
      </c>
      <c r="K609" s="10" t="s">
        <v>3247</v>
      </c>
    </row>
    <row r="610" customFormat="false" ht="15" hidden="false" customHeight="false" outlineLevel="0" collapsed="false">
      <c r="A610" s="9" t="n">
        <v>186</v>
      </c>
      <c r="B610" s="9" t="s">
        <v>1511</v>
      </c>
      <c r="C610" s="10" t="s">
        <v>4810</v>
      </c>
      <c r="D610" s="10" t="s">
        <v>26</v>
      </c>
      <c r="E610" s="9" t="s">
        <v>4811</v>
      </c>
      <c r="F610" s="10" t="s">
        <v>4812</v>
      </c>
      <c r="G610" s="9" t="s">
        <v>3242</v>
      </c>
      <c r="H610" s="10" t="s">
        <v>4813</v>
      </c>
      <c r="I610" s="9" t="s">
        <v>4814</v>
      </c>
      <c r="J610" s="10" t="s">
        <v>3247</v>
      </c>
      <c r="K610" s="10" t="s">
        <v>3247</v>
      </c>
    </row>
    <row r="611" customFormat="false" ht="26.85" hidden="false" customHeight="false" outlineLevel="0" collapsed="false">
      <c r="A611" s="9" t="n">
        <v>186</v>
      </c>
      <c r="B611" s="9" t="s">
        <v>1511</v>
      </c>
      <c r="C611" s="10" t="s">
        <v>4810</v>
      </c>
      <c r="D611" s="10" t="s">
        <v>26</v>
      </c>
      <c r="E611" s="9" t="s">
        <v>4815</v>
      </c>
      <c r="F611" s="10" t="s">
        <v>4816</v>
      </c>
      <c r="G611" s="9" t="s">
        <v>4249</v>
      </c>
      <c r="H611" s="10" t="s">
        <v>4817</v>
      </c>
      <c r="I611" s="9"/>
      <c r="J611" s="10" t="s">
        <v>3247</v>
      </c>
      <c r="K611" s="10" t="s">
        <v>3247</v>
      </c>
    </row>
    <row r="612" customFormat="false" ht="15" hidden="false" customHeight="false" outlineLevel="0" collapsed="false">
      <c r="A612" s="9" t="n">
        <v>186</v>
      </c>
      <c r="B612" s="9" t="s">
        <v>1511</v>
      </c>
      <c r="C612" s="10" t="s">
        <v>4810</v>
      </c>
      <c r="D612" s="10" t="s">
        <v>26</v>
      </c>
      <c r="E612" s="9" t="s">
        <v>4818</v>
      </c>
      <c r="F612" s="10" t="s">
        <v>4819</v>
      </c>
      <c r="G612" s="9" t="s">
        <v>3242</v>
      </c>
      <c r="H612" s="10" t="s">
        <v>4820</v>
      </c>
      <c r="I612" s="9"/>
      <c r="J612" s="10" t="s">
        <v>3247</v>
      </c>
      <c r="K612" s="10" t="s">
        <v>3247</v>
      </c>
    </row>
    <row r="613" customFormat="false" ht="15" hidden="false" customHeight="false" outlineLevel="0" collapsed="false">
      <c r="A613" s="9" t="n">
        <v>187</v>
      </c>
      <c r="B613" s="9" t="s">
        <v>1516</v>
      </c>
      <c r="C613" s="10" t="s">
        <v>4821</v>
      </c>
      <c r="D613" s="10" t="s">
        <v>4604</v>
      </c>
      <c r="E613" s="9" t="s">
        <v>4811</v>
      </c>
      <c r="F613" s="10" t="s">
        <v>4812</v>
      </c>
      <c r="G613" s="9" t="s">
        <v>3242</v>
      </c>
      <c r="H613" s="10" t="s">
        <v>4813</v>
      </c>
      <c r="I613" s="9"/>
      <c r="J613" s="10" t="s">
        <v>3247</v>
      </c>
      <c r="K613" s="10" t="s">
        <v>3247</v>
      </c>
    </row>
    <row r="614" customFormat="false" ht="15" hidden="false" customHeight="false" outlineLevel="0" collapsed="false">
      <c r="A614" s="9" t="n">
        <v>187</v>
      </c>
      <c r="B614" s="9" t="s">
        <v>1516</v>
      </c>
      <c r="C614" s="10" t="s">
        <v>4821</v>
      </c>
      <c r="D614" s="10" t="s">
        <v>4604</v>
      </c>
      <c r="E614" s="9" t="s">
        <v>4818</v>
      </c>
      <c r="F614" s="10" t="s">
        <v>4819</v>
      </c>
      <c r="G614" s="9" t="s">
        <v>3242</v>
      </c>
      <c r="H614" s="10" t="s">
        <v>4820</v>
      </c>
      <c r="I614" s="9"/>
      <c r="J614" s="10" t="s">
        <v>3247</v>
      </c>
      <c r="K614" s="10" t="s">
        <v>3247</v>
      </c>
    </row>
    <row r="615" customFormat="false" ht="15" hidden="false" customHeight="false" outlineLevel="0" collapsed="false">
      <c r="A615" s="9" t="n">
        <v>187</v>
      </c>
      <c r="B615" s="9" t="s">
        <v>1516</v>
      </c>
      <c r="C615" s="10" t="s">
        <v>4821</v>
      </c>
      <c r="D615" s="10" t="s">
        <v>4604</v>
      </c>
      <c r="E615" s="9" t="s">
        <v>2556</v>
      </c>
      <c r="F615" s="10" t="s">
        <v>2557</v>
      </c>
      <c r="G615" s="9" t="s">
        <v>3242</v>
      </c>
      <c r="H615" s="10" t="s">
        <v>4822</v>
      </c>
      <c r="I615" s="9" t="s">
        <v>4823</v>
      </c>
      <c r="J615" s="9" t="s">
        <v>3039</v>
      </c>
      <c r="K615" s="9" t="s">
        <v>3039</v>
      </c>
    </row>
    <row r="616" customFormat="false" ht="25.35" hidden="false" customHeight="false" outlineLevel="0" collapsed="false">
      <c r="A616" s="9" t="n">
        <v>187</v>
      </c>
      <c r="B616" s="9" t="s">
        <v>1516</v>
      </c>
      <c r="C616" s="10" t="s">
        <v>4821</v>
      </c>
      <c r="D616" s="10" t="s">
        <v>4604</v>
      </c>
      <c r="E616" s="9" t="s">
        <v>4824</v>
      </c>
      <c r="F616" s="10" t="s">
        <v>4825</v>
      </c>
      <c r="G616" s="9" t="s">
        <v>3242</v>
      </c>
      <c r="H616" s="10" t="s">
        <v>4826</v>
      </c>
      <c r="I616" s="9"/>
      <c r="J616" s="10" t="s">
        <v>3247</v>
      </c>
      <c r="K616" s="10" t="s">
        <v>3247</v>
      </c>
    </row>
    <row r="617" customFormat="false" ht="15" hidden="false" customHeight="false" outlineLevel="0" collapsed="false">
      <c r="A617" s="9" t="n">
        <v>188</v>
      </c>
      <c r="B617" s="9" t="s">
        <v>1524</v>
      </c>
      <c r="C617" s="10" t="s">
        <v>4827</v>
      </c>
      <c r="D617" s="10" t="s">
        <v>24</v>
      </c>
      <c r="E617" s="9" t="s">
        <v>4828</v>
      </c>
      <c r="F617" s="10" t="s">
        <v>2557</v>
      </c>
      <c r="G617" s="9" t="s">
        <v>3242</v>
      </c>
      <c r="H617" s="10" t="s">
        <v>4822</v>
      </c>
      <c r="I617" s="9"/>
      <c r="J617" s="9" t="s">
        <v>3039</v>
      </c>
      <c r="K617" s="9" t="s">
        <v>3039</v>
      </c>
    </row>
    <row r="618" customFormat="false" ht="15" hidden="false" customHeight="false" outlineLevel="0" collapsed="false">
      <c r="A618" s="9" t="n">
        <v>188</v>
      </c>
      <c r="B618" s="9" t="s">
        <v>1524</v>
      </c>
      <c r="C618" s="10" t="s">
        <v>4827</v>
      </c>
      <c r="D618" s="10" t="s">
        <v>24</v>
      </c>
      <c r="E618" s="9" t="s">
        <v>4829</v>
      </c>
      <c r="F618" s="10" t="s">
        <v>4830</v>
      </c>
      <c r="G618" s="9" t="s">
        <v>3242</v>
      </c>
      <c r="H618" s="10" t="s">
        <v>4831</v>
      </c>
      <c r="I618" s="9"/>
      <c r="J618" s="9" t="s">
        <v>2438</v>
      </c>
      <c r="K618" s="9" t="s">
        <v>2438</v>
      </c>
    </row>
    <row r="619" customFormat="false" ht="15" hidden="false" customHeight="false" outlineLevel="0" collapsed="false">
      <c r="A619" s="9" t="n">
        <v>188</v>
      </c>
      <c r="B619" s="9" t="s">
        <v>1524</v>
      </c>
      <c r="C619" s="10" t="s">
        <v>4827</v>
      </c>
      <c r="D619" s="10" t="s">
        <v>24</v>
      </c>
      <c r="E619" s="9" t="s">
        <v>4832</v>
      </c>
      <c r="F619" s="10" t="s">
        <v>2446</v>
      </c>
      <c r="G619" s="9" t="s">
        <v>3242</v>
      </c>
      <c r="H619" s="10" t="s">
        <v>4833</v>
      </c>
      <c r="I619" s="9"/>
      <c r="J619" s="9" t="s">
        <v>2438</v>
      </c>
      <c r="K619" s="9" t="s">
        <v>2438</v>
      </c>
    </row>
    <row r="620" customFormat="false" ht="15" hidden="false" customHeight="false" outlineLevel="0" collapsed="false">
      <c r="A620" s="9" t="n">
        <v>188</v>
      </c>
      <c r="B620" s="9" t="s">
        <v>1524</v>
      </c>
      <c r="C620" s="10" t="s">
        <v>4827</v>
      </c>
      <c r="D620" s="10" t="s">
        <v>24</v>
      </c>
      <c r="E620" s="9" t="s">
        <v>4834</v>
      </c>
      <c r="F620" s="10" t="s">
        <v>2442</v>
      </c>
      <c r="G620" s="9" t="s">
        <v>3242</v>
      </c>
      <c r="H620" s="10" t="s">
        <v>4835</v>
      </c>
      <c r="I620" s="9"/>
      <c r="J620" s="9" t="s">
        <v>2438</v>
      </c>
      <c r="K620" s="9" t="s">
        <v>2438</v>
      </c>
    </row>
    <row r="621" customFormat="false" ht="15" hidden="false" customHeight="false" outlineLevel="0" collapsed="false">
      <c r="A621" s="9" t="n">
        <v>189</v>
      </c>
      <c r="B621" s="9" t="s">
        <v>1529</v>
      </c>
      <c r="C621" s="10" t="s">
        <v>4836</v>
      </c>
      <c r="D621" s="10" t="s">
        <v>3482</v>
      </c>
      <c r="E621" s="9" t="s">
        <v>4811</v>
      </c>
      <c r="F621" s="10" t="s">
        <v>4812</v>
      </c>
      <c r="G621" s="9" t="s">
        <v>3242</v>
      </c>
      <c r="H621" s="10" t="s">
        <v>4813</v>
      </c>
      <c r="I621" s="9" t="s">
        <v>4837</v>
      </c>
      <c r="J621" s="10" t="s">
        <v>3247</v>
      </c>
      <c r="K621" s="10" t="s">
        <v>3247</v>
      </c>
    </row>
    <row r="622" customFormat="false" ht="23.85" hidden="false" customHeight="false" outlineLevel="0" collapsed="false">
      <c r="A622" s="9" t="n">
        <v>189</v>
      </c>
      <c r="B622" s="9" t="s">
        <v>1529</v>
      </c>
      <c r="C622" s="10" t="s">
        <v>4836</v>
      </c>
      <c r="D622" s="10" t="s">
        <v>3482</v>
      </c>
      <c r="E622" s="9" t="s">
        <v>4838</v>
      </c>
      <c r="F622" s="10" t="s">
        <v>4839</v>
      </c>
      <c r="G622" s="9" t="s">
        <v>3242</v>
      </c>
      <c r="H622" s="10" t="s">
        <v>4840</v>
      </c>
      <c r="I622" s="9"/>
      <c r="J622" s="10" t="s">
        <v>3247</v>
      </c>
      <c r="K622" s="10" t="s">
        <v>3247</v>
      </c>
    </row>
    <row r="623" customFormat="false" ht="15" hidden="false" customHeight="false" outlineLevel="0" collapsed="false">
      <c r="A623" s="9" t="n">
        <v>189</v>
      </c>
      <c r="B623" s="9" t="s">
        <v>1529</v>
      </c>
      <c r="C623" s="10" t="s">
        <v>4836</v>
      </c>
      <c r="D623" s="10" t="s">
        <v>3482</v>
      </c>
      <c r="E623" s="9" t="s">
        <v>4841</v>
      </c>
      <c r="F623" s="10" t="s">
        <v>4842</v>
      </c>
      <c r="G623" s="9" t="s">
        <v>3242</v>
      </c>
      <c r="H623" s="10" t="s">
        <v>4843</v>
      </c>
      <c r="I623" s="9" t="s">
        <v>4844</v>
      </c>
      <c r="J623" s="9" t="s">
        <v>3039</v>
      </c>
      <c r="K623" s="9" t="s">
        <v>3039</v>
      </c>
    </row>
    <row r="624" customFormat="false" ht="26.85" hidden="false" customHeight="false" outlineLevel="0" collapsed="false">
      <c r="A624" s="9" t="n">
        <v>189</v>
      </c>
      <c r="B624" s="9" t="s">
        <v>1529</v>
      </c>
      <c r="C624" s="10" t="s">
        <v>4836</v>
      </c>
      <c r="D624" s="10" t="s">
        <v>3482</v>
      </c>
      <c r="E624" s="9" t="s">
        <v>4845</v>
      </c>
      <c r="F624" s="10" t="s">
        <v>4846</v>
      </c>
      <c r="G624" s="10" t="s">
        <v>3355</v>
      </c>
      <c r="H624" s="10" t="s">
        <v>4847</v>
      </c>
      <c r="I624" s="9" t="s">
        <v>4844</v>
      </c>
      <c r="J624" s="10" t="s">
        <v>3247</v>
      </c>
      <c r="K624" s="10" t="s">
        <v>3247</v>
      </c>
    </row>
    <row r="625" customFormat="false" ht="15" hidden="false" customHeight="false" outlineLevel="0" collapsed="false">
      <c r="A625" s="9" t="n">
        <v>190</v>
      </c>
      <c r="B625" s="9" t="s">
        <v>1536</v>
      </c>
      <c r="C625" s="10" t="s">
        <v>1537</v>
      </c>
      <c r="D625" s="10" t="s">
        <v>24</v>
      </c>
      <c r="E625" s="9" t="s">
        <v>4848</v>
      </c>
      <c r="F625" s="10" t="s">
        <v>2442</v>
      </c>
      <c r="G625" s="9" t="s">
        <v>3242</v>
      </c>
      <c r="H625" s="10" t="s">
        <v>4835</v>
      </c>
      <c r="I625" s="9"/>
      <c r="J625" s="9" t="s">
        <v>2438</v>
      </c>
      <c r="K625" s="9" t="s">
        <v>2438</v>
      </c>
    </row>
    <row r="626" customFormat="false" ht="15" hidden="false" customHeight="false" outlineLevel="0" collapsed="false">
      <c r="A626" s="9" t="n">
        <v>190</v>
      </c>
      <c r="B626" s="9" t="s">
        <v>1536</v>
      </c>
      <c r="C626" s="10" t="s">
        <v>1537</v>
      </c>
      <c r="D626" s="10" t="s">
        <v>24</v>
      </c>
      <c r="E626" s="9" t="s">
        <v>4849</v>
      </c>
      <c r="F626" s="10" t="s">
        <v>2444</v>
      </c>
      <c r="G626" s="9" t="s">
        <v>3242</v>
      </c>
      <c r="H626" s="10" t="s">
        <v>4850</v>
      </c>
      <c r="I626" s="9"/>
      <c r="J626" s="9" t="s">
        <v>2438</v>
      </c>
      <c r="K626" s="9" t="s">
        <v>2438</v>
      </c>
    </row>
    <row r="627" customFormat="false" ht="15" hidden="false" customHeight="false" outlineLevel="0" collapsed="false">
      <c r="A627" s="9" t="n">
        <v>190</v>
      </c>
      <c r="B627" s="9" t="s">
        <v>1536</v>
      </c>
      <c r="C627" s="10" t="s">
        <v>1537</v>
      </c>
      <c r="D627" s="10" t="s">
        <v>24</v>
      </c>
      <c r="E627" s="9" t="s">
        <v>4832</v>
      </c>
      <c r="F627" s="10" t="s">
        <v>2446</v>
      </c>
      <c r="G627" s="9" t="s">
        <v>3242</v>
      </c>
      <c r="H627" s="10" t="s">
        <v>4833</v>
      </c>
      <c r="I627" s="9"/>
      <c r="J627" s="9" t="s">
        <v>2438</v>
      </c>
      <c r="K627" s="9" t="s">
        <v>2438</v>
      </c>
    </row>
    <row r="628" customFormat="false" ht="15" hidden="false" customHeight="false" outlineLevel="0" collapsed="false">
      <c r="A628" s="9" t="n">
        <v>191</v>
      </c>
      <c r="B628" s="9" t="s">
        <v>1540</v>
      </c>
      <c r="C628" s="10" t="s">
        <v>4851</v>
      </c>
      <c r="D628" s="10" t="s">
        <v>3807</v>
      </c>
      <c r="E628" s="9" t="s">
        <v>4356</v>
      </c>
      <c r="F628" s="10" t="s">
        <v>4357</v>
      </c>
      <c r="G628" s="9" t="s">
        <v>3242</v>
      </c>
      <c r="H628" s="10" t="s">
        <v>4358</v>
      </c>
      <c r="I628" s="9"/>
      <c r="J628" s="10" t="s">
        <v>3247</v>
      </c>
      <c r="K628" s="10" t="s">
        <v>3247</v>
      </c>
    </row>
    <row r="629" customFormat="false" ht="15" hidden="false" customHeight="false" outlineLevel="0" collapsed="false">
      <c r="A629" s="9" t="n">
        <v>191</v>
      </c>
      <c r="B629" s="9" t="s">
        <v>1540</v>
      </c>
      <c r="C629" s="10" t="s">
        <v>4851</v>
      </c>
      <c r="D629" s="10" t="s">
        <v>3807</v>
      </c>
      <c r="E629" s="9" t="s">
        <v>4852</v>
      </c>
      <c r="F629" s="10" t="s">
        <v>4853</v>
      </c>
      <c r="G629" s="9" t="s">
        <v>3242</v>
      </c>
      <c r="H629" s="10" t="s">
        <v>4854</v>
      </c>
      <c r="I629" s="9"/>
      <c r="J629" s="10" t="s">
        <v>3247</v>
      </c>
      <c r="K629" s="10" t="s">
        <v>3247</v>
      </c>
    </row>
    <row r="630" customFormat="false" ht="15" hidden="false" customHeight="false" outlineLevel="0" collapsed="false">
      <c r="A630" s="9" t="n">
        <v>191</v>
      </c>
      <c r="B630" s="9" t="s">
        <v>1540</v>
      </c>
      <c r="C630" s="10" t="s">
        <v>4851</v>
      </c>
      <c r="D630" s="10" t="s">
        <v>3807</v>
      </c>
      <c r="E630" s="9" t="s">
        <v>4855</v>
      </c>
      <c r="F630" s="10" t="s">
        <v>4842</v>
      </c>
      <c r="G630" s="9" t="s">
        <v>3242</v>
      </c>
      <c r="H630" s="10" t="s">
        <v>4843</v>
      </c>
      <c r="I630" s="9" t="s">
        <v>1545</v>
      </c>
      <c r="J630" s="9" t="s">
        <v>3039</v>
      </c>
      <c r="K630" s="9" t="s">
        <v>3039</v>
      </c>
    </row>
    <row r="631" customFormat="false" ht="15" hidden="false" customHeight="false" outlineLevel="0" collapsed="false">
      <c r="A631" s="9" t="n">
        <v>191</v>
      </c>
      <c r="B631" s="9" t="s">
        <v>1540</v>
      </c>
      <c r="C631" s="10" t="s">
        <v>4851</v>
      </c>
      <c r="D631" s="10" t="s">
        <v>3807</v>
      </c>
      <c r="E631" s="9" t="s">
        <v>4856</v>
      </c>
      <c r="F631" s="10" t="s">
        <v>4328</v>
      </c>
      <c r="G631" s="9" t="s">
        <v>3242</v>
      </c>
      <c r="H631" s="10" t="s">
        <v>4329</v>
      </c>
      <c r="I631" s="9"/>
      <c r="J631" s="9" t="s">
        <v>3039</v>
      </c>
      <c r="K631" s="9" t="s">
        <v>3039</v>
      </c>
    </row>
    <row r="632" customFormat="false" ht="26.85" hidden="false" customHeight="false" outlineLevel="0" collapsed="false">
      <c r="A632" s="9" t="n">
        <v>192</v>
      </c>
      <c r="B632" s="9" t="s">
        <v>1547</v>
      </c>
      <c r="C632" s="10" t="s">
        <v>4857</v>
      </c>
      <c r="D632" s="10" t="s">
        <v>3859</v>
      </c>
      <c r="E632" s="9" t="s">
        <v>4858</v>
      </c>
      <c r="F632" s="10" t="s">
        <v>4043</v>
      </c>
      <c r="G632" s="9" t="s">
        <v>3242</v>
      </c>
      <c r="H632" s="10" t="s">
        <v>4044</v>
      </c>
      <c r="I632" s="9" t="s">
        <v>4859</v>
      </c>
      <c r="J632" s="9" t="s">
        <v>2773</v>
      </c>
      <c r="K632" s="9" t="s">
        <v>2773</v>
      </c>
    </row>
    <row r="633" customFormat="false" ht="23.85" hidden="false" customHeight="false" outlineLevel="0" collapsed="false">
      <c r="A633" s="9" t="n">
        <v>192</v>
      </c>
      <c r="B633" s="9" t="s">
        <v>1547</v>
      </c>
      <c r="C633" s="10" t="s">
        <v>4857</v>
      </c>
      <c r="D633" s="10" t="s">
        <v>3859</v>
      </c>
      <c r="E633" s="9" t="s">
        <v>4860</v>
      </c>
      <c r="F633" s="10" t="s">
        <v>4861</v>
      </c>
      <c r="G633" s="9" t="s">
        <v>3242</v>
      </c>
      <c r="H633" s="10" t="s">
        <v>4862</v>
      </c>
      <c r="I633" s="9" t="s">
        <v>4859</v>
      </c>
      <c r="J633" s="9" t="s">
        <v>2773</v>
      </c>
      <c r="K633" s="9" t="s">
        <v>2773</v>
      </c>
    </row>
    <row r="634" customFormat="false" ht="23.85" hidden="false" customHeight="false" outlineLevel="0" collapsed="false">
      <c r="A634" s="9" t="n">
        <v>192</v>
      </c>
      <c r="B634" s="9" t="s">
        <v>1547</v>
      </c>
      <c r="C634" s="10" t="s">
        <v>4857</v>
      </c>
      <c r="D634" s="10" t="s">
        <v>3859</v>
      </c>
      <c r="E634" s="9" t="s">
        <v>4863</v>
      </c>
      <c r="F634" s="10" t="s">
        <v>4864</v>
      </c>
      <c r="G634" s="9" t="s">
        <v>3242</v>
      </c>
      <c r="H634" s="10" t="s">
        <v>4865</v>
      </c>
      <c r="I634" s="9" t="s">
        <v>4859</v>
      </c>
      <c r="J634" s="9" t="s">
        <v>2773</v>
      </c>
      <c r="K634" s="9" t="s">
        <v>2773</v>
      </c>
    </row>
    <row r="635" customFormat="false" ht="15" hidden="false" customHeight="false" outlineLevel="0" collapsed="false">
      <c r="A635" s="9" t="n">
        <v>193</v>
      </c>
      <c r="B635" s="9" t="s">
        <v>1554</v>
      </c>
      <c r="C635" s="10" t="s">
        <v>4866</v>
      </c>
      <c r="D635" s="10" t="s">
        <v>30</v>
      </c>
      <c r="E635" s="9" t="s">
        <v>4867</v>
      </c>
      <c r="F635" s="10" t="s">
        <v>3382</v>
      </c>
      <c r="G635" s="9" t="s">
        <v>3242</v>
      </c>
      <c r="H635" s="10" t="s">
        <v>3383</v>
      </c>
      <c r="I635" s="9"/>
      <c r="J635" s="9" t="s">
        <v>2232</v>
      </c>
      <c r="K635" s="9" t="s">
        <v>3284</v>
      </c>
    </row>
    <row r="636" customFormat="false" ht="15" hidden="false" customHeight="false" outlineLevel="0" collapsed="false">
      <c r="A636" s="9" t="n">
        <v>193</v>
      </c>
      <c r="B636" s="9" t="s">
        <v>1554</v>
      </c>
      <c r="C636" s="10" t="s">
        <v>4866</v>
      </c>
      <c r="D636" s="10" t="s">
        <v>30</v>
      </c>
      <c r="E636" s="9" t="s">
        <v>4868</v>
      </c>
      <c r="F636" s="10" t="s">
        <v>4869</v>
      </c>
      <c r="G636" s="9" t="s">
        <v>3242</v>
      </c>
      <c r="H636" s="10" t="s">
        <v>4870</v>
      </c>
      <c r="I636" s="9"/>
      <c r="J636" s="9" t="s">
        <v>2232</v>
      </c>
      <c r="K636" s="9" t="s">
        <v>3284</v>
      </c>
    </row>
    <row r="637" customFormat="false" ht="15" hidden="false" customHeight="false" outlineLevel="0" collapsed="false">
      <c r="A637" s="9" t="n">
        <v>193</v>
      </c>
      <c r="B637" s="9" t="s">
        <v>1554</v>
      </c>
      <c r="C637" s="10" t="s">
        <v>4866</v>
      </c>
      <c r="D637" s="10" t="s">
        <v>30</v>
      </c>
      <c r="E637" s="9" t="s">
        <v>4871</v>
      </c>
      <c r="F637" s="10" t="s">
        <v>4872</v>
      </c>
      <c r="G637" s="9" t="s">
        <v>3242</v>
      </c>
      <c r="H637" s="10" t="s">
        <v>4873</v>
      </c>
      <c r="I637" s="9"/>
      <c r="J637" s="9" t="s">
        <v>2232</v>
      </c>
      <c r="K637" s="9" t="s">
        <v>3284</v>
      </c>
    </row>
    <row r="638" customFormat="false" ht="26.85" hidden="false" customHeight="false" outlineLevel="0" collapsed="false">
      <c r="A638" s="9" t="n">
        <v>193</v>
      </c>
      <c r="B638" s="9" t="s">
        <v>1554</v>
      </c>
      <c r="C638" s="10" t="s">
        <v>4866</v>
      </c>
      <c r="D638" s="10" t="s">
        <v>30</v>
      </c>
      <c r="E638" s="9" t="s">
        <v>4874</v>
      </c>
      <c r="F638" s="10" t="s">
        <v>4875</v>
      </c>
      <c r="G638" s="9" t="s">
        <v>3242</v>
      </c>
      <c r="H638" s="10" t="s">
        <v>4876</v>
      </c>
      <c r="I638" s="9"/>
      <c r="J638" s="10" t="s">
        <v>3247</v>
      </c>
      <c r="K638" s="10" t="s">
        <v>3247</v>
      </c>
    </row>
    <row r="639" customFormat="false" ht="15" hidden="false" customHeight="false" outlineLevel="0" collapsed="false">
      <c r="A639" s="9" t="n">
        <v>194</v>
      </c>
      <c r="B639" s="9" t="s">
        <v>1561</v>
      </c>
      <c r="C639" s="10" t="s">
        <v>4877</v>
      </c>
      <c r="D639" s="10" t="s">
        <v>27</v>
      </c>
      <c r="E639" s="9" t="s">
        <v>4878</v>
      </c>
      <c r="F639" s="10" t="s">
        <v>4879</v>
      </c>
      <c r="G639" s="9" t="s">
        <v>3242</v>
      </c>
      <c r="H639" s="10" t="s">
        <v>4880</v>
      </c>
      <c r="I639" s="9"/>
      <c r="J639" s="9" t="s">
        <v>2232</v>
      </c>
      <c r="K639" s="9" t="s">
        <v>3284</v>
      </c>
    </row>
    <row r="640" customFormat="false" ht="15" hidden="false" customHeight="false" outlineLevel="0" collapsed="false">
      <c r="A640" s="9" t="n">
        <v>194</v>
      </c>
      <c r="B640" s="9" t="s">
        <v>1561</v>
      </c>
      <c r="C640" s="10" t="s">
        <v>4877</v>
      </c>
      <c r="D640" s="10" t="s">
        <v>27</v>
      </c>
      <c r="E640" s="9" t="s">
        <v>4881</v>
      </c>
      <c r="F640" s="10" t="s">
        <v>4882</v>
      </c>
      <c r="G640" s="9" t="s">
        <v>3242</v>
      </c>
      <c r="H640" s="10" t="s">
        <v>4883</v>
      </c>
      <c r="I640" s="9"/>
      <c r="J640" s="9" t="s">
        <v>2232</v>
      </c>
      <c r="K640" s="9" t="s">
        <v>3284</v>
      </c>
    </row>
    <row r="641" customFormat="false" ht="15" hidden="false" customHeight="false" outlineLevel="0" collapsed="false">
      <c r="A641" s="9" t="n">
        <v>194</v>
      </c>
      <c r="B641" s="9" t="s">
        <v>1561</v>
      </c>
      <c r="C641" s="10" t="s">
        <v>4877</v>
      </c>
      <c r="D641" s="10" t="s">
        <v>27</v>
      </c>
      <c r="E641" s="9" t="s">
        <v>4884</v>
      </c>
      <c r="F641" s="10" t="s">
        <v>4885</v>
      </c>
      <c r="G641" s="9" t="s">
        <v>3242</v>
      </c>
      <c r="H641" s="10" t="s">
        <v>4886</v>
      </c>
      <c r="I641" s="9"/>
      <c r="J641" s="9" t="s">
        <v>2232</v>
      </c>
      <c r="K641" s="9" t="s">
        <v>3284</v>
      </c>
    </row>
    <row r="642" customFormat="false" ht="15" hidden="false" customHeight="false" outlineLevel="0" collapsed="false">
      <c r="A642" s="9" t="n">
        <v>194</v>
      </c>
      <c r="B642" s="9" t="s">
        <v>1561</v>
      </c>
      <c r="C642" s="10" t="s">
        <v>4877</v>
      </c>
      <c r="D642" s="10" t="s">
        <v>27</v>
      </c>
      <c r="E642" s="9" t="s">
        <v>4887</v>
      </c>
      <c r="F642" s="10" t="s">
        <v>4888</v>
      </c>
      <c r="G642" s="9" t="s">
        <v>3242</v>
      </c>
      <c r="H642" s="10" t="s">
        <v>4889</v>
      </c>
      <c r="I642" s="9"/>
      <c r="J642" s="10" t="s">
        <v>3247</v>
      </c>
      <c r="K642" s="10" t="s">
        <v>3247</v>
      </c>
    </row>
    <row r="643" customFormat="false" ht="26.85" hidden="false" customHeight="false" outlineLevel="0" collapsed="false">
      <c r="A643" s="9" t="n">
        <v>195</v>
      </c>
      <c r="B643" s="9" t="s">
        <v>1566</v>
      </c>
      <c r="C643" s="10" t="s">
        <v>4890</v>
      </c>
      <c r="D643" s="10" t="s">
        <v>25</v>
      </c>
      <c r="E643" s="9" t="s">
        <v>4891</v>
      </c>
      <c r="F643" s="10" t="s">
        <v>4043</v>
      </c>
      <c r="G643" s="9" t="s">
        <v>3242</v>
      </c>
      <c r="H643" s="10" t="s">
        <v>4044</v>
      </c>
      <c r="I643" s="9" t="s">
        <v>4892</v>
      </c>
      <c r="J643" s="9" t="s">
        <v>2773</v>
      </c>
      <c r="K643" s="9" t="s">
        <v>2773</v>
      </c>
    </row>
    <row r="644" customFormat="false" ht="26.85" hidden="false" customHeight="false" outlineLevel="0" collapsed="false">
      <c r="A644" s="9" t="n">
        <v>195</v>
      </c>
      <c r="B644" s="9" t="s">
        <v>1566</v>
      </c>
      <c r="C644" s="10" t="s">
        <v>4890</v>
      </c>
      <c r="D644" s="10" t="s">
        <v>25</v>
      </c>
      <c r="E644" s="9" t="s">
        <v>4860</v>
      </c>
      <c r="F644" s="10" t="s">
        <v>4861</v>
      </c>
      <c r="G644" s="9" t="s">
        <v>3242</v>
      </c>
      <c r="H644" s="10" t="s">
        <v>4862</v>
      </c>
      <c r="I644" s="9" t="s">
        <v>4892</v>
      </c>
      <c r="J644" s="9" t="s">
        <v>2773</v>
      </c>
      <c r="K644" s="9" t="s">
        <v>2773</v>
      </c>
    </row>
    <row r="645" customFormat="false" ht="26.85" hidden="false" customHeight="false" outlineLevel="0" collapsed="false">
      <c r="A645" s="9" t="n">
        <v>195</v>
      </c>
      <c r="B645" s="9" t="s">
        <v>1566</v>
      </c>
      <c r="C645" s="10" t="s">
        <v>4890</v>
      </c>
      <c r="D645" s="10" t="s">
        <v>25</v>
      </c>
      <c r="E645" s="9" t="s">
        <v>4893</v>
      </c>
      <c r="F645" s="10" t="s">
        <v>4894</v>
      </c>
      <c r="G645" s="9" t="s">
        <v>3242</v>
      </c>
      <c r="H645" s="10" t="s">
        <v>4895</v>
      </c>
      <c r="I645" s="9" t="s">
        <v>4892</v>
      </c>
      <c r="J645" s="9" t="s">
        <v>2773</v>
      </c>
      <c r="K645" s="9" t="s">
        <v>2773</v>
      </c>
    </row>
    <row r="646" customFormat="false" ht="15" hidden="false" customHeight="false" outlineLevel="0" collapsed="false">
      <c r="A646" s="9" t="n">
        <v>196</v>
      </c>
      <c r="B646" s="9" t="s">
        <v>1573</v>
      </c>
      <c r="C646" s="10" t="s">
        <v>4896</v>
      </c>
      <c r="D646" s="10" t="s">
        <v>25</v>
      </c>
      <c r="E646" s="9" t="s">
        <v>4897</v>
      </c>
      <c r="F646" s="10" t="s">
        <v>4898</v>
      </c>
      <c r="G646" s="9" t="s">
        <v>3242</v>
      </c>
      <c r="H646" s="10" t="s">
        <v>4899</v>
      </c>
      <c r="I646" s="9"/>
      <c r="J646" s="9" t="s">
        <v>2232</v>
      </c>
      <c r="K646" s="9" t="s">
        <v>3284</v>
      </c>
    </row>
    <row r="647" customFormat="false" ht="15" hidden="false" customHeight="false" outlineLevel="0" collapsed="false">
      <c r="A647" s="9" t="n">
        <v>196</v>
      </c>
      <c r="B647" s="9" t="s">
        <v>1573</v>
      </c>
      <c r="C647" s="10" t="s">
        <v>4896</v>
      </c>
      <c r="D647" s="10" t="s">
        <v>25</v>
      </c>
      <c r="E647" s="9" t="s">
        <v>4900</v>
      </c>
      <c r="F647" s="10" t="s">
        <v>4901</v>
      </c>
      <c r="G647" s="9" t="s">
        <v>3242</v>
      </c>
      <c r="H647" s="10" t="s">
        <v>4902</v>
      </c>
      <c r="I647" s="9"/>
      <c r="J647" s="9" t="s">
        <v>2232</v>
      </c>
      <c r="K647" s="9" t="s">
        <v>3284</v>
      </c>
    </row>
    <row r="648" customFormat="false" ht="23.85" hidden="false" customHeight="false" outlineLevel="0" collapsed="false">
      <c r="A648" s="9" t="n">
        <v>196</v>
      </c>
      <c r="B648" s="9" t="s">
        <v>1573</v>
      </c>
      <c r="C648" s="10" t="s">
        <v>4896</v>
      </c>
      <c r="D648" s="10" t="s">
        <v>25</v>
      </c>
      <c r="E648" s="9" t="s">
        <v>4903</v>
      </c>
      <c r="F648" s="10" t="s">
        <v>4904</v>
      </c>
      <c r="G648" s="9" t="s">
        <v>3242</v>
      </c>
      <c r="H648" s="10" t="s">
        <v>4905</v>
      </c>
      <c r="I648" s="9"/>
      <c r="J648" s="9" t="s">
        <v>2232</v>
      </c>
      <c r="K648" s="9" t="s">
        <v>3284</v>
      </c>
    </row>
    <row r="649" customFormat="false" ht="15" hidden="false" customHeight="false" outlineLevel="0" collapsed="false">
      <c r="A649" s="9" t="n">
        <v>197</v>
      </c>
      <c r="B649" s="9" t="s">
        <v>1578</v>
      </c>
      <c r="C649" s="10" t="s">
        <v>4906</v>
      </c>
      <c r="D649" s="10" t="s">
        <v>27</v>
      </c>
      <c r="E649" s="9" t="s">
        <v>4907</v>
      </c>
      <c r="F649" s="10" t="s">
        <v>3782</v>
      </c>
      <c r="G649" s="9" t="s">
        <v>3242</v>
      </c>
      <c r="H649" s="10" t="s">
        <v>3783</v>
      </c>
      <c r="I649" s="9"/>
      <c r="J649" s="10" t="s">
        <v>3247</v>
      </c>
      <c r="K649" s="10" t="s">
        <v>3247</v>
      </c>
    </row>
    <row r="650" customFormat="false" ht="26.85" hidden="false" customHeight="false" outlineLevel="0" collapsed="false">
      <c r="A650" s="9" t="n">
        <v>197</v>
      </c>
      <c r="B650" s="9" t="s">
        <v>1578</v>
      </c>
      <c r="C650" s="10" t="s">
        <v>4906</v>
      </c>
      <c r="D650" s="10" t="s">
        <v>27</v>
      </c>
      <c r="E650" s="9" t="s">
        <v>4908</v>
      </c>
      <c r="F650" s="10" t="s">
        <v>3779</v>
      </c>
      <c r="G650" s="9" t="s">
        <v>3242</v>
      </c>
      <c r="H650" s="10" t="s">
        <v>3780</v>
      </c>
      <c r="I650" s="9" t="s">
        <v>4909</v>
      </c>
      <c r="J650" s="10" t="s">
        <v>3247</v>
      </c>
      <c r="K650" s="10" t="s">
        <v>3247</v>
      </c>
    </row>
    <row r="651" customFormat="false" ht="15" hidden="false" customHeight="false" outlineLevel="0" collapsed="false">
      <c r="A651" s="9" t="n">
        <v>198</v>
      </c>
      <c r="B651" s="9" t="s">
        <v>1583</v>
      </c>
      <c r="C651" s="10" t="s">
        <v>4910</v>
      </c>
      <c r="D651" s="10" t="s">
        <v>25</v>
      </c>
      <c r="E651" s="9" t="s">
        <v>4911</v>
      </c>
      <c r="F651" s="10" t="s">
        <v>4912</v>
      </c>
      <c r="G651" s="9" t="s">
        <v>3242</v>
      </c>
      <c r="H651" s="10" t="s">
        <v>4913</v>
      </c>
      <c r="I651" s="9"/>
      <c r="J651" s="9" t="s">
        <v>2232</v>
      </c>
      <c r="K651" s="9" t="s">
        <v>3284</v>
      </c>
    </row>
    <row r="652" customFormat="false" ht="15" hidden="false" customHeight="false" outlineLevel="0" collapsed="false">
      <c r="A652" s="9" t="n">
        <v>198</v>
      </c>
      <c r="B652" s="9" t="s">
        <v>1583</v>
      </c>
      <c r="C652" s="10" t="s">
        <v>4910</v>
      </c>
      <c r="D652" s="10" t="s">
        <v>25</v>
      </c>
      <c r="E652" s="9" t="s">
        <v>4914</v>
      </c>
      <c r="F652" s="10" t="s">
        <v>4915</v>
      </c>
      <c r="G652" s="9" t="s">
        <v>3242</v>
      </c>
      <c r="H652" s="10" t="s">
        <v>4916</v>
      </c>
      <c r="I652" s="9"/>
      <c r="J652" s="9" t="s">
        <v>2232</v>
      </c>
      <c r="K652" s="9" t="s">
        <v>3284</v>
      </c>
    </row>
    <row r="653" customFormat="false" ht="15" hidden="false" customHeight="false" outlineLevel="0" collapsed="false">
      <c r="A653" s="9" t="n">
        <v>198</v>
      </c>
      <c r="B653" s="9" t="s">
        <v>1583</v>
      </c>
      <c r="C653" s="10" t="s">
        <v>4910</v>
      </c>
      <c r="D653" s="10" t="s">
        <v>25</v>
      </c>
      <c r="E653" s="9" t="s">
        <v>2962</v>
      </c>
      <c r="F653" s="10" t="s">
        <v>2269</v>
      </c>
      <c r="G653" s="9" t="s">
        <v>3242</v>
      </c>
      <c r="H653" s="10" t="s">
        <v>4917</v>
      </c>
      <c r="I653" s="9"/>
      <c r="J653" s="9" t="s">
        <v>2232</v>
      </c>
      <c r="K653" s="9" t="s">
        <v>3284</v>
      </c>
    </row>
    <row r="654" customFormat="false" ht="26.85" hidden="false" customHeight="false" outlineLevel="0" collapsed="false">
      <c r="A654" s="9" t="n">
        <v>198</v>
      </c>
      <c r="B654" s="9" t="s">
        <v>1583</v>
      </c>
      <c r="C654" s="10" t="s">
        <v>4910</v>
      </c>
      <c r="D654" s="10" t="s">
        <v>25</v>
      </c>
      <c r="E654" s="9" t="s">
        <v>4918</v>
      </c>
      <c r="F654" s="10" t="s">
        <v>4919</v>
      </c>
      <c r="G654" s="9" t="s">
        <v>3242</v>
      </c>
      <c r="H654" s="10" t="s">
        <v>4920</v>
      </c>
      <c r="I654" s="9"/>
      <c r="J654" s="9" t="s">
        <v>2232</v>
      </c>
      <c r="K654" s="9" t="s">
        <v>3284</v>
      </c>
    </row>
    <row r="655" customFormat="false" ht="26.85" hidden="false" customHeight="false" outlineLevel="0" collapsed="false">
      <c r="A655" s="9" t="n">
        <v>199</v>
      </c>
      <c r="B655" s="9" t="s">
        <v>1588</v>
      </c>
      <c r="C655" s="10" t="s">
        <v>1589</v>
      </c>
      <c r="D655" s="10" t="s">
        <v>24</v>
      </c>
      <c r="E655" s="9" t="s">
        <v>4921</v>
      </c>
      <c r="F655" s="10" t="s">
        <v>3818</v>
      </c>
      <c r="G655" s="10" t="s">
        <v>3355</v>
      </c>
      <c r="H655" s="10" t="s">
        <v>3819</v>
      </c>
      <c r="I655" s="10" t="s">
        <v>3820</v>
      </c>
      <c r="J655" s="10" t="s">
        <v>3247</v>
      </c>
      <c r="K655" s="10" t="s">
        <v>3247</v>
      </c>
    </row>
    <row r="656" customFormat="false" ht="15" hidden="false" customHeight="false" outlineLevel="0" collapsed="false">
      <c r="A656" s="9" t="n">
        <v>199</v>
      </c>
      <c r="B656" s="9" t="s">
        <v>1588</v>
      </c>
      <c r="C656" s="10" t="s">
        <v>1589</v>
      </c>
      <c r="D656" s="10" t="s">
        <v>24</v>
      </c>
      <c r="E656" s="9" t="s">
        <v>4922</v>
      </c>
      <c r="F656" s="10" t="s">
        <v>4915</v>
      </c>
      <c r="G656" s="9" t="s">
        <v>3242</v>
      </c>
      <c r="H656" s="10" t="s">
        <v>4916</v>
      </c>
      <c r="I656" s="9"/>
      <c r="J656" s="9" t="s">
        <v>2232</v>
      </c>
      <c r="K656" s="9" t="s">
        <v>3284</v>
      </c>
    </row>
    <row r="657" customFormat="false" ht="15" hidden="false" customHeight="false" outlineLevel="0" collapsed="false">
      <c r="A657" s="9" t="n">
        <v>199</v>
      </c>
      <c r="B657" s="9" t="s">
        <v>1588</v>
      </c>
      <c r="C657" s="10" t="s">
        <v>1589</v>
      </c>
      <c r="D657" s="10" t="s">
        <v>24</v>
      </c>
      <c r="E657" s="9" t="s">
        <v>2962</v>
      </c>
      <c r="F657" s="10" t="s">
        <v>2269</v>
      </c>
      <c r="G657" s="9" t="s">
        <v>3242</v>
      </c>
      <c r="H657" s="10" t="s">
        <v>4917</v>
      </c>
      <c r="I657" s="9"/>
      <c r="J657" s="9" t="s">
        <v>2232</v>
      </c>
      <c r="K657" s="9" t="s">
        <v>3284</v>
      </c>
    </row>
    <row r="658" customFormat="false" ht="15" hidden="false" customHeight="false" outlineLevel="0" collapsed="false">
      <c r="A658" s="9" t="n">
        <v>200</v>
      </c>
      <c r="B658" s="9" t="s">
        <v>1591</v>
      </c>
      <c r="C658" s="10" t="s">
        <v>4923</v>
      </c>
      <c r="D658" s="10" t="s">
        <v>24</v>
      </c>
      <c r="E658" s="9" t="s">
        <v>4924</v>
      </c>
      <c r="F658" s="10" t="s">
        <v>4925</v>
      </c>
      <c r="G658" s="9" t="s">
        <v>3242</v>
      </c>
      <c r="H658" s="10" t="s">
        <v>4926</v>
      </c>
      <c r="I658" s="9" t="s">
        <v>4927</v>
      </c>
      <c r="J658" s="10" t="s">
        <v>3247</v>
      </c>
      <c r="K658" s="10" t="s">
        <v>3247</v>
      </c>
    </row>
    <row r="659" customFormat="false" ht="15" hidden="false" customHeight="false" outlineLevel="0" collapsed="false">
      <c r="A659" s="9" t="n">
        <v>200</v>
      </c>
      <c r="B659" s="9" t="s">
        <v>1591</v>
      </c>
      <c r="C659" s="10" t="s">
        <v>4923</v>
      </c>
      <c r="D659" s="10" t="s">
        <v>24</v>
      </c>
      <c r="E659" s="9" t="s">
        <v>4928</v>
      </c>
      <c r="F659" s="10" t="s">
        <v>4929</v>
      </c>
      <c r="G659" s="9" t="s">
        <v>3242</v>
      </c>
      <c r="H659" s="10" t="s">
        <v>4930</v>
      </c>
      <c r="I659" s="9" t="s">
        <v>4927</v>
      </c>
      <c r="J659" s="10" t="s">
        <v>3247</v>
      </c>
      <c r="K659" s="10" t="s">
        <v>3247</v>
      </c>
    </row>
    <row r="660" customFormat="false" ht="15" hidden="false" customHeight="false" outlineLevel="0" collapsed="false">
      <c r="A660" s="9" t="n">
        <v>200</v>
      </c>
      <c r="B660" s="9" t="s">
        <v>1591</v>
      </c>
      <c r="C660" s="10" t="s">
        <v>4923</v>
      </c>
      <c r="D660" s="10" t="s">
        <v>24</v>
      </c>
      <c r="E660" s="9" t="s">
        <v>4931</v>
      </c>
      <c r="F660" s="10" t="s">
        <v>4932</v>
      </c>
      <c r="G660" s="9" t="s">
        <v>3242</v>
      </c>
      <c r="H660" s="10" t="s">
        <v>4933</v>
      </c>
      <c r="I660" s="9" t="s">
        <v>4934</v>
      </c>
      <c r="J660" s="9" t="s">
        <v>2773</v>
      </c>
      <c r="K660" s="9" t="s">
        <v>2773</v>
      </c>
    </row>
    <row r="661" customFormat="false" ht="15" hidden="false" customHeight="false" outlineLevel="0" collapsed="false">
      <c r="A661" s="9" t="n">
        <v>201</v>
      </c>
      <c r="B661" s="9" t="s">
        <v>1598</v>
      </c>
      <c r="C661" s="10" t="s">
        <v>1599</v>
      </c>
      <c r="D661" s="10" t="s">
        <v>25</v>
      </c>
      <c r="E661" s="9" t="s">
        <v>4935</v>
      </c>
      <c r="F661" s="10" t="s">
        <v>3299</v>
      </c>
      <c r="G661" s="9" t="s">
        <v>3242</v>
      </c>
      <c r="H661" s="10" t="s">
        <v>3300</v>
      </c>
      <c r="I661" s="9"/>
      <c r="J661" s="9" t="s">
        <v>2773</v>
      </c>
      <c r="K661" s="9" t="s">
        <v>2773</v>
      </c>
    </row>
    <row r="662" customFormat="false" ht="26.85" hidden="false" customHeight="false" outlineLevel="0" collapsed="false">
      <c r="A662" s="9" t="n">
        <v>201</v>
      </c>
      <c r="B662" s="9" t="s">
        <v>1598</v>
      </c>
      <c r="C662" s="10" t="s">
        <v>1599</v>
      </c>
      <c r="D662" s="10" t="s">
        <v>25</v>
      </c>
      <c r="E662" s="9" t="s">
        <v>4936</v>
      </c>
      <c r="F662" s="10" t="s">
        <v>3302</v>
      </c>
      <c r="G662" s="9" t="s">
        <v>3242</v>
      </c>
      <c r="H662" s="10" t="s">
        <v>3303</v>
      </c>
      <c r="I662" s="9"/>
      <c r="J662" s="9" t="s">
        <v>2773</v>
      </c>
      <c r="K662" s="9" t="s">
        <v>2773</v>
      </c>
    </row>
    <row r="663" customFormat="false" ht="15" hidden="false" customHeight="false" outlineLevel="0" collapsed="false">
      <c r="A663" s="9" t="n">
        <v>201</v>
      </c>
      <c r="B663" s="9" t="s">
        <v>1598</v>
      </c>
      <c r="C663" s="10" t="s">
        <v>1599</v>
      </c>
      <c r="D663" s="10" t="s">
        <v>25</v>
      </c>
      <c r="E663" s="9" t="s">
        <v>4937</v>
      </c>
      <c r="F663" s="10" t="s">
        <v>4938</v>
      </c>
      <c r="G663" s="9" t="s">
        <v>3242</v>
      </c>
      <c r="H663" s="10" t="s">
        <v>4939</v>
      </c>
      <c r="I663" s="9"/>
      <c r="J663" s="9" t="s">
        <v>2773</v>
      </c>
      <c r="K663" s="9" t="s">
        <v>2773</v>
      </c>
    </row>
    <row r="664" customFormat="false" ht="25.35" hidden="false" customHeight="false" outlineLevel="0" collapsed="false">
      <c r="A664" s="9" t="n">
        <v>202</v>
      </c>
      <c r="B664" s="9" t="s">
        <v>1603</v>
      </c>
      <c r="C664" s="10" t="s">
        <v>4940</v>
      </c>
      <c r="D664" s="10" t="s">
        <v>4097</v>
      </c>
      <c r="E664" s="9" t="s">
        <v>4941</v>
      </c>
      <c r="F664" s="10" t="s">
        <v>4942</v>
      </c>
      <c r="G664" s="9" t="s">
        <v>3242</v>
      </c>
      <c r="H664" s="10" t="s">
        <v>4943</v>
      </c>
      <c r="I664" s="9"/>
      <c r="J664" s="10" t="s">
        <v>3247</v>
      </c>
      <c r="K664" s="10" t="s">
        <v>3247</v>
      </c>
    </row>
    <row r="665" customFormat="false" ht="23.85" hidden="false" customHeight="false" outlineLevel="0" collapsed="false">
      <c r="A665" s="9" t="n">
        <v>202</v>
      </c>
      <c r="B665" s="9" t="s">
        <v>1603</v>
      </c>
      <c r="C665" s="10" t="s">
        <v>4940</v>
      </c>
      <c r="D665" s="10" t="s">
        <v>4097</v>
      </c>
      <c r="E665" s="9" t="s">
        <v>4944</v>
      </c>
      <c r="F665" s="10" t="s">
        <v>4945</v>
      </c>
      <c r="G665" s="9" t="s">
        <v>3242</v>
      </c>
      <c r="H665" s="10" t="s">
        <v>4946</v>
      </c>
      <c r="I665" s="9"/>
      <c r="J665" s="10" t="s">
        <v>3247</v>
      </c>
      <c r="K665" s="10" t="s">
        <v>3247</v>
      </c>
    </row>
    <row r="666" customFormat="false" ht="23.85" hidden="false" customHeight="false" outlineLevel="0" collapsed="false">
      <c r="A666" s="9" t="n">
        <v>202</v>
      </c>
      <c r="B666" s="9" t="s">
        <v>1603</v>
      </c>
      <c r="C666" s="10" t="s">
        <v>4940</v>
      </c>
      <c r="D666" s="10" t="s">
        <v>4097</v>
      </c>
      <c r="E666" s="9" t="s">
        <v>4947</v>
      </c>
      <c r="F666" s="10" t="s">
        <v>4948</v>
      </c>
      <c r="G666" s="9" t="s">
        <v>3242</v>
      </c>
      <c r="H666" s="10" t="s">
        <v>4949</v>
      </c>
      <c r="I666" s="9"/>
      <c r="J666" s="10" t="s">
        <v>3247</v>
      </c>
      <c r="K666" s="10" t="s">
        <v>3247</v>
      </c>
    </row>
    <row r="667" customFormat="false" ht="23.85" hidden="false" customHeight="false" outlineLevel="0" collapsed="false">
      <c r="A667" s="9" t="n">
        <v>202</v>
      </c>
      <c r="B667" s="9" t="s">
        <v>1603</v>
      </c>
      <c r="C667" s="10" t="s">
        <v>4940</v>
      </c>
      <c r="D667" s="10" t="s">
        <v>4097</v>
      </c>
      <c r="E667" s="9" t="s">
        <v>4950</v>
      </c>
      <c r="F667" s="10" t="s">
        <v>4951</v>
      </c>
      <c r="G667" s="9" t="s">
        <v>3242</v>
      </c>
      <c r="H667" s="10" t="s">
        <v>4952</v>
      </c>
      <c r="I667" s="9"/>
      <c r="J667" s="10" t="s">
        <v>3247</v>
      </c>
      <c r="K667" s="10" t="s">
        <v>3247</v>
      </c>
    </row>
    <row r="668" customFormat="false" ht="23.85" hidden="false" customHeight="false" outlineLevel="0" collapsed="false">
      <c r="A668" s="9" t="n">
        <v>203</v>
      </c>
      <c r="B668" s="9" t="s">
        <v>1619</v>
      </c>
      <c r="C668" s="10" t="s">
        <v>4953</v>
      </c>
      <c r="D668" s="10" t="s">
        <v>4512</v>
      </c>
      <c r="E668" s="9" t="s">
        <v>4954</v>
      </c>
      <c r="F668" s="10" t="s">
        <v>4955</v>
      </c>
      <c r="G668" s="9" t="s">
        <v>3242</v>
      </c>
      <c r="H668" s="10" t="s">
        <v>4956</v>
      </c>
      <c r="I668" s="9"/>
      <c r="J668" s="9" t="s">
        <v>2232</v>
      </c>
      <c r="K668" s="9" t="s">
        <v>3284</v>
      </c>
    </row>
    <row r="669" customFormat="false" ht="15" hidden="false" customHeight="false" outlineLevel="0" collapsed="false">
      <c r="A669" s="9" t="n">
        <v>203</v>
      </c>
      <c r="B669" s="9" t="s">
        <v>1619</v>
      </c>
      <c r="C669" s="10" t="s">
        <v>4953</v>
      </c>
      <c r="D669" s="10" t="s">
        <v>4512</v>
      </c>
      <c r="E669" s="9" t="s">
        <v>4957</v>
      </c>
      <c r="F669" s="10" t="s">
        <v>4958</v>
      </c>
      <c r="G669" s="9" t="s">
        <v>3242</v>
      </c>
      <c r="H669" s="10" t="s">
        <v>4959</v>
      </c>
      <c r="I669" s="9"/>
      <c r="J669" s="9" t="s">
        <v>2232</v>
      </c>
      <c r="K669" s="9" t="s">
        <v>3284</v>
      </c>
    </row>
    <row r="670" customFormat="false" ht="15" hidden="false" customHeight="false" outlineLevel="0" collapsed="false">
      <c r="A670" s="9" t="n">
        <v>203</v>
      </c>
      <c r="B670" s="9" t="s">
        <v>1619</v>
      </c>
      <c r="C670" s="10" t="s">
        <v>4953</v>
      </c>
      <c r="D670" s="10" t="s">
        <v>4512</v>
      </c>
      <c r="E670" s="9" t="s">
        <v>4960</v>
      </c>
      <c r="F670" s="10" t="s">
        <v>4961</v>
      </c>
      <c r="G670" s="9" t="s">
        <v>3242</v>
      </c>
      <c r="H670" s="10" t="s">
        <v>4962</v>
      </c>
      <c r="I670" s="9"/>
      <c r="J670" s="10" t="s">
        <v>3247</v>
      </c>
      <c r="K670" s="10" t="s">
        <v>3247</v>
      </c>
    </row>
    <row r="671" customFormat="false" ht="15" hidden="false" customHeight="false" outlineLevel="0" collapsed="false">
      <c r="A671" s="9" t="n">
        <v>203</v>
      </c>
      <c r="B671" s="9" t="s">
        <v>1619</v>
      </c>
      <c r="C671" s="10" t="s">
        <v>4953</v>
      </c>
      <c r="D671" s="10" t="s">
        <v>4512</v>
      </c>
      <c r="E671" s="9" t="s">
        <v>4963</v>
      </c>
      <c r="F671" s="10" t="s">
        <v>4964</v>
      </c>
      <c r="G671" s="9" t="s">
        <v>3242</v>
      </c>
      <c r="H671" s="10" t="s">
        <v>4965</v>
      </c>
      <c r="I671" s="9"/>
      <c r="J671" s="9" t="s">
        <v>2232</v>
      </c>
      <c r="K671" s="9" t="s">
        <v>3284</v>
      </c>
    </row>
    <row r="672" customFormat="false" ht="15" hidden="false" customHeight="false" outlineLevel="0" collapsed="false">
      <c r="A672" s="9" t="n">
        <v>204</v>
      </c>
      <c r="B672" s="9" t="s">
        <v>1628</v>
      </c>
      <c r="C672" s="10" t="s">
        <v>1629</v>
      </c>
      <c r="D672" s="10" t="s">
        <v>25</v>
      </c>
      <c r="E672" s="9" t="s">
        <v>4966</v>
      </c>
      <c r="F672" s="10" t="s">
        <v>4967</v>
      </c>
      <c r="G672" s="9" t="s">
        <v>3242</v>
      </c>
      <c r="H672" s="10" t="s">
        <v>4968</v>
      </c>
      <c r="I672" s="9"/>
      <c r="J672" s="10" t="s">
        <v>3247</v>
      </c>
      <c r="K672" s="10" t="s">
        <v>3247</v>
      </c>
    </row>
    <row r="673" customFormat="false" ht="23.85" hidden="false" customHeight="false" outlineLevel="0" collapsed="false">
      <c r="A673" s="9" t="n">
        <v>204</v>
      </c>
      <c r="B673" s="9" t="s">
        <v>1628</v>
      </c>
      <c r="C673" s="10" t="s">
        <v>1629</v>
      </c>
      <c r="D673" s="10" t="s">
        <v>25</v>
      </c>
      <c r="E673" s="9" t="s">
        <v>4969</v>
      </c>
      <c r="F673" s="10" t="s">
        <v>4970</v>
      </c>
      <c r="G673" s="9" t="s">
        <v>3242</v>
      </c>
      <c r="H673" s="10" t="s">
        <v>4971</v>
      </c>
      <c r="I673" s="9"/>
      <c r="J673" s="9" t="s">
        <v>2232</v>
      </c>
      <c r="K673" s="9" t="s">
        <v>3284</v>
      </c>
    </row>
    <row r="674" customFormat="false" ht="15" hidden="false" customHeight="false" outlineLevel="0" collapsed="false">
      <c r="A674" s="9" t="n">
        <v>204</v>
      </c>
      <c r="B674" s="9" t="s">
        <v>1628</v>
      </c>
      <c r="C674" s="10" t="s">
        <v>1629</v>
      </c>
      <c r="D674" s="10" t="s">
        <v>25</v>
      </c>
      <c r="E674" s="9" t="s">
        <v>4972</v>
      </c>
      <c r="F674" s="10" t="s">
        <v>4973</v>
      </c>
      <c r="G674" s="9" t="s">
        <v>3242</v>
      </c>
      <c r="H674" s="10" t="s">
        <v>4974</v>
      </c>
      <c r="I674" s="9"/>
      <c r="J674" s="9" t="s">
        <v>2232</v>
      </c>
      <c r="K674" s="9" t="s">
        <v>3284</v>
      </c>
    </row>
    <row r="675" customFormat="false" ht="15" hidden="false" customHeight="false" outlineLevel="0" collapsed="false">
      <c r="A675" s="9" t="n">
        <v>204</v>
      </c>
      <c r="B675" s="9" t="s">
        <v>1628</v>
      </c>
      <c r="C675" s="10" t="s">
        <v>1629</v>
      </c>
      <c r="D675" s="10" t="s">
        <v>25</v>
      </c>
      <c r="E675" s="9" t="s">
        <v>4950</v>
      </c>
      <c r="F675" s="10" t="s">
        <v>4951</v>
      </c>
      <c r="G675" s="9" t="s">
        <v>3242</v>
      </c>
      <c r="H675" s="10" t="s">
        <v>4952</v>
      </c>
      <c r="I675" s="9"/>
      <c r="J675" s="10" t="s">
        <v>3247</v>
      </c>
      <c r="K675" s="10" t="s">
        <v>3247</v>
      </c>
    </row>
    <row r="676" customFormat="false" ht="15" hidden="false" customHeight="false" outlineLevel="0" collapsed="false">
      <c r="A676" s="9" t="n">
        <v>205</v>
      </c>
      <c r="B676" s="9" t="s">
        <v>1631</v>
      </c>
      <c r="C676" s="10" t="s">
        <v>4975</v>
      </c>
      <c r="D676" s="10" t="s">
        <v>3482</v>
      </c>
      <c r="E676" s="9" t="s">
        <v>4944</v>
      </c>
      <c r="F676" s="10" t="s">
        <v>4945</v>
      </c>
      <c r="G676" s="9" t="s">
        <v>3242</v>
      </c>
      <c r="H676" s="10" t="s">
        <v>4946</v>
      </c>
      <c r="I676" s="9"/>
      <c r="J676" s="10" t="s">
        <v>3247</v>
      </c>
      <c r="K676" s="10" t="s">
        <v>3247</v>
      </c>
    </row>
    <row r="677" customFormat="false" ht="15" hidden="false" customHeight="false" outlineLevel="0" collapsed="false">
      <c r="A677" s="9" t="n">
        <v>205</v>
      </c>
      <c r="B677" s="9" t="s">
        <v>1631</v>
      </c>
      <c r="C677" s="10" t="s">
        <v>4975</v>
      </c>
      <c r="D677" s="10" t="s">
        <v>3482</v>
      </c>
      <c r="E677" s="9" t="s">
        <v>2406</v>
      </c>
      <c r="F677" s="10" t="s">
        <v>2407</v>
      </c>
      <c r="G677" s="9" t="s">
        <v>3242</v>
      </c>
      <c r="H677" s="10" t="s">
        <v>4976</v>
      </c>
      <c r="I677" s="9"/>
      <c r="J677" s="9" t="s">
        <v>2232</v>
      </c>
      <c r="K677" s="9" t="s">
        <v>3284</v>
      </c>
    </row>
    <row r="678" customFormat="false" ht="15" hidden="false" customHeight="false" outlineLevel="0" collapsed="false">
      <c r="A678" s="9" t="n">
        <v>205</v>
      </c>
      <c r="B678" s="9" t="s">
        <v>1631</v>
      </c>
      <c r="C678" s="10" t="s">
        <v>4975</v>
      </c>
      <c r="D678" s="10" t="s">
        <v>3482</v>
      </c>
      <c r="E678" s="9" t="s">
        <v>4977</v>
      </c>
      <c r="F678" s="10" t="s">
        <v>4978</v>
      </c>
      <c r="G678" s="9" t="s">
        <v>3242</v>
      </c>
      <c r="H678" s="10" t="s">
        <v>4979</v>
      </c>
      <c r="I678" s="9"/>
      <c r="J678" s="9" t="s">
        <v>2232</v>
      </c>
      <c r="K678" s="9" t="s">
        <v>3284</v>
      </c>
    </row>
    <row r="679" customFormat="false" ht="15" hidden="false" customHeight="false" outlineLevel="0" collapsed="false">
      <c r="A679" s="9" t="n">
        <v>205</v>
      </c>
      <c r="B679" s="9" t="s">
        <v>1631</v>
      </c>
      <c r="C679" s="10" t="s">
        <v>4975</v>
      </c>
      <c r="D679" s="10" t="s">
        <v>3482</v>
      </c>
      <c r="E679" s="9" t="s">
        <v>4980</v>
      </c>
      <c r="F679" s="10" t="s">
        <v>4981</v>
      </c>
      <c r="G679" s="9" t="s">
        <v>3242</v>
      </c>
      <c r="H679" s="10" t="s">
        <v>4982</v>
      </c>
      <c r="I679" s="9"/>
      <c r="J679" s="9" t="s">
        <v>2232</v>
      </c>
      <c r="K679" s="9" t="s">
        <v>3284</v>
      </c>
    </row>
    <row r="680" customFormat="false" ht="15" hidden="false" customHeight="false" outlineLevel="0" collapsed="false">
      <c r="A680" s="9" t="n">
        <v>206</v>
      </c>
      <c r="B680" s="9" t="s">
        <v>1638</v>
      </c>
      <c r="C680" s="10" t="s">
        <v>1639</v>
      </c>
      <c r="D680" s="10" t="s">
        <v>25</v>
      </c>
      <c r="E680" s="9" t="s">
        <v>4983</v>
      </c>
      <c r="F680" s="10" t="s">
        <v>3099</v>
      </c>
      <c r="G680" s="9" t="s">
        <v>3242</v>
      </c>
      <c r="H680" s="10" t="s">
        <v>4984</v>
      </c>
      <c r="I680" s="9"/>
      <c r="J680" s="9" t="s">
        <v>3062</v>
      </c>
      <c r="K680" s="9" t="s">
        <v>3062</v>
      </c>
    </row>
    <row r="681" customFormat="false" ht="15" hidden="false" customHeight="false" outlineLevel="0" collapsed="false">
      <c r="A681" s="9" t="n">
        <v>206</v>
      </c>
      <c r="B681" s="9" t="s">
        <v>1638</v>
      </c>
      <c r="C681" s="10" t="s">
        <v>1639</v>
      </c>
      <c r="D681" s="10" t="s">
        <v>25</v>
      </c>
      <c r="E681" s="9" t="s">
        <v>4947</v>
      </c>
      <c r="F681" s="10" t="s">
        <v>4948</v>
      </c>
      <c r="G681" s="9" t="s">
        <v>3242</v>
      </c>
      <c r="H681" s="10" t="s">
        <v>4949</v>
      </c>
      <c r="I681" s="9"/>
      <c r="J681" s="10" t="s">
        <v>3247</v>
      </c>
      <c r="K681" s="10" t="s">
        <v>3247</v>
      </c>
    </row>
    <row r="682" customFormat="false" ht="15" hidden="false" customHeight="false" outlineLevel="0" collapsed="false">
      <c r="A682" s="9" t="n">
        <v>206</v>
      </c>
      <c r="B682" s="9" t="s">
        <v>1638</v>
      </c>
      <c r="C682" s="10" t="s">
        <v>1639</v>
      </c>
      <c r="D682" s="10" t="s">
        <v>25</v>
      </c>
      <c r="E682" s="9" t="s">
        <v>4985</v>
      </c>
      <c r="F682" s="10" t="s">
        <v>4986</v>
      </c>
      <c r="G682" s="9" t="s">
        <v>3242</v>
      </c>
      <c r="H682" s="10" t="s">
        <v>4987</v>
      </c>
      <c r="I682" s="9"/>
      <c r="J682" s="9" t="s">
        <v>3062</v>
      </c>
      <c r="K682" s="9" t="s">
        <v>3062</v>
      </c>
    </row>
    <row r="683" customFormat="false" ht="23.85" hidden="false" customHeight="false" outlineLevel="0" collapsed="false">
      <c r="A683" s="9" t="n">
        <v>207</v>
      </c>
      <c r="B683" s="9" t="s">
        <v>1642</v>
      </c>
      <c r="C683" s="10" t="s">
        <v>4988</v>
      </c>
      <c r="D683" s="10" t="s">
        <v>24</v>
      </c>
      <c r="E683" s="9" t="s">
        <v>4989</v>
      </c>
      <c r="F683" s="10" t="s">
        <v>4990</v>
      </c>
      <c r="G683" s="9" t="s">
        <v>3242</v>
      </c>
      <c r="H683" s="10" t="s">
        <v>4991</v>
      </c>
      <c r="I683" s="9"/>
      <c r="J683" s="9" t="s">
        <v>2232</v>
      </c>
      <c r="K683" s="9" t="s">
        <v>3284</v>
      </c>
    </row>
    <row r="684" customFormat="false" ht="23.85" hidden="false" customHeight="false" outlineLevel="0" collapsed="false">
      <c r="A684" s="9" t="n">
        <v>207</v>
      </c>
      <c r="B684" s="9" t="s">
        <v>1642</v>
      </c>
      <c r="C684" s="10" t="s">
        <v>4988</v>
      </c>
      <c r="D684" s="10" t="s">
        <v>24</v>
      </c>
      <c r="E684" s="9" t="s">
        <v>4992</v>
      </c>
      <c r="F684" s="10" t="s">
        <v>3027</v>
      </c>
      <c r="G684" s="9" t="s">
        <v>3242</v>
      </c>
      <c r="H684" s="10" t="s">
        <v>4993</v>
      </c>
      <c r="I684" s="9"/>
      <c r="J684" s="10" t="s">
        <v>3247</v>
      </c>
      <c r="K684" s="10" t="s">
        <v>3247</v>
      </c>
    </row>
    <row r="685" customFormat="false" ht="23.85" hidden="false" customHeight="false" outlineLevel="0" collapsed="false">
      <c r="A685" s="9" t="n">
        <v>207</v>
      </c>
      <c r="B685" s="9" t="s">
        <v>1642</v>
      </c>
      <c r="C685" s="10" t="s">
        <v>4988</v>
      </c>
      <c r="D685" s="10" t="s">
        <v>24</v>
      </c>
      <c r="E685" s="9" t="s">
        <v>4994</v>
      </c>
      <c r="F685" s="10" t="s">
        <v>4995</v>
      </c>
      <c r="G685" s="9" t="s">
        <v>3242</v>
      </c>
      <c r="H685" s="10" t="s">
        <v>4996</v>
      </c>
      <c r="I685" s="9"/>
      <c r="J685" s="9" t="s">
        <v>2232</v>
      </c>
      <c r="K685" s="9" t="s">
        <v>3284</v>
      </c>
    </row>
    <row r="686" customFormat="false" ht="23.85" hidden="false" customHeight="false" outlineLevel="0" collapsed="false">
      <c r="A686" s="9" t="n">
        <v>208</v>
      </c>
      <c r="B686" s="9" t="s">
        <v>1653</v>
      </c>
      <c r="C686" s="10" t="s">
        <v>4997</v>
      </c>
      <c r="D686" s="10" t="s">
        <v>3528</v>
      </c>
      <c r="E686" s="9" t="s">
        <v>4960</v>
      </c>
      <c r="F686" s="10" t="s">
        <v>4961</v>
      </c>
      <c r="G686" s="9" t="s">
        <v>3242</v>
      </c>
      <c r="H686" s="10" t="s">
        <v>4962</v>
      </c>
      <c r="I686" s="9"/>
      <c r="J686" s="10" t="s">
        <v>3247</v>
      </c>
      <c r="K686" s="10" t="s">
        <v>3247</v>
      </c>
    </row>
    <row r="687" customFormat="false" ht="23.85" hidden="false" customHeight="false" outlineLevel="0" collapsed="false">
      <c r="A687" s="9" t="n">
        <v>208</v>
      </c>
      <c r="B687" s="9" t="s">
        <v>1653</v>
      </c>
      <c r="C687" s="10" t="s">
        <v>4997</v>
      </c>
      <c r="D687" s="10" t="s">
        <v>3528</v>
      </c>
      <c r="E687" s="9" t="s">
        <v>4966</v>
      </c>
      <c r="F687" s="10" t="s">
        <v>4967</v>
      </c>
      <c r="G687" s="9" t="s">
        <v>3242</v>
      </c>
      <c r="H687" s="10" t="s">
        <v>4968</v>
      </c>
      <c r="I687" s="9"/>
      <c r="J687" s="10" t="s">
        <v>3247</v>
      </c>
      <c r="K687" s="10" t="s">
        <v>3247</v>
      </c>
    </row>
    <row r="688" customFormat="false" ht="23.85" hidden="false" customHeight="false" outlineLevel="0" collapsed="false">
      <c r="A688" s="9" t="n">
        <v>208</v>
      </c>
      <c r="B688" s="9" t="s">
        <v>1653</v>
      </c>
      <c r="C688" s="10" t="s">
        <v>4997</v>
      </c>
      <c r="D688" s="10" t="s">
        <v>3528</v>
      </c>
      <c r="E688" s="9" t="s">
        <v>4998</v>
      </c>
      <c r="F688" s="10" t="s">
        <v>4999</v>
      </c>
      <c r="G688" s="9" t="s">
        <v>3242</v>
      </c>
      <c r="H688" s="10" t="s">
        <v>5000</v>
      </c>
      <c r="I688" s="9"/>
      <c r="J688" s="10" t="s">
        <v>3247</v>
      </c>
      <c r="K688" s="10" t="s">
        <v>3247</v>
      </c>
    </row>
    <row r="689" customFormat="false" ht="23.85" hidden="false" customHeight="false" outlineLevel="0" collapsed="false">
      <c r="A689" s="9" t="n">
        <v>208</v>
      </c>
      <c r="B689" s="9" t="s">
        <v>1653</v>
      </c>
      <c r="C689" s="10" t="s">
        <v>4997</v>
      </c>
      <c r="D689" s="10" t="s">
        <v>3528</v>
      </c>
      <c r="E689" s="9" t="s">
        <v>2406</v>
      </c>
      <c r="F689" s="10" t="s">
        <v>2407</v>
      </c>
      <c r="G689" s="9" t="s">
        <v>3242</v>
      </c>
      <c r="H689" s="10" t="s">
        <v>4976</v>
      </c>
      <c r="I689" s="9"/>
      <c r="J689" s="9" t="s">
        <v>2232</v>
      </c>
      <c r="K689" s="9" t="s">
        <v>3284</v>
      </c>
    </row>
    <row r="690" customFormat="false" ht="26.85" hidden="false" customHeight="false" outlineLevel="0" collapsed="false">
      <c r="A690" s="9" t="n">
        <v>209</v>
      </c>
      <c r="B690" s="9" t="s">
        <v>1664</v>
      </c>
      <c r="C690" s="10" t="s">
        <v>5001</v>
      </c>
      <c r="D690" s="10" t="s">
        <v>24</v>
      </c>
      <c r="E690" s="9" t="s">
        <v>4960</v>
      </c>
      <c r="F690" s="10" t="s">
        <v>4961</v>
      </c>
      <c r="G690" s="9" t="s">
        <v>3242</v>
      </c>
      <c r="H690" s="10" t="s">
        <v>4962</v>
      </c>
      <c r="I690" s="9"/>
      <c r="J690" s="10" t="s">
        <v>3247</v>
      </c>
      <c r="K690" s="10" t="s">
        <v>3247</v>
      </c>
    </row>
    <row r="691" customFormat="false" ht="26.85" hidden="false" customHeight="false" outlineLevel="0" collapsed="false">
      <c r="A691" s="9" t="n">
        <v>209</v>
      </c>
      <c r="B691" s="9" t="s">
        <v>1664</v>
      </c>
      <c r="C691" s="10" t="s">
        <v>5001</v>
      </c>
      <c r="D691" s="10" t="s">
        <v>24</v>
      </c>
      <c r="E691" s="9" t="s">
        <v>4966</v>
      </c>
      <c r="F691" s="10" t="s">
        <v>4967</v>
      </c>
      <c r="G691" s="9" t="s">
        <v>3242</v>
      </c>
      <c r="H691" s="10" t="s">
        <v>4968</v>
      </c>
      <c r="I691" s="9"/>
      <c r="J691" s="10" t="s">
        <v>3247</v>
      </c>
      <c r="K691" s="10" t="s">
        <v>3247</v>
      </c>
    </row>
    <row r="692" customFormat="false" ht="26.85" hidden="false" customHeight="false" outlineLevel="0" collapsed="false">
      <c r="A692" s="9" t="n">
        <v>209</v>
      </c>
      <c r="B692" s="9" t="s">
        <v>1664</v>
      </c>
      <c r="C692" s="10" t="s">
        <v>5001</v>
      </c>
      <c r="D692" s="10" t="s">
        <v>24</v>
      </c>
      <c r="E692" s="9" t="s">
        <v>4998</v>
      </c>
      <c r="F692" s="10" t="s">
        <v>4999</v>
      </c>
      <c r="G692" s="9" t="s">
        <v>3242</v>
      </c>
      <c r="H692" s="10" t="s">
        <v>5000</v>
      </c>
      <c r="I692" s="9"/>
      <c r="J692" s="10" t="s">
        <v>3247</v>
      </c>
      <c r="K692" s="10" t="s">
        <v>3247</v>
      </c>
    </row>
    <row r="693" customFormat="false" ht="26.85" hidden="false" customHeight="false" outlineLevel="0" collapsed="false">
      <c r="A693" s="9" t="n">
        <v>210</v>
      </c>
      <c r="B693" s="9" t="s">
        <v>1669</v>
      </c>
      <c r="C693" s="10" t="s">
        <v>5002</v>
      </c>
      <c r="D693" s="10" t="s">
        <v>3503</v>
      </c>
      <c r="E693" s="9" t="s">
        <v>5003</v>
      </c>
      <c r="F693" s="10" t="s">
        <v>5004</v>
      </c>
      <c r="G693" s="9" t="s">
        <v>3242</v>
      </c>
      <c r="H693" s="10" t="s">
        <v>5005</v>
      </c>
      <c r="I693" s="9"/>
      <c r="J693" s="9" t="s">
        <v>2232</v>
      </c>
      <c r="K693" s="9" t="s">
        <v>3284</v>
      </c>
    </row>
    <row r="694" customFormat="false" ht="26.85" hidden="false" customHeight="false" outlineLevel="0" collapsed="false">
      <c r="A694" s="9" t="n">
        <v>210</v>
      </c>
      <c r="B694" s="9" t="s">
        <v>1669</v>
      </c>
      <c r="C694" s="10" t="s">
        <v>5002</v>
      </c>
      <c r="D694" s="10" t="s">
        <v>3503</v>
      </c>
      <c r="E694" s="9" t="s">
        <v>5006</v>
      </c>
      <c r="F694" s="10" t="s">
        <v>5007</v>
      </c>
      <c r="G694" s="9" t="s">
        <v>3242</v>
      </c>
      <c r="H694" s="10" t="s">
        <v>5008</v>
      </c>
      <c r="I694" s="9"/>
      <c r="J694" s="9" t="s">
        <v>2232</v>
      </c>
      <c r="K694" s="9" t="s">
        <v>3284</v>
      </c>
    </row>
    <row r="695" customFormat="false" ht="26.85" hidden="false" customHeight="false" outlineLevel="0" collapsed="false">
      <c r="A695" s="9" t="n">
        <v>210</v>
      </c>
      <c r="B695" s="9" t="s">
        <v>1669</v>
      </c>
      <c r="C695" s="10" t="s">
        <v>5002</v>
      </c>
      <c r="D695" s="10" t="s">
        <v>3503</v>
      </c>
      <c r="E695" s="9" t="s">
        <v>5009</v>
      </c>
      <c r="F695" s="10" t="s">
        <v>3029</v>
      </c>
      <c r="G695" s="9" t="s">
        <v>3242</v>
      </c>
      <c r="H695" s="10" t="s">
        <v>5010</v>
      </c>
      <c r="I695" s="9"/>
      <c r="J695" s="10" t="s">
        <v>3247</v>
      </c>
      <c r="K695" s="10" t="s">
        <v>3247</v>
      </c>
    </row>
    <row r="696" customFormat="false" ht="26.85" hidden="false" customHeight="false" outlineLevel="0" collapsed="false">
      <c r="A696" s="9" t="n">
        <v>210</v>
      </c>
      <c r="B696" s="9" t="s">
        <v>1669</v>
      </c>
      <c r="C696" s="10" t="s">
        <v>5002</v>
      </c>
      <c r="D696" s="10" t="s">
        <v>3503</v>
      </c>
      <c r="E696" s="9" t="s">
        <v>5011</v>
      </c>
      <c r="F696" s="10" t="s">
        <v>5012</v>
      </c>
      <c r="G696" s="9" t="s">
        <v>3242</v>
      </c>
      <c r="H696" s="10" t="s">
        <v>5013</v>
      </c>
      <c r="I696" s="9"/>
      <c r="J696" s="10" t="s">
        <v>3247</v>
      </c>
      <c r="K696" s="10" t="s">
        <v>3247</v>
      </c>
    </row>
    <row r="697" customFormat="false" ht="15" hidden="false" customHeight="false" outlineLevel="0" collapsed="false">
      <c r="A697" s="9" t="n">
        <v>211</v>
      </c>
      <c r="B697" s="9" t="s">
        <v>1676</v>
      </c>
      <c r="C697" s="10" t="s">
        <v>5014</v>
      </c>
      <c r="D697" s="10" t="s">
        <v>24</v>
      </c>
      <c r="E697" s="9" t="s">
        <v>5015</v>
      </c>
      <c r="F697" s="10" t="s">
        <v>5016</v>
      </c>
      <c r="G697" s="9" t="s">
        <v>3330</v>
      </c>
      <c r="H697" s="10" t="s">
        <v>5017</v>
      </c>
      <c r="I697" s="9"/>
      <c r="J697" s="10" t="s">
        <v>3247</v>
      </c>
      <c r="K697" s="10" t="s">
        <v>3247</v>
      </c>
    </row>
    <row r="698" customFormat="false" ht="15" hidden="false" customHeight="false" outlineLevel="0" collapsed="false">
      <c r="A698" s="9" t="n">
        <v>211</v>
      </c>
      <c r="B698" s="9" t="s">
        <v>1676</v>
      </c>
      <c r="C698" s="10" t="s">
        <v>5014</v>
      </c>
      <c r="D698" s="10" t="s">
        <v>24</v>
      </c>
      <c r="E698" s="9" t="s">
        <v>5018</v>
      </c>
      <c r="F698" s="10" t="s">
        <v>5019</v>
      </c>
      <c r="G698" s="9" t="s">
        <v>3330</v>
      </c>
      <c r="H698" s="10" t="s">
        <v>5020</v>
      </c>
      <c r="I698" s="9"/>
      <c r="J698" s="10" t="s">
        <v>3247</v>
      </c>
      <c r="K698" s="10" t="s">
        <v>3247</v>
      </c>
    </row>
    <row r="699" customFormat="false" ht="15" hidden="false" customHeight="false" outlineLevel="0" collapsed="false">
      <c r="A699" s="9" t="n">
        <v>211</v>
      </c>
      <c r="B699" s="9" t="s">
        <v>1676</v>
      </c>
      <c r="C699" s="10" t="s">
        <v>5014</v>
      </c>
      <c r="D699" s="10" t="s">
        <v>24</v>
      </c>
      <c r="E699" s="9" t="s">
        <v>5021</v>
      </c>
      <c r="F699" s="10" t="s">
        <v>5022</v>
      </c>
      <c r="G699" s="9" t="s">
        <v>3330</v>
      </c>
      <c r="H699" s="10" t="s">
        <v>5023</v>
      </c>
      <c r="I699" s="9"/>
      <c r="J699" s="10" t="s">
        <v>3247</v>
      </c>
      <c r="K699" s="10" t="s">
        <v>3247</v>
      </c>
    </row>
    <row r="700" customFormat="false" ht="15" hidden="false" customHeight="false" outlineLevel="0" collapsed="false">
      <c r="A700" s="9" t="n">
        <v>211</v>
      </c>
      <c r="B700" s="9" t="s">
        <v>1676</v>
      </c>
      <c r="C700" s="10" t="s">
        <v>5014</v>
      </c>
      <c r="D700" s="10" t="s">
        <v>24</v>
      </c>
      <c r="E700" s="9" t="s">
        <v>4963</v>
      </c>
      <c r="F700" s="10" t="s">
        <v>4964</v>
      </c>
      <c r="G700" s="9" t="s">
        <v>3242</v>
      </c>
      <c r="H700" s="10" t="s">
        <v>4965</v>
      </c>
      <c r="I700" s="9"/>
      <c r="J700" s="9" t="s">
        <v>2232</v>
      </c>
      <c r="K700" s="9" t="s">
        <v>3284</v>
      </c>
    </row>
    <row r="701" customFormat="false" ht="26.85" hidden="false" customHeight="false" outlineLevel="0" collapsed="false">
      <c r="A701" s="9" t="n">
        <v>212</v>
      </c>
      <c r="B701" s="9" t="s">
        <v>1681</v>
      </c>
      <c r="C701" s="10" t="s">
        <v>1682</v>
      </c>
      <c r="D701" s="10" t="s">
        <v>25</v>
      </c>
      <c r="E701" s="9" t="s">
        <v>5024</v>
      </c>
      <c r="F701" s="10" t="s">
        <v>5025</v>
      </c>
      <c r="G701" s="9" t="s">
        <v>3242</v>
      </c>
      <c r="H701" s="10" t="s">
        <v>5026</v>
      </c>
      <c r="I701" s="9"/>
      <c r="J701" s="9" t="s">
        <v>2232</v>
      </c>
      <c r="K701" s="9" t="s">
        <v>3284</v>
      </c>
    </row>
    <row r="702" customFormat="false" ht="26.85" hidden="false" customHeight="false" outlineLevel="0" collapsed="false">
      <c r="A702" s="9" t="n">
        <v>212</v>
      </c>
      <c r="B702" s="9" t="s">
        <v>1681</v>
      </c>
      <c r="C702" s="10" t="s">
        <v>1682</v>
      </c>
      <c r="D702" s="10" t="s">
        <v>25</v>
      </c>
      <c r="E702" s="9" t="s">
        <v>5027</v>
      </c>
      <c r="F702" s="10" t="s">
        <v>5028</v>
      </c>
      <c r="G702" s="9" t="s">
        <v>3242</v>
      </c>
      <c r="H702" s="10" t="s">
        <v>5029</v>
      </c>
      <c r="I702" s="9"/>
      <c r="J702" s="9" t="s">
        <v>2232</v>
      </c>
      <c r="K702" s="9" t="s">
        <v>3284</v>
      </c>
    </row>
    <row r="703" customFormat="false" ht="26.85" hidden="false" customHeight="false" outlineLevel="0" collapsed="false">
      <c r="A703" s="9" t="n">
        <v>212</v>
      </c>
      <c r="B703" s="9" t="s">
        <v>1681</v>
      </c>
      <c r="C703" s="10" t="s">
        <v>1682</v>
      </c>
      <c r="D703" s="10" t="s">
        <v>25</v>
      </c>
      <c r="E703" s="9" t="s">
        <v>4957</v>
      </c>
      <c r="F703" s="10" t="s">
        <v>4958</v>
      </c>
      <c r="G703" s="9" t="s">
        <v>3242</v>
      </c>
      <c r="H703" s="10" t="s">
        <v>4959</v>
      </c>
      <c r="I703" s="9"/>
      <c r="J703" s="9" t="s">
        <v>2232</v>
      </c>
      <c r="K703" s="9" t="s">
        <v>3284</v>
      </c>
    </row>
    <row r="704" customFormat="false" ht="15" hidden="false" customHeight="false" outlineLevel="0" collapsed="false">
      <c r="A704" s="9" t="n">
        <v>213</v>
      </c>
      <c r="B704" s="9" t="s">
        <v>1685</v>
      </c>
      <c r="C704" s="10" t="s">
        <v>5030</v>
      </c>
      <c r="D704" s="10" t="s">
        <v>3807</v>
      </c>
      <c r="E704" s="9" t="s">
        <v>4935</v>
      </c>
      <c r="F704" s="10" t="s">
        <v>3299</v>
      </c>
      <c r="G704" s="9" t="s">
        <v>3242</v>
      </c>
      <c r="H704" s="10" t="s">
        <v>3300</v>
      </c>
      <c r="I704" s="9" t="s">
        <v>5031</v>
      </c>
      <c r="J704" s="9" t="s">
        <v>2773</v>
      </c>
      <c r="K704" s="9" t="s">
        <v>2773</v>
      </c>
    </row>
    <row r="705" customFormat="false" ht="26.85" hidden="false" customHeight="false" outlineLevel="0" collapsed="false">
      <c r="A705" s="9" t="n">
        <v>213</v>
      </c>
      <c r="B705" s="9" t="s">
        <v>1685</v>
      </c>
      <c r="C705" s="10" t="s">
        <v>5030</v>
      </c>
      <c r="D705" s="10" t="s">
        <v>3807</v>
      </c>
      <c r="E705" s="9" t="s">
        <v>4936</v>
      </c>
      <c r="F705" s="10" t="s">
        <v>3302</v>
      </c>
      <c r="G705" s="9" t="s">
        <v>3242</v>
      </c>
      <c r="H705" s="10" t="s">
        <v>3303</v>
      </c>
      <c r="I705" s="9"/>
      <c r="J705" s="9" t="s">
        <v>2773</v>
      </c>
      <c r="K705" s="9" t="s">
        <v>2773</v>
      </c>
    </row>
    <row r="706" customFormat="false" ht="23.85" hidden="false" customHeight="false" outlineLevel="0" collapsed="false">
      <c r="A706" s="9" t="n">
        <v>213</v>
      </c>
      <c r="B706" s="9" t="s">
        <v>1685</v>
      </c>
      <c r="C706" s="10" t="s">
        <v>5030</v>
      </c>
      <c r="D706" s="10" t="s">
        <v>3807</v>
      </c>
      <c r="E706" s="9" t="s">
        <v>5032</v>
      </c>
      <c r="F706" s="10" t="s">
        <v>5033</v>
      </c>
      <c r="G706" s="9" t="s">
        <v>3330</v>
      </c>
      <c r="H706" s="10" t="s">
        <v>5034</v>
      </c>
      <c r="I706" s="9" t="s">
        <v>5035</v>
      </c>
      <c r="J706" s="10" t="s">
        <v>3247</v>
      </c>
      <c r="K706" s="10" t="s">
        <v>3247</v>
      </c>
    </row>
    <row r="707" customFormat="false" ht="15" hidden="false" customHeight="false" outlineLevel="0" collapsed="false">
      <c r="A707" s="9" t="n">
        <v>214</v>
      </c>
      <c r="B707" s="9" t="s">
        <v>1695</v>
      </c>
      <c r="C707" s="10" t="s">
        <v>1696</v>
      </c>
      <c r="D707" s="10" t="s">
        <v>24</v>
      </c>
      <c r="E707" s="9" t="s">
        <v>5036</v>
      </c>
      <c r="F707" s="10" t="s">
        <v>5037</v>
      </c>
      <c r="G707" s="9" t="s">
        <v>3242</v>
      </c>
      <c r="H707" s="10" t="s">
        <v>5038</v>
      </c>
      <c r="I707" s="9"/>
      <c r="J707" s="10" t="s">
        <v>3247</v>
      </c>
      <c r="K707" s="10" t="s">
        <v>3247</v>
      </c>
    </row>
    <row r="708" customFormat="false" ht="15" hidden="false" customHeight="false" outlineLevel="0" collapsed="false">
      <c r="A708" s="9" t="n">
        <v>214</v>
      </c>
      <c r="B708" s="9" t="s">
        <v>1695</v>
      </c>
      <c r="C708" s="10" t="s">
        <v>1696</v>
      </c>
      <c r="D708" s="10" t="s">
        <v>24</v>
      </c>
      <c r="E708" s="9" t="s">
        <v>4944</v>
      </c>
      <c r="F708" s="10" t="s">
        <v>4945</v>
      </c>
      <c r="G708" s="9" t="s">
        <v>3242</v>
      </c>
      <c r="H708" s="10" t="s">
        <v>4946</v>
      </c>
      <c r="I708" s="9"/>
      <c r="J708" s="10" t="s">
        <v>3247</v>
      </c>
      <c r="K708" s="10" t="s">
        <v>3247</v>
      </c>
    </row>
    <row r="709" customFormat="false" ht="15" hidden="false" customHeight="false" outlineLevel="0" collapsed="false">
      <c r="A709" s="9" t="n">
        <v>214</v>
      </c>
      <c r="B709" s="9" t="s">
        <v>1695</v>
      </c>
      <c r="C709" s="10" t="s">
        <v>1696</v>
      </c>
      <c r="D709" s="10" t="s">
        <v>24</v>
      </c>
      <c r="E709" s="9" t="s">
        <v>4966</v>
      </c>
      <c r="F709" s="10" t="s">
        <v>4967</v>
      </c>
      <c r="G709" s="9" t="s">
        <v>3242</v>
      </c>
      <c r="H709" s="10" t="s">
        <v>4968</v>
      </c>
      <c r="I709" s="9" t="s">
        <v>5039</v>
      </c>
      <c r="J709" s="10" t="s">
        <v>3247</v>
      </c>
      <c r="K709" s="10" t="s">
        <v>3247</v>
      </c>
    </row>
    <row r="710" customFormat="false" ht="15" hidden="false" customHeight="false" outlineLevel="0" collapsed="false">
      <c r="A710" s="9" t="n">
        <v>215</v>
      </c>
      <c r="B710" s="9" t="s">
        <v>1698</v>
      </c>
      <c r="C710" s="10" t="s">
        <v>1699</v>
      </c>
      <c r="D710" s="10" t="s">
        <v>24</v>
      </c>
      <c r="E710" s="9" t="s">
        <v>5027</v>
      </c>
      <c r="F710" s="10" t="s">
        <v>5028</v>
      </c>
      <c r="G710" s="9" t="s">
        <v>3242</v>
      </c>
      <c r="H710" s="10" t="s">
        <v>5029</v>
      </c>
      <c r="I710" s="9"/>
      <c r="J710" s="9" t="s">
        <v>2232</v>
      </c>
      <c r="K710" s="9" t="s">
        <v>3284</v>
      </c>
    </row>
    <row r="711" customFormat="false" ht="15" hidden="false" customHeight="false" outlineLevel="0" collapsed="false">
      <c r="A711" s="9" t="n">
        <v>215</v>
      </c>
      <c r="B711" s="9" t="s">
        <v>1698</v>
      </c>
      <c r="C711" s="10" t="s">
        <v>1699</v>
      </c>
      <c r="D711" s="10" t="s">
        <v>24</v>
      </c>
      <c r="E711" s="9" t="s">
        <v>4963</v>
      </c>
      <c r="F711" s="10" t="s">
        <v>4964</v>
      </c>
      <c r="G711" s="9" t="s">
        <v>3242</v>
      </c>
      <c r="H711" s="10" t="s">
        <v>4965</v>
      </c>
      <c r="I711" s="9"/>
      <c r="J711" s="9" t="s">
        <v>2232</v>
      </c>
      <c r="K711" s="9" t="s">
        <v>3284</v>
      </c>
    </row>
    <row r="712" customFormat="false" ht="15" hidden="false" customHeight="false" outlineLevel="0" collapsed="false">
      <c r="A712" s="9" t="n">
        <v>215</v>
      </c>
      <c r="B712" s="9" t="s">
        <v>1698</v>
      </c>
      <c r="C712" s="10" t="s">
        <v>1699</v>
      </c>
      <c r="D712" s="10" t="s">
        <v>24</v>
      </c>
      <c r="E712" s="9" t="s">
        <v>5024</v>
      </c>
      <c r="F712" s="10" t="s">
        <v>5025</v>
      </c>
      <c r="G712" s="9" t="s">
        <v>3242</v>
      </c>
      <c r="H712" s="10" t="s">
        <v>5026</v>
      </c>
      <c r="I712" s="9"/>
      <c r="J712" s="9" t="s">
        <v>2232</v>
      </c>
      <c r="K712" s="9" t="s">
        <v>3284</v>
      </c>
    </row>
    <row r="713" customFormat="false" ht="15" hidden="false" customHeight="false" outlineLevel="0" collapsed="false">
      <c r="A713" s="9" t="n">
        <v>216</v>
      </c>
      <c r="B713" s="9" t="s">
        <v>1702</v>
      </c>
      <c r="C713" s="10" t="s">
        <v>1703</v>
      </c>
      <c r="D713" s="10" t="s">
        <v>24</v>
      </c>
      <c r="E713" s="9" t="s">
        <v>4957</v>
      </c>
      <c r="F713" s="10" t="s">
        <v>4958</v>
      </c>
      <c r="G713" s="9" t="s">
        <v>3242</v>
      </c>
      <c r="H713" s="10" t="s">
        <v>4959</v>
      </c>
      <c r="I713" s="9"/>
      <c r="J713" s="9" t="s">
        <v>2232</v>
      </c>
      <c r="K713" s="9" t="s">
        <v>3284</v>
      </c>
    </row>
    <row r="714" customFormat="false" ht="26.85" hidden="false" customHeight="false" outlineLevel="0" collapsed="false">
      <c r="A714" s="9" t="n">
        <v>216</v>
      </c>
      <c r="B714" s="9" t="s">
        <v>1702</v>
      </c>
      <c r="C714" s="10" t="s">
        <v>1703</v>
      </c>
      <c r="D714" s="10" t="s">
        <v>24</v>
      </c>
      <c r="E714" s="9" t="s">
        <v>5040</v>
      </c>
      <c r="F714" s="10" t="s">
        <v>5041</v>
      </c>
      <c r="G714" s="10" t="s">
        <v>3355</v>
      </c>
      <c r="H714" s="10" t="s">
        <v>5042</v>
      </c>
      <c r="I714" s="9"/>
      <c r="J714" s="10" t="s">
        <v>3247</v>
      </c>
      <c r="K714" s="10" t="s">
        <v>3247</v>
      </c>
    </row>
    <row r="715" customFormat="false" ht="15" hidden="false" customHeight="false" outlineLevel="0" collapsed="false">
      <c r="A715" s="9" t="n">
        <v>217</v>
      </c>
      <c r="B715" s="9" t="s">
        <v>1706</v>
      </c>
      <c r="C715" s="10" t="s">
        <v>1707</v>
      </c>
      <c r="D715" s="10" t="s">
        <v>24</v>
      </c>
      <c r="E715" s="9" t="s">
        <v>4947</v>
      </c>
      <c r="F715" s="10" t="s">
        <v>4948</v>
      </c>
      <c r="G715" s="9" t="s">
        <v>3242</v>
      </c>
      <c r="H715" s="10" t="s">
        <v>4949</v>
      </c>
      <c r="I715" s="9"/>
      <c r="J715" s="10" t="s">
        <v>3247</v>
      </c>
      <c r="K715" s="10" t="s">
        <v>3247</v>
      </c>
    </row>
    <row r="716" customFormat="false" ht="15" hidden="false" customHeight="false" outlineLevel="0" collapsed="false">
      <c r="A716" s="9" t="n">
        <v>217</v>
      </c>
      <c r="B716" s="9" t="s">
        <v>1706</v>
      </c>
      <c r="C716" s="10" t="s">
        <v>1707</v>
      </c>
      <c r="D716" s="10" t="s">
        <v>24</v>
      </c>
      <c r="E716" s="9" t="s">
        <v>5043</v>
      </c>
      <c r="F716" s="10" t="s">
        <v>4112</v>
      </c>
      <c r="G716" s="9" t="s">
        <v>3242</v>
      </c>
      <c r="H716" s="10" t="s">
        <v>4113</v>
      </c>
      <c r="I716" s="9"/>
      <c r="J716" s="10" t="s">
        <v>3247</v>
      </c>
      <c r="K716" s="10" t="s">
        <v>3247</v>
      </c>
    </row>
    <row r="717" customFormat="false" ht="15" hidden="false" customHeight="false" outlineLevel="0" collapsed="false">
      <c r="A717" s="9" t="n">
        <v>217</v>
      </c>
      <c r="B717" s="9" t="s">
        <v>1706</v>
      </c>
      <c r="C717" s="10" t="s">
        <v>1707</v>
      </c>
      <c r="D717" s="10" t="s">
        <v>24</v>
      </c>
      <c r="E717" s="9" t="s">
        <v>4944</v>
      </c>
      <c r="F717" s="10" t="s">
        <v>4945</v>
      </c>
      <c r="G717" s="9" t="s">
        <v>3242</v>
      </c>
      <c r="H717" s="10" t="s">
        <v>4946</v>
      </c>
      <c r="I717" s="9"/>
      <c r="J717" s="10" t="s">
        <v>3247</v>
      </c>
      <c r="K717" s="10" t="s">
        <v>3247</v>
      </c>
    </row>
    <row r="718" customFormat="false" ht="15" hidden="false" customHeight="false" outlineLevel="0" collapsed="false">
      <c r="A718" s="9" t="n">
        <v>218</v>
      </c>
      <c r="B718" s="9" t="s">
        <v>1710</v>
      </c>
      <c r="C718" s="10" t="s">
        <v>5044</v>
      </c>
      <c r="D718" s="10" t="s">
        <v>4512</v>
      </c>
      <c r="E718" s="9" t="s">
        <v>4947</v>
      </c>
      <c r="F718" s="10" t="s">
        <v>4948</v>
      </c>
      <c r="G718" s="9" t="s">
        <v>3242</v>
      </c>
      <c r="H718" s="10" t="s">
        <v>4949</v>
      </c>
      <c r="I718" s="9"/>
      <c r="J718" s="10" t="s">
        <v>3247</v>
      </c>
      <c r="K718" s="10" t="s">
        <v>3247</v>
      </c>
    </row>
    <row r="719" customFormat="false" ht="15" hidden="false" customHeight="false" outlineLevel="0" collapsed="false">
      <c r="A719" s="9" t="n">
        <v>218</v>
      </c>
      <c r="B719" s="9" t="s">
        <v>1710</v>
      </c>
      <c r="C719" s="10" t="s">
        <v>5044</v>
      </c>
      <c r="D719" s="10" t="s">
        <v>4512</v>
      </c>
      <c r="E719" s="9" t="s">
        <v>4983</v>
      </c>
      <c r="F719" s="10" t="s">
        <v>3099</v>
      </c>
      <c r="G719" s="9" t="s">
        <v>3242</v>
      </c>
      <c r="H719" s="10" t="s">
        <v>4984</v>
      </c>
      <c r="I719" s="9" t="s">
        <v>1715</v>
      </c>
      <c r="J719" s="9" t="s">
        <v>3062</v>
      </c>
      <c r="K719" s="9" t="s">
        <v>3062</v>
      </c>
    </row>
    <row r="720" customFormat="false" ht="15" hidden="false" customHeight="false" outlineLevel="0" collapsed="false">
      <c r="A720" s="9" t="n">
        <v>219</v>
      </c>
      <c r="B720" s="9" t="s">
        <v>1716</v>
      </c>
      <c r="C720" s="10" t="s">
        <v>1717</v>
      </c>
      <c r="D720" s="10" t="s">
        <v>24</v>
      </c>
      <c r="E720" s="9" t="s">
        <v>4983</v>
      </c>
      <c r="F720" s="10" t="s">
        <v>3099</v>
      </c>
      <c r="G720" s="9" t="s">
        <v>3242</v>
      </c>
      <c r="H720" s="10" t="s">
        <v>4984</v>
      </c>
      <c r="I720" s="9"/>
      <c r="J720" s="9" t="s">
        <v>3062</v>
      </c>
      <c r="K720" s="9" t="s">
        <v>3062</v>
      </c>
    </row>
    <row r="721" customFormat="false" ht="15" hidden="false" customHeight="false" outlineLevel="0" collapsed="false">
      <c r="A721" s="9" t="n">
        <v>219</v>
      </c>
      <c r="B721" s="9" t="s">
        <v>1716</v>
      </c>
      <c r="C721" s="10" t="s">
        <v>1717</v>
      </c>
      <c r="D721" s="10" t="s">
        <v>24</v>
      </c>
      <c r="E721" s="9" t="s">
        <v>4985</v>
      </c>
      <c r="F721" s="10" t="s">
        <v>4986</v>
      </c>
      <c r="G721" s="9" t="s">
        <v>3242</v>
      </c>
      <c r="H721" s="10" t="s">
        <v>4987</v>
      </c>
      <c r="I721" s="9"/>
      <c r="J721" s="9" t="s">
        <v>3062</v>
      </c>
      <c r="K721" s="9" t="s">
        <v>3062</v>
      </c>
    </row>
    <row r="722" customFormat="false" ht="15" hidden="false" customHeight="false" outlineLevel="0" collapsed="false">
      <c r="A722" s="9" t="n">
        <v>219</v>
      </c>
      <c r="B722" s="9" t="s">
        <v>1716</v>
      </c>
      <c r="C722" s="10" t="s">
        <v>1717</v>
      </c>
      <c r="D722" s="10" t="s">
        <v>24</v>
      </c>
      <c r="E722" s="9" t="s">
        <v>5045</v>
      </c>
      <c r="F722" s="10" t="s">
        <v>5046</v>
      </c>
      <c r="G722" s="9" t="s">
        <v>3242</v>
      </c>
      <c r="H722" s="10" t="s">
        <v>5047</v>
      </c>
      <c r="I722" s="9"/>
      <c r="J722" s="9" t="s">
        <v>3062</v>
      </c>
      <c r="K722" s="9" t="s">
        <v>3062</v>
      </c>
    </row>
    <row r="723" customFormat="false" ht="15" hidden="false" customHeight="false" outlineLevel="0" collapsed="false">
      <c r="A723" s="9" t="n">
        <v>220</v>
      </c>
      <c r="B723" s="9" t="s">
        <v>1719</v>
      </c>
      <c r="C723" s="10" t="s">
        <v>5048</v>
      </c>
      <c r="D723" s="10" t="s">
        <v>24</v>
      </c>
      <c r="E723" s="9" t="s">
        <v>5049</v>
      </c>
      <c r="F723" s="10" t="s">
        <v>5050</v>
      </c>
      <c r="G723" s="9" t="s">
        <v>3242</v>
      </c>
      <c r="H723" s="10" t="s">
        <v>5051</v>
      </c>
      <c r="I723" s="9"/>
      <c r="J723" s="9" t="s">
        <v>3062</v>
      </c>
      <c r="K723" s="9" t="s">
        <v>3062</v>
      </c>
    </row>
    <row r="724" customFormat="false" ht="15" hidden="false" customHeight="false" outlineLevel="0" collapsed="false">
      <c r="A724" s="9" t="n">
        <v>220</v>
      </c>
      <c r="B724" s="9" t="s">
        <v>1719</v>
      </c>
      <c r="C724" s="10" t="s">
        <v>5048</v>
      </c>
      <c r="D724" s="10" t="s">
        <v>24</v>
      </c>
      <c r="E724" s="9" t="s">
        <v>5052</v>
      </c>
      <c r="F724" s="10" t="s">
        <v>5053</v>
      </c>
      <c r="G724" s="9" t="s">
        <v>3242</v>
      </c>
      <c r="H724" s="10" t="s">
        <v>5054</v>
      </c>
      <c r="I724" s="9" t="s">
        <v>5055</v>
      </c>
      <c r="J724" s="9" t="s">
        <v>3062</v>
      </c>
      <c r="K724" s="9" t="s">
        <v>3062</v>
      </c>
    </row>
    <row r="725" customFormat="false" ht="15" hidden="false" customHeight="false" outlineLevel="0" collapsed="false">
      <c r="A725" s="9" t="n">
        <v>220</v>
      </c>
      <c r="B725" s="9" t="s">
        <v>1719</v>
      </c>
      <c r="C725" s="10" t="s">
        <v>5048</v>
      </c>
      <c r="D725" s="10" t="s">
        <v>24</v>
      </c>
      <c r="E725" s="9" t="s">
        <v>5056</v>
      </c>
      <c r="F725" s="10" t="s">
        <v>5057</v>
      </c>
      <c r="G725" s="9" t="s">
        <v>3242</v>
      </c>
      <c r="H725" s="10" t="s">
        <v>5058</v>
      </c>
      <c r="I725" s="9"/>
      <c r="J725" s="10" t="s">
        <v>3247</v>
      </c>
      <c r="K725" s="10" t="s">
        <v>3247</v>
      </c>
    </row>
    <row r="726" customFormat="false" ht="26.85" hidden="false" customHeight="false" outlineLevel="0" collapsed="false">
      <c r="A726" s="9" t="n">
        <v>220</v>
      </c>
      <c r="B726" s="9" t="s">
        <v>1719</v>
      </c>
      <c r="C726" s="10" t="s">
        <v>5048</v>
      </c>
      <c r="D726" s="10" t="s">
        <v>24</v>
      </c>
      <c r="E726" s="9" t="s">
        <v>5059</v>
      </c>
      <c r="F726" s="10" t="s">
        <v>5060</v>
      </c>
      <c r="G726" s="10" t="s">
        <v>3355</v>
      </c>
      <c r="H726" s="10" t="s">
        <v>5061</v>
      </c>
      <c r="I726" s="9"/>
      <c r="J726" s="10" t="s">
        <v>3247</v>
      </c>
      <c r="K726" s="10" t="s">
        <v>3247</v>
      </c>
    </row>
    <row r="727" customFormat="false" ht="15" hidden="false" customHeight="false" outlineLevel="0" collapsed="false">
      <c r="A727" s="9" t="n">
        <v>221</v>
      </c>
      <c r="B727" s="9" t="s">
        <v>1726</v>
      </c>
      <c r="C727" s="10" t="s">
        <v>1727</v>
      </c>
      <c r="D727" s="10" t="s">
        <v>24</v>
      </c>
      <c r="E727" s="9" t="s">
        <v>5062</v>
      </c>
      <c r="F727" s="10" t="s">
        <v>5063</v>
      </c>
      <c r="G727" s="9" t="s">
        <v>3242</v>
      </c>
      <c r="H727" s="10" t="s">
        <v>5064</v>
      </c>
      <c r="I727" s="9"/>
      <c r="J727" s="9" t="s">
        <v>3062</v>
      </c>
      <c r="K727" s="9" t="s">
        <v>3062</v>
      </c>
    </row>
    <row r="728" customFormat="false" ht="15" hidden="false" customHeight="false" outlineLevel="0" collapsed="false">
      <c r="A728" s="9" t="n">
        <v>221</v>
      </c>
      <c r="B728" s="9" t="s">
        <v>1726</v>
      </c>
      <c r="C728" s="10" t="s">
        <v>1727</v>
      </c>
      <c r="D728" s="10" t="s">
        <v>24</v>
      </c>
      <c r="E728" s="9" t="s">
        <v>5065</v>
      </c>
      <c r="F728" s="10" t="s">
        <v>5066</v>
      </c>
      <c r="G728" s="9" t="s">
        <v>3242</v>
      </c>
      <c r="H728" s="10" t="s">
        <v>5067</v>
      </c>
      <c r="I728" s="9"/>
      <c r="J728" s="9" t="s">
        <v>3062</v>
      </c>
      <c r="K728" s="9" t="s">
        <v>3062</v>
      </c>
    </row>
    <row r="729" customFormat="false" ht="15" hidden="false" customHeight="false" outlineLevel="0" collapsed="false">
      <c r="A729" s="9" t="n">
        <v>222</v>
      </c>
      <c r="B729" s="9" t="s">
        <v>1642</v>
      </c>
      <c r="C729" s="10" t="s">
        <v>5068</v>
      </c>
      <c r="D729" s="10" t="s">
        <v>24</v>
      </c>
      <c r="E729" s="9" t="s">
        <v>4989</v>
      </c>
      <c r="F729" s="10" t="s">
        <v>4990</v>
      </c>
      <c r="G729" s="9" t="s">
        <v>3242</v>
      </c>
      <c r="H729" s="10" t="s">
        <v>4991</v>
      </c>
      <c r="I729" s="9"/>
      <c r="J729" s="9" t="s">
        <v>2232</v>
      </c>
      <c r="K729" s="9" t="s">
        <v>3284</v>
      </c>
    </row>
    <row r="730" customFormat="false" ht="26.85" hidden="false" customHeight="false" outlineLevel="0" collapsed="false">
      <c r="A730" s="9" t="n">
        <v>222</v>
      </c>
      <c r="B730" s="9" t="s">
        <v>1642</v>
      </c>
      <c r="C730" s="10" t="s">
        <v>5068</v>
      </c>
      <c r="D730" s="10" t="s">
        <v>24</v>
      </c>
      <c r="E730" s="9" t="s">
        <v>5059</v>
      </c>
      <c r="F730" s="10" t="s">
        <v>5060</v>
      </c>
      <c r="G730" s="10" t="s">
        <v>3355</v>
      </c>
      <c r="H730" s="10" t="s">
        <v>5061</v>
      </c>
      <c r="I730" s="9"/>
      <c r="J730" s="10" t="s">
        <v>3247</v>
      </c>
      <c r="K730" s="10" t="s">
        <v>3247</v>
      </c>
    </row>
    <row r="731" customFormat="false" ht="15" hidden="false" customHeight="false" outlineLevel="0" collapsed="false">
      <c r="A731" s="9" t="n">
        <v>222</v>
      </c>
      <c r="B731" s="9" t="s">
        <v>1642</v>
      </c>
      <c r="C731" s="10" t="s">
        <v>5068</v>
      </c>
      <c r="D731" s="10" t="s">
        <v>24</v>
      </c>
      <c r="E731" s="9" t="s">
        <v>5021</v>
      </c>
      <c r="F731" s="10" t="s">
        <v>5022</v>
      </c>
      <c r="G731" s="9" t="s">
        <v>3330</v>
      </c>
      <c r="H731" s="10" t="s">
        <v>5023</v>
      </c>
      <c r="I731" s="9"/>
      <c r="J731" s="10" t="s">
        <v>3247</v>
      </c>
      <c r="K731" s="10" t="s">
        <v>3247</v>
      </c>
    </row>
    <row r="732" customFormat="false" ht="15" hidden="false" customHeight="false" outlineLevel="0" collapsed="false">
      <c r="A732" s="9" t="n">
        <v>223</v>
      </c>
      <c r="B732" s="9" t="s">
        <v>1731</v>
      </c>
      <c r="C732" s="10" t="s">
        <v>5069</v>
      </c>
      <c r="D732" s="10" t="s">
        <v>24</v>
      </c>
      <c r="E732" s="9" t="s">
        <v>5070</v>
      </c>
      <c r="F732" s="10" t="s">
        <v>5071</v>
      </c>
      <c r="G732" s="9" t="s">
        <v>3242</v>
      </c>
      <c r="H732" s="10" t="s">
        <v>5072</v>
      </c>
      <c r="I732" s="9"/>
      <c r="J732" s="9" t="s">
        <v>3062</v>
      </c>
      <c r="K732" s="9" t="s">
        <v>3062</v>
      </c>
    </row>
    <row r="733" customFormat="false" ht="15" hidden="false" customHeight="false" outlineLevel="0" collapsed="false">
      <c r="A733" s="9" t="n">
        <v>223</v>
      </c>
      <c r="B733" s="9" t="s">
        <v>1731</v>
      </c>
      <c r="C733" s="10" t="s">
        <v>5069</v>
      </c>
      <c r="D733" s="10" t="s">
        <v>24</v>
      </c>
      <c r="E733" s="9" t="s">
        <v>5073</v>
      </c>
      <c r="F733" s="10" t="s">
        <v>5074</v>
      </c>
      <c r="G733" s="9" t="s">
        <v>3242</v>
      </c>
      <c r="H733" s="10" t="s">
        <v>5075</v>
      </c>
      <c r="I733" s="9"/>
      <c r="J733" s="9" t="s">
        <v>3062</v>
      </c>
      <c r="K733" s="9" t="s">
        <v>3062</v>
      </c>
    </row>
    <row r="734" customFormat="false" ht="26.85" hidden="false" customHeight="false" outlineLevel="0" collapsed="false">
      <c r="A734" s="9" t="n">
        <v>223</v>
      </c>
      <c r="B734" s="9" t="s">
        <v>1731</v>
      </c>
      <c r="C734" s="10" t="s">
        <v>5069</v>
      </c>
      <c r="D734" s="10" t="s">
        <v>24</v>
      </c>
      <c r="E734" s="9" t="s">
        <v>5076</v>
      </c>
      <c r="F734" s="10" t="s">
        <v>5077</v>
      </c>
      <c r="G734" s="9" t="s">
        <v>3242</v>
      </c>
      <c r="H734" s="10" t="s">
        <v>5078</v>
      </c>
      <c r="I734" s="9"/>
      <c r="J734" s="9" t="s">
        <v>3062</v>
      </c>
      <c r="K734" s="9" t="s">
        <v>3062</v>
      </c>
    </row>
    <row r="735" customFormat="false" ht="26.85" hidden="false" customHeight="false" outlineLevel="0" collapsed="false">
      <c r="A735" s="9" t="n">
        <v>224</v>
      </c>
      <c r="B735" s="9" t="s">
        <v>1736</v>
      </c>
      <c r="C735" s="10" t="s">
        <v>5079</v>
      </c>
      <c r="D735" s="10" t="s">
        <v>3482</v>
      </c>
      <c r="E735" s="9" t="s">
        <v>5080</v>
      </c>
      <c r="F735" s="10" t="s">
        <v>5081</v>
      </c>
      <c r="G735" s="10" t="s">
        <v>3355</v>
      </c>
      <c r="H735" s="10" t="s">
        <v>5082</v>
      </c>
      <c r="I735" s="9"/>
      <c r="J735" s="10" t="s">
        <v>3247</v>
      </c>
      <c r="K735" s="10" t="s">
        <v>3247</v>
      </c>
    </row>
    <row r="736" customFormat="false" ht="26.85" hidden="false" customHeight="false" outlineLevel="0" collapsed="false">
      <c r="A736" s="9" t="n">
        <v>224</v>
      </c>
      <c r="B736" s="9" t="s">
        <v>1736</v>
      </c>
      <c r="C736" s="10" t="s">
        <v>5079</v>
      </c>
      <c r="D736" s="10" t="s">
        <v>3482</v>
      </c>
      <c r="E736" s="9" t="s">
        <v>5083</v>
      </c>
      <c r="F736" s="10" t="s">
        <v>5084</v>
      </c>
      <c r="G736" s="10" t="s">
        <v>3355</v>
      </c>
      <c r="H736" s="10" t="s">
        <v>5085</v>
      </c>
      <c r="I736" s="9"/>
      <c r="J736" s="10" t="s">
        <v>3247</v>
      </c>
      <c r="K736" s="10" t="s">
        <v>3247</v>
      </c>
    </row>
    <row r="737" customFormat="false" ht="15" hidden="false" customHeight="false" outlineLevel="0" collapsed="false">
      <c r="A737" s="9" t="n">
        <v>224</v>
      </c>
      <c r="B737" s="9" t="s">
        <v>1736</v>
      </c>
      <c r="C737" s="10" t="s">
        <v>5079</v>
      </c>
      <c r="D737" s="10" t="s">
        <v>3482</v>
      </c>
      <c r="E737" s="9" t="s">
        <v>3106</v>
      </c>
      <c r="F737" s="10" t="s">
        <v>3105</v>
      </c>
      <c r="G737" s="9" t="s">
        <v>3242</v>
      </c>
      <c r="H737" s="10" t="s">
        <v>5086</v>
      </c>
      <c r="I737" s="9"/>
      <c r="J737" s="9" t="s">
        <v>3062</v>
      </c>
      <c r="K737" s="9" t="s">
        <v>3062</v>
      </c>
    </row>
    <row r="738" customFormat="false" ht="15" hidden="false" customHeight="false" outlineLevel="0" collapsed="false">
      <c r="A738" s="9" t="n">
        <v>224</v>
      </c>
      <c r="B738" s="9" t="s">
        <v>1736</v>
      </c>
      <c r="C738" s="10" t="s">
        <v>5079</v>
      </c>
      <c r="D738" s="10" t="s">
        <v>3482</v>
      </c>
      <c r="E738" s="9" t="s">
        <v>5087</v>
      </c>
      <c r="F738" s="10" t="s">
        <v>5088</v>
      </c>
      <c r="G738" s="9" t="s">
        <v>3242</v>
      </c>
      <c r="H738" s="10" t="s">
        <v>5089</v>
      </c>
      <c r="I738" s="9"/>
      <c r="J738" s="10" t="s">
        <v>3247</v>
      </c>
      <c r="K738" s="10" t="s">
        <v>3247</v>
      </c>
    </row>
    <row r="739" customFormat="false" ht="15" hidden="false" customHeight="false" outlineLevel="0" collapsed="false">
      <c r="A739" s="9" t="n">
        <v>225</v>
      </c>
      <c r="B739" s="9" t="s">
        <v>1743</v>
      </c>
      <c r="C739" s="10" t="s">
        <v>5090</v>
      </c>
      <c r="D739" s="10" t="s">
        <v>4097</v>
      </c>
      <c r="E739" s="9" t="s">
        <v>5091</v>
      </c>
      <c r="F739" s="10" t="s">
        <v>2581</v>
      </c>
      <c r="G739" s="9" t="s">
        <v>3242</v>
      </c>
      <c r="H739" s="10" t="s">
        <v>5092</v>
      </c>
      <c r="I739" s="9"/>
      <c r="J739" s="9" t="s">
        <v>3039</v>
      </c>
      <c r="K739" s="9" t="s">
        <v>3039</v>
      </c>
    </row>
    <row r="740" customFormat="false" ht="15" hidden="false" customHeight="false" outlineLevel="0" collapsed="false">
      <c r="A740" s="9" t="n">
        <v>225</v>
      </c>
      <c r="B740" s="9" t="s">
        <v>1743</v>
      </c>
      <c r="C740" s="10" t="s">
        <v>5090</v>
      </c>
      <c r="D740" s="10" t="s">
        <v>4097</v>
      </c>
      <c r="E740" s="9" t="s">
        <v>5087</v>
      </c>
      <c r="F740" s="10" t="s">
        <v>5088</v>
      </c>
      <c r="G740" s="9" t="s">
        <v>3242</v>
      </c>
      <c r="H740" s="10" t="s">
        <v>5089</v>
      </c>
      <c r="I740" s="9" t="s">
        <v>5093</v>
      </c>
      <c r="J740" s="10" t="s">
        <v>3247</v>
      </c>
      <c r="K740" s="10" t="s">
        <v>3247</v>
      </c>
    </row>
    <row r="741" customFormat="false" ht="15" hidden="false" customHeight="false" outlineLevel="0" collapsed="false">
      <c r="A741" s="9" t="n">
        <v>225</v>
      </c>
      <c r="B741" s="9" t="s">
        <v>1743</v>
      </c>
      <c r="C741" s="10" t="s">
        <v>5090</v>
      </c>
      <c r="D741" s="10" t="s">
        <v>4097</v>
      </c>
      <c r="E741" s="9" t="s">
        <v>5094</v>
      </c>
      <c r="F741" s="10" t="s">
        <v>5095</v>
      </c>
      <c r="G741" s="9" t="s">
        <v>3242</v>
      </c>
      <c r="H741" s="10" t="s">
        <v>5096</v>
      </c>
      <c r="I741" s="9"/>
      <c r="J741" s="9" t="s">
        <v>3062</v>
      </c>
      <c r="K741" s="9" t="s">
        <v>3062</v>
      </c>
    </row>
    <row r="742" customFormat="false" ht="15" hidden="false" customHeight="false" outlineLevel="0" collapsed="false">
      <c r="A742" s="9" t="n">
        <v>226</v>
      </c>
      <c r="B742" s="9" t="s">
        <v>1751</v>
      </c>
      <c r="C742" s="10" t="s">
        <v>5097</v>
      </c>
      <c r="D742" s="10" t="s">
        <v>3482</v>
      </c>
      <c r="E742" s="9" t="s">
        <v>5087</v>
      </c>
      <c r="F742" s="10" t="s">
        <v>5088</v>
      </c>
      <c r="G742" s="9" t="s">
        <v>3242</v>
      </c>
      <c r="H742" s="10" t="s">
        <v>5089</v>
      </c>
      <c r="I742" s="9"/>
      <c r="J742" s="10" t="s">
        <v>3247</v>
      </c>
      <c r="K742" s="10" t="s">
        <v>3247</v>
      </c>
    </row>
    <row r="743" customFormat="false" ht="15" hidden="false" customHeight="false" outlineLevel="0" collapsed="false">
      <c r="A743" s="9" t="n">
        <v>226</v>
      </c>
      <c r="B743" s="9" t="s">
        <v>1751</v>
      </c>
      <c r="C743" s="10" t="s">
        <v>5097</v>
      </c>
      <c r="D743" s="10" t="s">
        <v>3482</v>
      </c>
      <c r="E743" s="9" t="s">
        <v>3108</v>
      </c>
      <c r="F743" s="10" t="s">
        <v>3107</v>
      </c>
      <c r="G743" s="9" t="s">
        <v>3242</v>
      </c>
      <c r="H743" s="10" t="s">
        <v>5098</v>
      </c>
      <c r="I743" s="9"/>
      <c r="J743" s="9" t="s">
        <v>3062</v>
      </c>
      <c r="K743" s="9" t="s">
        <v>3062</v>
      </c>
    </row>
    <row r="744" customFormat="false" ht="15" hidden="false" customHeight="false" outlineLevel="0" collapsed="false">
      <c r="A744" s="9" t="n">
        <v>227</v>
      </c>
      <c r="B744" s="9" t="s">
        <v>1695</v>
      </c>
      <c r="C744" s="10" t="s">
        <v>1758</v>
      </c>
      <c r="D744" s="10" t="s">
        <v>24</v>
      </c>
      <c r="E744" s="9" t="s">
        <v>5036</v>
      </c>
      <c r="F744" s="10" t="s">
        <v>5037</v>
      </c>
      <c r="G744" s="9" t="s">
        <v>3242</v>
      </c>
      <c r="H744" s="10" t="s">
        <v>5038</v>
      </c>
      <c r="I744" s="9"/>
      <c r="J744" s="10" t="s">
        <v>3247</v>
      </c>
      <c r="K744" s="10" t="s">
        <v>3247</v>
      </c>
    </row>
    <row r="745" customFormat="false" ht="15" hidden="false" customHeight="false" outlineLevel="0" collapsed="false">
      <c r="A745" s="9" t="n">
        <v>227</v>
      </c>
      <c r="B745" s="9" t="s">
        <v>1695</v>
      </c>
      <c r="C745" s="10" t="s">
        <v>1758</v>
      </c>
      <c r="D745" s="10" t="s">
        <v>24</v>
      </c>
      <c r="E745" s="9" t="s">
        <v>4989</v>
      </c>
      <c r="F745" s="10" t="s">
        <v>4990</v>
      </c>
      <c r="G745" s="9" t="s">
        <v>3242</v>
      </c>
      <c r="H745" s="10" t="s">
        <v>4991</v>
      </c>
      <c r="I745" s="9"/>
      <c r="J745" s="9" t="s">
        <v>2232</v>
      </c>
      <c r="K745" s="9" t="s">
        <v>3284</v>
      </c>
    </row>
    <row r="746" customFormat="false" ht="15" hidden="false" customHeight="false" outlineLevel="0" collapsed="false">
      <c r="A746" s="9" t="n">
        <v>227</v>
      </c>
      <c r="B746" s="9" t="s">
        <v>1695</v>
      </c>
      <c r="C746" s="10" t="s">
        <v>1758</v>
      </c>
      <c r="D746" s="10" t="s">
        <v>24</v>
      </c>
      <c r="E746" s="9" t="s">
        <v>4944</v>
      </c>
      <c r="F746" s="10" t="s">
        <v>4945</v>
      </c>
      <c r="G746" s="9" t="s">
        <v>3242</v>
      </c>
      <c r="H746" s="10" t="s">
        <v>4946</v>
      </c>
      <c r="I746" s="9"/>
      <c r="J746" s="10" t="s">
        <v>3247</v>
      </c>
      <c r="K746" s="10" t="s">
        <v>3247</v>
      </c>
    </row>
    <row r="747" customFormat="false" ht="15" hidden="false" customHeight="false" outlineLevel="0" collapsed="false">
      <c r="A747" s="9" t="n">
        <v>228</v>
      </c>
      <c r="B747" s="9" t="s">
        <v>1759</v>
      </c>
      <c r="C747" s="10" t="s">
        <v>5099</v>
      </c>
      <c r="D747" s="10" t="s">
        <v>29</v>
      </c>
      <c r="E747" s="9" t="s">
        <v>5100</v>
      </c>
      <c r="F747" s="10" t="s">
        <v>5101</v>
      </c>
      <c r="G747" s="9" t="s">
        <v>3242</v>
      </c>
      <c r="H747" s="10" t="s">
        <v>5102</v>
      </c>
      <c r="I747" s="9"/>
      <c r="J747" s="10" t="s">
        <v>3247</v>
      </c>
      <c r="K747" s="10" t="s">
        <v>3247</v>
      </c>
    </row>
    <row r="748" customFormat="false" ht="15" hidden="false" customHeight="false" outlineLevel="0" collapsed="false">
      <c r="A748" s="9" t="n">
        <v>228</v>
      </c>
      <c r="B748" s="9" t="s">
        <v>1759</v>
      </c>
      <c r="C748" s="10" t="s">
        <v>5099</v>
      </c>
      <c r="D748" s="10" t="s">
        <v>29</v>
      </c>
      <c r="E748" s="9" t="s">
        <v>5103</v>
      </c>
      <c r="F748" s="10" t="s">
        <v>5104</v>
      </c>
      <c r="G748" s="9" t="s">
        <v>3242</v>
      </c>
      <c r="H748" s="10" t="s">
        <v>5105</v>
      </c>
      <c r="I748" s="9"/>
      <c r="J748" s="10" t="s">
        <v>3247</v>
      </c>
      <c r="K748" s="10" t="s">
        <v>3247</v>
      </c>
    </row>
    <row r="749" customFormat="false" ht="15" hidden="false" customHeight="false" outlineLevel="0" collapsed="false">
      <c r="A749" s="9" t="n">
        <v>228</v>
      </c>
      <c r="B749" s="9" t="s">
        <v>1759</v>
      </c>
      <c r="C749" s="10" t="s">
        <v>5099</v>
      </c>
      <c r="D749" s="10" t="s">
        <v>29</v>
      </c>
      <c r="E749" s="9" t="s">
        <v>5106</v>
      </c>
      <c r="F749" s="10" t="s">
        <v>5107</v>
      </c>
      <c r="G749" s="9" t="s">
        <v>3242</v>
      </c>
      <c r="H749" s="10" t="s">
        <v>5108</v>
      </c>
      <c r="I749" s="9"/>
      <c r="J749" s="10" t="s">
        <v>3247</v>
      </c>
      <c r="K749" s="10" t="s">
        <v>3247</v>
      </c>
    </row>
    <row r="750" customFormat="false" ht="15" hidden="false" customHeight="false" outlineLevel="0" collapsed="false">
      <c r="A750" s="9" t="n">
        <v>229</v>
      </c>
      <c r="B750" s="9" t="s">
        <v>1765</v>
      </c>
      <c r="C750" s="10" t="s">
        <v>5109</v>
      </c>
      <c r="D750" s="10" t="s">
        <v>25</v>
      </c>
      <c r="E750" s="9" t="s">
        <v>5110</v>
      </c>
      <c r="F750" s="10" t="s">
        <v>5111</v>
      </c>
      <c r="G750" s="9" t="s">
        <v>3242</v>
      </c>
      <c r="H750" s="10" t="s">
        <v>5112</v>
      </c>
      <c r="I750" s="9"/>
      <c r="J750" s="9" t="s">
        <v>2232</v>
      </c>
      <c r="K750" s="9" t="s">
        <v>3284</v>
      </c>
    </row>
    <row r="751" customFormat="false" ht="15" hidden="false" customHeight="false" outlineLevel="0" collapsed="false">
      <c r="A751" s="9" t="n">
        <v>229</v>
      </c>
      <c r="B751" s="9" t="s">
        <v>1765</v>
      </c>
      <c r="C751" s="10" t="s">
        <v>5109</v>
      </c>
      <c r="D751" s="10" t="s">
        <v>25</v>
      </c>
      <c r="E751" s="9" t="s">
        <v>5113</v>
      </c>
      <c r="F751" s="10" t="s">
        <v>5114</v>
      </c>
      <c r="G751" s="9" t="s">
        <v>3242</v>
      </c>
      <c r="H751" s="10" t="s">
        <v>5115</v>
      </c>
      <c r="I751" s="9"/>
      <c r="J751" s="9" t="s">
        <v>3062</v>
      </c>
      <c r="K751" s="9" t="s">
        <v>3062</v>
      </c>
    </row>
    <row r="752" customFormat="false" ht="15" hidden="false" customHeight="false" outlineLevel="0" collapsed="false">
      <c r="A752" s="9" t="n">
        <v>229</v>
      </c>
      <c r="B752" s="9" t="s">
        <v>1765</v>
      </c>
      <c r="C752" s="10" t="s">
        <v>5109</v>
      </c>
      <c r="D752" s="10" t="s">
        <v>25</v>
      </c>
      <c r="E752" s="9" t="s">
        <v>5116</v>
      </c>
      <c r="F752" s="10" t="s">
        <v>5117</v>
      </c>
      <c r="G752" s="9" t="s">
        <v>3242</v>
      </c>
      <c r="H752" s="10" t="s">
        <v>5118</v>
      </c>
      <c r="I752" s="9"/>
      <c r="J752" s="9" t="s">
        <v>3062</v>
      </c>
      <c r="K752" s="9" t="s">
        <v>3062</v>
      </c>
    </row>
    <row r="753" customFormat="false" ht="15" hidden="false" customHeight="false" outlineLevel="0" collapsed="false">
      <c r="A753" s="9" t="n">
        <v>229</v>
      </c>
      <c r="B753" s="9" t="s">
        <v>1765</v>
      </c>
      <c r="C753" s="10" t="s">
        <v>5109</v>
      </c>
      <c r="D753" s="10" t="s">
        <v>25</v>
      </c>
      <c r="E753" s="9" t="s">
        <v>5119</v>
      </c>
      <c r="F753" s="10" t="s">
        <v>5120</v>
      </c>
      <c r="G753" s="9" t="s">
        <v>3242</v>
      </c>
      <c r="H753" s="10" t="s">
        <v>5121</v>
      </c>
      <c r="I753" s="9"/>
      <c r="J753" s="9" t="s">
        <v>3062</v>
      </c>
      <c r="K753" s="9" t="s">
        <v>3062</v>
      </c>
    </row>
    <row r="754" customFormat="false" ht="15" hidden="false" customHeight="false" outlineLevel="0" collapsed="false">
      <c r="A754" s="9" t="n">
        <v>230</v>
      </c>
      <c r="B754" s="9" t="s">
        <v>1770</v>
      </c>
      <c r="C754" s="10" t="s">
        <v>5122</v>
      </c>
      <c r="D754" s="10" t="s">
        <v>25</v>
      </c>
      <c r="E754" s="9" t="s">
        <v>5123</v>
      </c>
      <c r="F754" s="10" t="s">
        <v>5124</v>
      </c>
      <c r="G754" s="9" t="s">
        <v>3242</v>
      </c>
      <c r="H754" s="10" t="s">
        <v>5125</v>
      </c>
      <c r="I754" s="9" t="s">
        <v>5126</v>
      </c>
      <c r="J754" s="9" t="s">
        <v>2232</v>
      </c>
      <c r="K754" s="9" t="s">
        <v>3284</v>
      </c>
    </row>
    <row r="755" customFormat="false" ht="15" hidden="false" customHeight="false" outlineLevel="0" collapsed="false">
      <c r="A755" s="9" t="n">
        <v>230</v>
      </c>
      <c r="B755" s="9" t="s">
        <v>1770</v>
      </c>
      <c r="C755" s="10" t="s">
        <v>5122</v>
      </c>
      <c r="D755" s="10" t="s">
        <v>25</v>
      </c>
      <c r="E755" s="9" t="s">
        <v>5127</v>
      </c>
      <c r="F755" s="10" t="s">
        <v>5128</v>
      </c>
      <c r="G755" s="9" t="s">
        <v>3242</v>
      </c>
      <c r="H755" s="10" t="s">
        <v>5129</v>
      </c>
      <c r="I755" s="9"/>
      <c r="J755" s="9" t="s">
        <v>3062</v>
      </c>
      <c r="K755" s="9" t="s">
        <v>3062</v>
      </c>
    </row>
    <row r="756" customFormat="false" ht="15" hidden="false" customHeight="false" outlineLevel="0" collapsed="false">
      <c r="A756" s="9" t="n">
        <v>230</v>
      </c>
      <c r="B756" s="9" t="s">
        <v>1770</v>
      </c>
      <c r="C756" s="10" t="s">
        <v>5122</v>
      </c>
      <c r="D756" s="10" t="s">
        <v>25</v>
      </c>
      <c r="E756" s="9" t="s">
        <v>5113</v>
      </c>
      <c r="F756" s="10" t="s">
        <v>5114</v>
      </c>
      <c r="G756" s="9" t="s">
        <v>3242</v>
      </c>
      <c r="H756" s="10" t="s">
        <v>5115</v>
      </c>
      <c r="I756" s="9"/>
      <c r="J756" s="9" t="s">
        <v>3062</v>
      </c>
      <c r="K756" s="9" t="s">
        <v>3062</v>
      </c>
    </row>
    <row r="757" customFormat="false" ht="15" hidden="false" customHeight="false" outlineLevel="0" collapsed="false">
      <c r="A757" s="9" t="n">
        <v>231</v>
      </c>
      <c r="B757" s="9" t="s">
        <v>1775</v>
      </c>
      <c r="C757" s="10" t="s">
        <v>5130</v>
      </c>
      <c r="D757" s="10" t="s">
        <v>29</v>
      </c>
      <c r="E757" s="9" t="s">
        <v>5131</v>
      </c>
      <c r="F757" s="10" t="s">
        <v>5132</v>
      </c>
      <c r="G757" s="9" t="s">
        <v>3242</v>
      </c>
      <c r="H757" s="10" t="s">
        <v>5133</v>
      </c>
      <c r="I757" s="9"/>
      <c r="J757" s="10" t="s">
        <v>3247</v>
      </c>
      <c r="K757" s="10" t="s">
        <v>3247</v>
      </c>
    </row>
    <row r="758" customFormat="false" ht="15" hidden="false" customHeight="false" outlineLevel="0" collapsed="false">
      <c r="A758" s="9" t="n">
        <v>231</v>
      </c>
      <c r="B758" s="9" t="s">
        <v>1775</v>
      </c>
      <c r="C758" s="10" t="s">
        <v>5130</v>
      </c>
      <c r="D758" s="10" t="s">
        <v>29</v>
      </c>
      <c r="E758" s="9" t="s">
        <v>5134</v>
      </c>
      <c r="F758" s="10" t="s">
        <v>5135</v>
      </c>
      <c r="G758" s="9" t="s">
        <v>3242</v>
      </c>
      <c r="H758" s="10" t="s">
        <v>5136</v>
      </c>
      <c r="I758" s="9"/>
      <c r="J758" s="10" t="s">
        <v>3247</v>
      </c>
      <c r="K758" s="10" t="s">
        <v>3247</v>
      </c>
    </row>
    <row r="759" customFormat="false" ht="15" hidden="false" customHeight="false" outlineLevel="0" collapsed="false">
      <c r="A759" s="9" t="n">
        <v>232</v>
      </c>
      <c r="B759" s="9" t="s">
        <v>1780</v>
      </c>
      <c r="C759" s="10" t="s">
        <v>5137</v>
      </c>
      <c r="D759" s="10" t="s">
        <v>25</v>
      </c>
      <c r="E759" s="9" t="s">
        <v>5138</v>
      </c>
      <c r="F759" s="10" t="s">
        <v>2255</v>
      </c>
      <c r="G759" s="9" t="s">
        <v>3242</v>
      </c>
      <c r="H759" s="10" t="s">
        <v>5139</v>
      </c>
      <c r="I759" s="9"/>
      <c r="J759" s="9" t="s">
        <v>2232</v>
      </c>
      <c r="K759" s="9" t="s">
        <v>3284</v>
      </c>
    </row>
    <row r="760" customFormat="false" ht="15" hidden="false" customHeight="false" outlineLevel="0" collapsed="false">
      <c r="A760" s="9" t="n">
        <v>232</v>
      </c>
      <c r="B760" s="9" t="s">
        <v>1780</v>
      </c>
      <c r="C760" s="10" t="s">
        <v>5137</v>
      </c>
      <c r="D760" s="10" t="s">
        <v>25</v>
      </c>
      <c r="E760" s="9" t="s">
        <v>5140</v>
      </c>
      <c r="F760" s="10" t="s">
        <v>5141</v>
      </c>
      <c r="G760" s="9" t="s">
        <v>3242</v>
      </c>
      <c r="H760" s="10" t="s">
        <v>5142</v>
      </c>
      <c r="I760" s="9"/>
      <c r="J760" s="9" t="s">
        <v>3062</v>
      </c>
      <c r="K760" s="9" t="s">
        <v>3062</v>
      </c>
    </row>
    <row r="761" customFormat="false" ht="15" hidden="false" customHeight="false" outlineLevel="0" collapsed="false">
      <c r="A761" s="9" t="n">
        <v>232</v>
      </c>
      <c r="B761" s="9" t="s">
        <v>1780</v>
      </c>
      <c r="C761" s="10" t="s">
        <v>5137</v>
      </c>
      <c r="D761" s="10" t="s">
        <v>25</v>
      </c>
      <c r="E761" s="9" t="s">
        <v>5143</v>
      </c>
      <c r="F761" s="10" t="s">
        <v>5144</v>
      </c>
      <c r="G761" s="9" t="s">
        <v>3242</v>
      </c>
      <c r="H761" s="10" t="s">
        <v>5145</v>
      </c>
      <c r="I761" s="9"/>
      <c r="J761" s="9" t="s">
        <v>3062</v>
      </c>
      <c r="K761" s="9" t="s">
        <v>3062</v>
      </c>
    </row>
    <row r="762" customFormat="false" ht="23.85" hidden="false" customHeight="false" outlineLevel="0" collapsed="false">
      <c r="A762" s="9" t="n">
        <v>232</v>
      </c>
      <c r="B762" s="9" t="s">
        <v>1780</v>
      </c>
      <c r="C762" s="10" t="s">
        <v>5137</v>
      </c>
      <c r="D762" s="10" t="s">
        <v>25</v>
      </c>
      <c r="E762" s="9" t="s">
        <v>5146</v>
      </c>
      <c r="F762" s="10" t="s">
        <v>5147</v>
      </c>
      <c r="G762" s="9" t="s">
        <v>3242</v>
      </c>
      <c r="H762" s="10" t="s">
        <v>5148</v>
      </c>
      <c r="I762" s="9"/>
      <c r="J762" s="9" t="s">
        <v>3062</v>
      </c>
      <c r="K762" s="9" t="s">
        <v>3062</v>
      </c>
    </row>
    <row r="763" customFormat="false" ht="15" hidden="false" customHeight="false" outlineLevel="0" collapsed="false">
      <c r="A763" s="9" t="n">
        <v>233</v>
      </c>
      <c r="B763" s="9" t="s">
        <v>1785</v>
      </c>
      <c r="C763" s="10" t="s">
        <v>5149</v>
      </c>
      <c r="D763" s="10" t="s">
        <v>25</v>
      </c>
      <c r="E763" s="9" t="s">
        <v>5150</v>
      </c>
      <c r="F763" s="10" t="s">
        <v>5151</v>
      </c>
      <c r="G763" s="9" t="s">
        <v>3242</v>
      </c>
      <c r="H763" s="10" t="s">
        <v>5152</v>
      </c>
      <c r="I763" s="9"/>
      <c r="J763" s="9" t="s">
        <v>3062</v>
      </c>
      <c r="K763" s="9" t="s">
        <v>3062</v>
      </c>
    </row>
    <row r="764" customFormat="false" ht="15" hidden="false" customHeight="false" outlineLevel="0" collapsed="false">
      <c r="A764" s="9" t="n">
        <v>233</v>
      </c>
      <c r="B764" s="9" t="s">
        <v>1785</v>
      </c>
      <c r="C764" s="10" t="s">
        <v>5149</v>
      </c>
      <c r="D764" s="10" t="s">
        <v>25</v>
      </c>
      <c r="E764" s="9" t="s">
        <v>5153</v>
      </c>
      <c r="F764" s="10" t="s">
        <v>5154</v>
      </c>
      <c r="G764" s="9" t="s">
        <v>3242</v>
      </c>
      <c r="H764" s="10" t="s">
        <v>5155</v>
      </c>
      <c r="I764" s="9"/>
      <c r="J764" s="9" t="s">
        <v>3062</v>
      </c>
      <c r="K764" s="9" t="s">
        <v>3062</v>
      </c>
    </row>
    <row r="765" customFormat="false" ht="23.85" hidden="false" customHeight="false" outlineLevel="0" collapsed="false">
      <c r="A765" s="9" t="n">
        <v>233</v>
      </c>
      <c r="B765" s="9" t="s">
        <v>1785</v>
      </c>
      <c r="C765" s="10" t="s">
        <v>5149</v>
      </c>
      <c r="D765" s="10" t="s">
        <v>25</v>
      </c>
      <c r="E765" s="9" t="s">
        <v>5146</v>
      </c>
      <c r="F765" s="10" t="s">
        <v>5147</v>
      </c>
      <c r="G765" s="9" t="s">
        <v>3242</v>
      </c>
      <c r="H765" s="10" t="s">
        <v>5148</v>
      </c>
      <c r="I765" s="9"/>
      <c r="J765" s="9" t="s">
        <v>3062</v>
      </c>
      <c r="K765" s="9" t="s">
        <v>3062</v>
      </c>
    </row>
    <row r="766" customFormat="false" ht="26.85" hidden="false" customHeight="false" outlineLevel="0" collapsed="false">
      <c r="A766" s="9" t="n">
        <v>234</v>
      </c>
      <c r="B766" s="9" t="s">
        <v>1790</v>
      </c>
      <c r="C766" s="10" t="s">
        <v>5156</v>
      </c>
      <c r="D766" s="10" t="s">
        <v>28</v>
      </c>
      <c r="E766" s="9" t="s">
        <v>5103</v>
      </c>
      <c r="F766" s="10" t="s">
        <v>5104</v>
      </c>
      <c r="G766" s="9" t="s">
        <v>3242</v>
      </c>
      <c r="H766" s="10" t="s">
        <v>5105</v>
      </c>
      <c r="I766" s="9"/>
      <c r="J766" s="10" t="s">
        <v>3247</v>
      </c>
      <c r="K766" s="10" t="s">
        <v>3247</v>
      </c>
    </row>
    <row r="767" customFormat="false" ht="26.85" hidden="false" customHeight="false" outlineLevel="0" collapsed="false">
      <c r="A767" s="9" t="n">
        <v>234</v>
      </c>
      <c r="B767" s="9" t="s">
        <v>1790</v>
      </c>
      <c r="C767" s="10" t="s">
        <v>5156</v>
      </c>
      <c r="D767" s="10" t="s">
        <v>28</v>
      </c>
      <c r="E767" s="9" t="s">
        <v>5157</v>
      </c>
      <c r="F767" s="10" t="s">
        <v>5158</v>
      </c>
      <c r="G767" s="9" t="s">
        <v>3242</v>
      </c>
      <c r="H767" s="10" t="s">
        <v>5159</v>
      </c>
      <c r="I767" s="9"/>
      <c r="J767" s="10" t="s">
        <v>3247</v>
      </c>
      <c r="K767" s="10" t="s">
        <v>3247</v>
      </c>
    </row>
    <row r="768" customFormat="false" ht="26.85" hidden="false" customHeight="false" outlineLevel="0" collapsed="false">
      <c r="A768" s="9" t="n">
        <v>234</v>
      </c>
      <c r="B768" s="9" t="s">
        <v>1790</v>
      </c>
      <c r="C768" s="10" t="s">
        <v>5156</v>
      </c>
      <c r="D768" s="10" t="s">
        <v>28</v>
      </c>
      <c r="E768" s="9" t="s">
        <v>5160</v>
      </c>
      <c r="F768" s="10" t="s">
        <v>5161</v>
      </c>
      <c r="G768" s="9" t="s">
        <v>3242</v>
      </c>
      <c r="H768" s="10" t="s">
        <v>5162</v>
      </c>
      <c r="I768" s="9"/>
      <c r="J768" s="10" t="s">
        <v>3247</v>
      </c>
      <c r="K768" s="10" t="s">
        <v>3247</v>
      </c>
    </row>
    <row r="769" customFormat="false" ht="26.85" hidden="false" customHeight="false" outlineLevel="0" collapsed="false">
      <c r="A769" s="9" t="n">
        <v>235</v>
      </c>
      <c r="B769" s="9" t="s">
        <v>1795</v>
      </c>
      <c r="C769" s="10" t="s">
        <v>5163</v>
      </c>
      <c r="D769" s="10" t="s">
        <v>24</v>
      </c>
      <c r="E769" s="9" t="s">
        <v>5164</v>
      </c>
      <c r="F769" s="10" t="s">
        <v>5165</v>
      </c>
      <c r="G769" s="9" t="s">
        <v>3242</v>
      </c>
      <c r="H769" s="10" t="s">
        <v>5166</v>
      </c>
      <c r="I769" s="9"/>
      <c r="J769" s="9" t="s">
        <v>3062</v>
      </c>
      <c r="K769" s="9" t="s">
        <v>3062</v>
      </c>
    </row>
    <row r="770" customFormat="false" ht="26.85" hidden="false" customHeight="false" outlineLevel="0" collapsed="false">
      <c r="A770" s="9" t="n">
        <v>235</v>
      </c>
      <c r="B770" s="9" t="s">
        <v>1795</v>
      </c>
      <c r="C770" s="10" t="s">
        <v>5163</v>
      </c>
      <c r="D770" s="10" t="s">
        <v>24</v>
      </c>
      <c r="E770" s="9" t="s">
        <v>5167</v>
      </c>
      <c r="F770" s="10" t="s">
        <v>5168</v>
      </c>
      <c r="G770" s="9" t="s">
        <v>3242</v>
      </c>
      <c r="H770" s="10" t="s">
        <v>5169</v>
      </c>
      <c r="I770" s="9"/>
      <c r="J770" s="9" t="s">
        <v>3062</v>
      </c>
      <c r="K770" s="9" t="s">
        <v>3062</v>
      </c>
    </row>
    <row r="771" customFormat="false" ht="26.85" hidden="false" customHeight="false" outlineLevel="0" collapsed="false">
      <c r="A771" s="9" t="n">
        <v>235</v>
      </c>
      <c r="B771" s="9" t="s">
        <v>1795</v>
      </c>
      <c r="C771" s="10" t="s">
        <v>5163</v>
      </c>
      <c r="D771" s="10" t="s">
        <v>24</v>
      </c>
      <c r="E771" s="9" t="s">
        <v>5170</v>
      </c>
      <c r="F771" s="10" t="s">
        <v>5171</v>
      </c>
      <c r="G771" s="9" t="s">
        <v>3242</v>
      </c>
      <c r="H771" s="10" t="s">
        <v>5172</v>
      </c>
      <c r="I771" s="9"/>
      <c r="J771" s="9" t="s">
        <v>3062</v>
      </c>
      <c r="K771" s="9" t="s">
        <v>3062</v>
      </c>
    </row>
    <row r="772" customFormat="false" ht="26.85" hidden="false" customHeight="false" outlineLevel="0" collapsed="false">
      <c r="A772" s="9" t="n">
        <v>235</v>
      </c>
      <c r="B772" s="9" t="s">
        <v>1795</v>
      </c>
      <c r="C772" s="10" t="s">
        <v>5163</v>
      </c>
      <c r="D772" s="10" t="s">
        <v>24</v>
      </c>
      <c r="E772" s="9" t="s">
        <v>5173</v>
      </c>
      <c r="F772" s="10" t="s">
        <v>5174</v>
      </c>
      <c r="G772" s="9" t="s">
        <v>3242</v>
      </c>
      <c r="H772" s="10" t="s">
        <v>5175</v>
      </c>
      <c r="I772" s="9"/>
      <c r="J772" s="9" t="s">
        <v>3062</v>
      </c>
      <c r="K772" s="9" t="s">
        <v>3062</v>
      </c>
    </row>
    <row r="773" customFormat="false" ht="15" hidden="false" customHeight="false" outlineLevel="0" collapsed="false">
      <c r="A773" s="9" t="n">
        <v>236</v>
      </c>
      <c r="B773" s="9" t="s">
        <v>1800</v>
      </c>
      <c r="C773" s="10" t="s">
        <v>5176</v>
      </c>
      <c r="D773" s="10" t="s">
        <v>24</v>
      </c>
      <c r="E773" s="9" t="s">
        <v>5177</v>
      </c>
      <c r="F773" s="10" t="s">
        <v>5178</v>
      </c>
      <c r="G773" s="9" t="s">
        <v>3242</v>
      </c>
      <c r="H773" s="10" t="s">
        <v>5179</v>
      </c>
      <c r="I773" s="9"/>
      <c r="J773" s="9" t="s">
        <v>3062</v>
      </c>
      <c r="K773" s="9" t="s">
        <v>3062</v>
      </c>
    </row>
    <row r="774" customFormat="false" ht="15" hidden="false" customHeight="false" outlineLevel="0" collapsed="false">
      <c r="A774" s="9" t="n">
        <v>236</v>
      </c>
      <c r="B774" s="9" t="s">
        <v>1800</v>
      </c>
      <c r="C774" s="10" t="s">
        <v>5176</v>
      </c>
      <c r="D774" s="10" t="s">
        <v>24</v>
      </c>
      <c r="E774" s="9" t="s">
        <v>5180</v>
      </c>
      <c r="F774" s="10" t="s">
        <v>5181</v>
      </c>
      <c r="G774" s="9" t="s">
        <v>3242</v>
      </c>
      <c r="H774" s="10" t="s">
        <v>5182</v>
      </c>
      <c r="I774" s="9"/>
      <c r="J774" s="9" t="s">
        <v>3062</v>
      </c>
      <c r="K774" s="9" t="s">
        <v>3062</v>
      </c>
    </row>
    <row r="775" customFormat="false" ht="15" hidden="false" customHeight="false" outlineLevel="0" collapsed="false">
      <c r="A775" s="9" t="n">
        <v>236</v>
      </c>
      <c r="B775" s="9" t="s">
        <v>1800</v>
      </c>
      <c r="C775" s="10" t="s">
        <v>5176</v>
      </c>
      <c r="D775" s="10" t="s">
        <v>24</v>
      </c>
      <c r="E775" s="9" t="s">
        <v>5183</v>
      </c>
      <c r="F775" s="10" t="s">
        <v>5184</v>
      </c>
      <c r="G775" s="9" t="s">
        <v>3242</v>
      </c>
      <c r="H775" s="10" t="s">
        <v>5185</v>
      </c>
      <c r="I775" s="9"/>
      <c r="J775" s="9" t="s">
        <v>3062</v>
      </c>
      <c r="K775" s="9" t="s">
        <v>3062</v>
      </c>
    </row>
    <row r="776" customFormat="false" ht="15" hidden="false" customHeight="false" outlineLevel="0" collapsed="false">
      <c r="A776" s="9" t="n">
        <v>237</v>
      </c>
      <c r="B776" s="9" t="s">
        <v>1805</v>
      </c>
      <c r="C776" s="10" t="s">
        <v>5186</v>
      </c>
      <c r="D776" s="10" t="s">
        <v>24</v>
      </c>
      <c r="E776" s="9" t="s">
        <v>5187</v>
      </c>
      <c r="F776" s="10" t="s">
        <v>5188</v>
      </c>
      <c r="G776" s="9" t="s">
        <v>3242</v>
      </c>
      <c r="H776" s="10" t="s">
        <v>5189</v>
      </c>
      <c r="I776" s="9"/>
      <c r="J776" s="9" t="s">
        <v>3062</v>
      </c>
      <c r="K776" s="9" t="s">
        <v>3062</v>
      </c>
    </row>
    <row r="777" customFormat="false" ht="15" hidden="false" customHeight="false" outlineLevel="0" collapsed="false">
      <c r="A777" s="9" t="n">
        <v>237</v>
      </c>
      <c r="B777" s="9" t="s">
        <v>1805</v>
      </c>
      <c r="C777" s="10" t="s">
        <v>5186</v>
      </c>
      <c r="D777" s="10" t="s">
        <v>24</v>
      </c>
      <c r="E777" s="9" t="s">
        <v>5190</v>
      </c>
      <c r="F777" s="10" t="s">
        <v>5191</v>
      </c>
      <c r="G777" s="9" t="s">
        <v>3242</v>
      </c>
      <c r="H777" s="10" t="s">
        <v>5192</v>
      </c>
      <c r="I777" s="9"/>
      <c r="J777" s="9" t="s">
        <v>3062</v>
      </c>
      <c r="K777" s="9" t="s">
        <v>3062</v>
      </c>
    </row>
    <row r="778" customFormat="false" ht="15" hidden="false" customHeight="false" outlineLevel="0" collapsed="false">
      <c r="A778" s="9" t="n">
        <v>237</v>
      </c>
      <c r="B778" s="9" t="s">
        <v>1805</v>
      </c>
      <c r="C778" s="10" t="s">
        <v>5186</v>
      </c>
      <c r="D778" s="10" t="s">
        <v>24</v>
      </c>
      <c r="E778" s="9" t="s">
        <v>5193</v>
      </c>
      <c r="F778" s="10" t="s">
        <v>5194</v>
      </c>
      <c r="G778" s="9" t="s">
        <v>3242</v>
      </c>
      <c r="H778" s="10" t="s">
        <v>5195</v>
      </c>
      <c r="I778" s="9"/>
      <c r="J778" s="9" t="s">
        <v>3062</v>
      </c>
      <c r="K778" s="9" t="s">
        <v>3062</v>
      </c>
    </row>
    <row r="779" customFormat="false" ht="15" hidden="false" customHeight="false" outlineLevel="0" collapsed="false">
      <c r="A779" s="9" t="n">
        <v>237</v>
      </c>
      <c r="B779" s="9" t="s">
        <v>1805</v>
      </c>
      <c r="C779" s="10" t="s">
        <v>5186</v>
      </c>
      <c r="D779" s="10" t="s">
        <v>24</v>
      </c>
      <c r="E779" s="9" t="s">
        <v>4992</v>
      </c>
      <c r="F779" s="10" t="s">
        <v>3027</v>
      </c>
      <c r="G779" s="9" t="s">
        <v>3242</v>
      </c>
      <c r="H779" s="10" t="s">
        <v>4993</v>
      </c>
      <c r="I779" s="9"/>
      <c r="J779" s="10" t="s">
        <v>3247</v>
      </c>
      <c r="K779" s="10" t="s">
        <v>3247</v>
      </c>
    </row>
    <row r="780" customFormat="false" ht="15" hidden="false" customHeight="false" outlineLevel="0" collapsed="false">
      <c r="A780" s="9" t="n">
        <v>238</v>
      </c>
      <c r="B780" s="9" t="s">
        <v>1810</v>
      </c>
      <c r="C780" s="10" t="s">
        <v>1811</v>
      </c>
      <c r="D780" s="10" t="s">
        <v>24</v>
      </c>
      <c r="E780" s="9" t="s">
        <v>5193</v>
      </c>
      <c r="F780" s="10" t="s">
        <v>5194</v>
      </c>
      <c r="G780" s="9" t="s">
        <v>3242</v>
      </c>
      <c r="H780" s="10" t="s">
        <v>5195</v>
      </c>
      <c r="I780" s="9"/>
      <c r="J780" s="9" t="s">
        <v>3062</v>
      </c>
      <c r="K780" s="9" t="s">
        <v>3062</v>
      </c>
    </row>
    <row r="781" customFormat="false" ht="15" hidden="false" customHeight="false" outlineLevel="0" collapsed="false">
      <c r="A781" s="9" t="n">
        <v>238</v>
      </c>
      <c r="B781" s="9" t="s">
        <v>1810</v>
      </c>
      <c r="C781" s="10" t="s">
        <v>1811</v>
      </c>
      <c r="D781" s="10" t="s">
        <v>24</v>
      </c>
      <c r="E781" s="9" t="s">
        <v>4347</v>
      </c>
      <c r="F781" s="10" t="s">
        <v>4348</v>
      </c>
      <c r="G781" s="9" t="s">
        <v>3242</v>
      </c>
      <c r="H781" s="10" t="s">
        <v>4349</v>
      </c>
      <c r="I781" s="9"/>
      <c r="J781" s="9" t="s">
        <v>3062</v>
      </c>
      <c r="K781" s="9" t="s">
        <v>3062</v>
      </c>
    </row>
    <row r="782" customFormat="false" ht="15" hidden="false" customHeight="false" outlineLevel="0" collapsed="false">
      <c r="A782" s="9" t="n">
        <v>238</v>
      </c>
      <c r="B782" s="9" t="s">
        <v>1810</v>
      </c>
      <c r="C782" s="10" t="s">
        <v>1811</v>
      </c>
      <c r="D782" s="10" t="s">
        <v>24</v>
      </c>
      <c r="E782" s="9" t="s">
        <v>5116</v>
      </c>
      <c r="F782" s="10" t="s">
        <v>5117</v>
      </c>
      <c r="G782" s="9" t="s">
        <v>3242</v>
      </c>
      <c r="H782" s="10" t="s">
        <v>5118</v>
      </c>
      <c r="I782" s="9"/>
      <c r="J782" s="9" t="s">
        <v>3062</v>
      </c>
      <c r="K782" s="9" t="s">
        <v>3062</v>
      </c>
    </row>
    <row r="783" customFormat="false" ht="38.05" hidden="false" customHeight="false" outlineLevel="0" collapsed="false">
      <c r="A783" s="9" t="n">
        <v>239</v>
      </c>
      <c r="B783" s="9" t="s">
        <v>1814</v>
      </c>
      <c r="C783" s="10" t="s">
        <v>1815</v>
      </c>
      <c r="D783" s="10" t="s">
        <v>24</v>
      </c>
      <c r="E783" s="9" t="s">
        <v>5196</v>
      </c>
      <c r="F783" s="10" t="s">
        <v>5197</v>
      </c>
      <c r="G783" s="9" t="s">
        <v>5198</v>
      </c>
      <c r="H783" s="10" t="s">
        <v>5199</v>
      </c>
      <c r="I783" s="9"/>
      <c r="J783" s="10" t="s">
        <v>3247</v>
      </c>
      <c r="K783" s="10" t="s">
        <v>3247</v>
      </c>
    </row>
    <row r="784" customFormat="false" ht="15" hidden="false" customHeight="false" outlineLevel="0" collapsed="false">
      <c r="A784" s="9" t="n">
        <v>239</v>
      </c>
      <c r="B784" s="9" t="s">
        <v>1814</v>
      </c>
      <c r="C784" s="10" t="s">
        <v>1815</v>
      </c>
      <c r="D784" s="10" t="s">
        <v>24</v>
      </c>
      <c r="E784" s="9" t="s">
        <v>5177</v>
      </c>
      <c r="F784" s="10" t="s">
        <v>5178</v>
      </c>
      <c r="G784" s="9" t="s">
        <v>3242</v>
      </c>
      <c r="H784" s="10" t="s">
        <v>5179</v>
      </c>
      <c r="I784" s="9"/>
      <c r="J784" s="9" t="s">
        <v>3062</v>
      </c>
      <c r="K784" s="9" t="s">
        <v>3062</v>
      </c>
    </row>
    <row r="785" customFormat="false" ht="15" hidden="false" customHeight="false" outlineLevel="0" collapsed="false">
      <c r="A785" s="9" t="n">
        <v>240</v>
      </c>
      <c r="B785" s="9" t="s">
        <v>1818</v>
      </c>
      <c r="C785" s="10" t="s">
        <v>1819</v>
      </c>
      <c r="D785" s="10" t="s">
        <v>24</v>
      </c>
      <c r="E785" s="9" t="s">
        <v>5127</v>
      </c>
      <c r="F785" s="10" t="s">
        <v>5128</v>
      </c>
      <c r="G785" s="9" t="s">
        <v>3242</v>
      </c>
      <c r="H785" s="10" t="s">
        <v>5129</v>
      </c>
      <c r="I785" s="9"/>
      <c r="J785" s="9" t="s">
        <v>3062</v>
      </c>
      <c r="K785" s="9" t="s">
        <v>3062</v>
      </c>
    </row>
    <row r="786" customFormat="false" ht="15" hidden="false" customHeight="false" outlineLevel="0" collapsed="false">
      <c r="A786" s="9" t="n">
        <v>240</v>
      </c>
      <c r="B786" s="9" t="s">
        <v>1818</v>
      </c>
      <c r="C786" s="10" t="s">
        <v>1819</v>
      </c>
      <c r="D786" s="10" t="s">
        <v>24</v>
      </c>
      <c r="E786" s="9" t="s">
        <v>5200</v>
      </c>
      <c r="F786" s="10" t="s">
        <v>5201</v>
      </c>
      <c r="G786" s="9" t="s">
        <v>3242</v>
      </c>
      <c r="H786" s="10" t="s">
        <v>5202</v>
      </c>
      <c r="I786" s="9"/>
      <c r="J786" s="9" t="s">
        <v>2232</v>
      </c>
      <c r="K786" s="9" t="s">
        <v>3284</v>
      </c>
    </row>
    <row r="787" customFormat="false" ht="15" hidden="false" customHeight="false" outlineLevel="0" collapsed="false">
      <c r="A787" s="9" t="n">
        <v>240</v>
      </c>
      <c r="B787" s="9" t="s">
        <v>1818</v>
      </c>
      <c r="C787" s="10" t="s">
        <v>1819</v>
      </c>
      <c r="D787" s="10" t="s">
        <v>24</v>
      </c>
      <c r="E787" s="9" t="s">
        <v>5203</v>
      </c>
      <c r="F787" s="10" t="s">
        <v>5204</v>
      </c>
      <c r="G787" s="9" t="s">
        <v>3242</v>
      </c>
      <c r="H787" s="10" t="s">
        <v>5205</v>
      </c>
      <c r="I787" s="9"/>
      <c r="J787" s="9" t="s">
        <v>3062</v>
      </c>
      <c r="K787" s="9" t="s">
        <v>3062</v>
      </c>
    </row>
    <row r="788" customFormat="false" ht="23.85" hidden="false" customHeight="false" outlineLevel="0" collapsed="false">
      <c r="A788" s="9" t="n">
        <v>241</v>
      </c>
      <c r="B788" s="9" t="s">
        <v>1822</v>
      </c>
      <c r="C788" s="10" t="s">
        <v>1823</v>
      </c>
      <c r="D788" s="10" t="s">
        <v>24</v>
      </c>
      <c r="E788" s="9" t="s">
        <v>5206</v>
      </c>
      <c r="F788" s="10" t="s">
        <v>5207</v>
      </c>
      <c r="G788" s="9" t="s">
        <v>3242</v>
      </c>
      <c r="H788" s="10" t="s">
        <v>5208</v>
      </c>
      <c r="I788" s="9"/>
      <c r="J788" s="9" t="s">
        <v>3062</v>
      </c>
      <c r="K788" s="9" t="s">
        <v>3062</v>
      </c>
    </row>
    <row r="789" customFormat="false" ht="15" hidden="false" customHeight="false" outlineLevel="0" collapsed="false">
      <c r="A789" s="9" t="n">
        <v>241</v>
      </c>
      <c r="B789" s="9" t="s">
        <v>1822</v>
      </c>
      <c r="C789" s="10" t="s">
        <v>1823</v>
      </c>
      <c r="D789" s="10" t="s">
        <v>24</v>
      </c>
      <c r="E789" s="9" t="s">
        <v>5209</v>
      </c>
      <c r="F789" s="10" t="s">
        <v>5210</v>
      </c>
      <c r="G789" s="9" t="s">
        <v>3242</v>
      </c>
      <c r="H789" s="10" t="s">
        <v>5211</v>
      </c>
      <c r="I789" s="9"/>
      <c r="J789" s="9" t="s">
        <v>3062</v>
      </c>
      <c r="K789" s="9" t="s">
        <v>3062</v>
      </c>
    </row>
    <row r="790" customFormat="false" ht="15" hidden="false" customHeight="false" outlineLevel="0" collapsed="false">
      <c r="A790" s="9" t="n">
        <v>241</v>
      </c>
      <c r="B790" s="9" t="s">
        <v>1822</v>
      </c>
      <c r="C790" s="10" t="s">
        <v>1823</v>
      </c>
      <c r="D790" s="10" t="s">
        <v>24</v>
      </c>
      <c r="E790" s="9" t="s">
        <v>5127</v>
      </c>
      <c r="F790" s="10" t="s">
        <v>5128</v>
      </c>
      <c r="G790" s="9" t="s">
        <v>3242</v>
      </c>
      <c r="H790" s="10" t="s">
        <v>5129</v>
      </c>
      <c r="I790" s="9"/>
      <c r="J790" s="9" t="s">
        <v>3062</v>
      </c>
      <c r="K790" s="9" t="s">
        <v>3062</v>
      </c>
    </row>
    <row r="791" customFormat="false" ht="15" hidden="false" customHeight="false" outlineLevel="0" collapsed="false">
      <c r="A791" s="9" t="n">
        <v>242</v>
      </c>
      <c r="B791" s="9" t="s">
        <v>1825</v>
      </c>
      <c r="C791" s="10" t="s">
        <v>5212</v>
      </c>
      <c r="D791" s="10" t="s">
        <v>24</v>
      </c>
      <c r="E791" s="9" t="s">
        <v>5213</v>
      </c>
      <c r="F791" s="10" t="s">
        <v>5214</v>
      </c>
      <c r="G791" s="9" t="s">
        <v>3242</v>
      </c>
      <c r="H791" s="10" t="s">
        <v>5215</v>
      </c>
      <c r="I791" s="9"/>
      <c r="J791" s="9" t="s">
        <v>3062</v>
      </c>
      <c r="K791" s="9" t="s">
        <v>3062</v>
      </c>
    </row>
    <row r="792" customFormat="false" ht="15" hidden="false" customHeight="false" outlineLevel="0" collapsed="false">
      <c r="A792" s="9" t="n">
        <v>242</v>
      </c>
      <c r="B792" s="9" t="s">
        <v>1825</v>
      </c>
      <c r="C792" s="10" t="s">
        <v>5212</v>
      </c>
      <c r="D792" s="10" t="s">
        <v>24</v>
      </c>
      <c r="E792" s="9" t="s">
        <v>5216</v>
      </c>
      <c r="F792" s="10" t="s">
        <v>4345</v>
      </c>
      <c r="G792" s="9" t="s">
        <v>3242</v>
      </c>
      <c r="H792" s="10" t="s">
        <v>4346</v>
      </c>
      <c r="I792" s="9"/>
      <c r="J792" s="9" t="s">
        <v>3062</v>
      </c>
      <c r="K792" s="9" t="s">
        <v>3062</v>
      </c>
    </row>
    <row r="793" customFormat="false" ht="26.85" hidden="false" customHeight="false" outlineLevel="0" collapsed="false">
      <c r="A793" s="9" t="n">
        <v>242</v>
      </c>
      <c r="B793" s="9" t="s">
        <v>1825</v>
      </c>
      <c r="C793" s="10" t="s">
        <v>5212</v>
      </c>
      <c r="D793" s="10" t="s">
        <v>24</v>
      </c>
      <c r="E793" s="9" t="s">
        <v>5217</v>
      </c>
      <c r="F793" s="10" t="s">
        <v>5218</v>
      </c>
      <c r="G793" s="10" t="s">
        <v>3355</v>
      </c>
      <c r="H793" s="10" t="s">
        <v>5219</v>
      </c>
      <c r="I793" s="9"/>
      <c r="J793" s="10" t="s">
        <v>3247</v>
      </c>
      <c r="K793" s="10" t="s">
        <v>3247</v>
      </c>
    </row>
    <row r="794" customFormat="false" ht="15" hidden="false" customHeight="false" outlineLevel="0" collapsed="false">
      <c r="A794" s="9" t="n">
        <v>243</v>
      </c>
      <c r="B794" s="9" t="s">
        <v>1830</v>
      </c>
      <c r="C794" s="10" t="s">
        <v>1831</v>
      </c>
      <c r="D794" s="10" t="s">
        <v>25</v>
      </c>
      <c r="E794" s="9" t="s">
        <v>5110</v>
      </c>
      <c r="F794" s="10" t="s">
        <v>5111</v>
      </c>
      <c r="G794" s="9" t="s">
        <v>3242</v>
      </c>
      <c r="H794" s="10" t="s">
        <v>5112</v>
      </c>
      <c r="I794" s="9" t="s">
        <v>5220</v>
      </c>
      <c r="J794" s="9" t="s">
        <v>2232</v>
      </c>
      <c r="K794" s="9" t="s">
        <v>3284</v>
      </c>
    </row>
    <row r="795" customFormat="false" ht="15" hidden="false" customHeight="false" outlineLevel="0" collapsed="false">
      <c r="A795" s="9" t="n">
        <v>243</v>
      </c>
      <c r="B795" s="9" t="s">
        <v>1830</v>
      </c>
      <c r="C795" s="10" t="s">
        <v>1831</v>
      </c>
      <c r="D795" s="10" t="s">
        <v>25</v>
      </c>
      <c r="E795" s="9" t="s">
        <v>5113</v>
      </c>
      <c r="F795" s="10" t="s">
        <v>5114</v>
      </c>
      <c r="G795" s="9" t="s">
        <v>3242</v>
      </c>
      <c r="H795" s="10" t="s">
        <v>5115</v>
      </c>
      <c r="I795" s="9"/>
      <c r="J795" s="9" t="s">
        <v>3062</v>
      </c>
      <c r="K795" s="9" t="s">
        <v>3062</v>
      </c>
    </row>
    <row r="796" customFormat="false" ht="15" hidden="false" customHeight="false" outlineLevel="0" collapsed="false">
      <c r="A796" s="9" t="n">
        <v>243</v>
      </c>
      <c r="B796" s="9" t="s">
        <v>1830</v>
      </c>
      <c r="C796" s="10" t="s">
        <v>1831</v>
      </c>
      <c r="D796" s="10" t="s">
        <v>25</v>
      </c>
      <c r="E796" s="9" t="s">
        <v>5221</v>
      </c>
      <c r="F796" s="10" t="s">
        <v>5222</v>
      </c>
      <c r="G796" s="9" t="s">
        <v>3242</v>
      </c>
      <c r="H796" s="10" t="s">
        <v>5223</v>
      </c>
      <c r="I796" s="9"/>
      <c r="J796" s="10" t="s">
        <v>3247</v>
      </c>
      <c r="K796" s="10" t="s">
        <v>3247</v>
      </c>
    </row>
    <row r="797" customFormat="false" ht="26.85" hidden="false" customHeight="false" outlineLevel="0" collapsed="false">
      <c r="A797" s="9" t="n">
        <v>244</v>
      </c>
      <c r="B797" s="9" t="s">
        <v>1834</v>
      </c>
      <c r="C797" s="10" t="s">
        <v>5224</v>
      </c>
      <c r="D797" s="10" t="s">
        <v>24</v>
      </c>
      <c r="E797" s="9" t="s">
        <v>5225</v>
      </c>
      <c r="F797" s="10" t="s">
        <v>5226</v>
      </c>
      <c r="G797" s="9" t="s">
        <v>3242</v>
      </c>
      <c r="H797" s="10" t="s">
        <v>5227</v>
      </c>
      <c r="I797" s="9"/>
      <c r="J797" s="10" t="s">
        <v>3247</v>
      </c>
      <c r="K797" s="10" t="s">
        <v>3247</v>
      </c>
    </row>
    <row r="798" customFormat="false" ht="15" hidden="false" customHeight="false" outlineLevel="0" collapsed="false">
      <c r="A798" s="9" t="n">
        <v>244</v>
      </c>
      <c r="B798" s="9" t="s">
        <v>1834</v>
      </c>
      <c r="C798" s="10" t="s">
        <v>5224</v>
      </c>
      <c r="D798" s="10" t="s">
        <v>24</v>
      </c>
      <c r="E798" s="9" t="s">
        <v>5228</v>
      </c>
      <c r="F798" s="10" t="s">
        <v>5229</v>
      </c>
      <c r="G798" s="9" t="s">
        <v>3242</v>
      </c>
      <c r="H798" s="10" t="s">
        <v>5230</v>
      </c>
      <c r="I798" s="9"/>
      <c r="J798" s="10" t="s">
        <v>3247</v>
      </c>
      <c r="K798" s="10" t="s">
        <v>3247</v>
      </c>
    </row>
    <row r="799" customFormat="false" ht="15" hidden="false" customHeight="false" outlineLevel="0" collapsed="false">
      <c r="A799" s="9" t="n">
        <v>244</v>
      </c>
      <c r="B799" s="9" t="s">
        <v>1834</v>
      </c>
      <c r="C799" s="10" t="s">
        <v>5224</v>
      </c>
      <c r="D799" s="10" t="s">
        <v>24</v>
      </c>
      <c r="E799" s="9" t="s">
        <v>5231</v>
      </c>
      <c r="F799" s="10" t="s">
        <v>5232</v>
      </c>
      <c r="G799" s="9" t="s">
        <v>3242</v>
      </c>
      <c r="H799" s="10" t="s">
        <v>5233</v>
      </c>
      <c r="I799" s="9"/>
      <c r="J799" s="10" t="s">
        <v>3247</v>
      </c>
      <c r="K799" s="10" t="s">
        <v>3247</v>
      </c>
    </row>
    <row r="800" customFormat="false" ht="15" hidden="false" customHeight="false" outlineLevel="0" collapsed="false">
      <c r="A800" s="9" t="n">
        <v>244</v>
      </c>
      <c r="B800" s="9" t="s">
        <v>1834</v>
      </c>
      <c r="C800" s="10" t="s">
        <v>5224</v>
      </c>
      <c r="D800" s="10" t="s">
        <v>24</v>
      </c>
      <c r="E800" s="9" t="s">
        <v>5234</v>
      </c>
      <c r="F800" s="10" t="s">
        <v>5235</v>
      </c>
      <c r="G800" s="9" t="s">
        <v>3242</v>
      </c>
      <c r="H800" s="10" t="s">
        <v>5236</v>
      </c>
      <c r="I800" s="9"/>
      <c r="J800" s="10" t="s">
        <v>3247</v>
      </c>
      <c r="K800" s="10" t="s">
        <v>3247</v>
      </c>
    </row>
    <row r="801" customFormat="false" ht="15" hidden="false" customHeight="false" outlineLevel="0" collapsed="false">
      <c r="A801" s="9" t="n">
        <v>245</v>
      </c>
      <c r="B801" s="9" t="s">
        <v>1842</v>
      </c>
      <c r="C801" s="10" t="s">
        <v>5237</v>
      </c>
      <c r="D801" s="10" t="s">
        <v>24</v>
      </c>
      <c r="E801" s="9" t="s">
        <v>5238</v>
      </c>
      <c r="F801" s="10" t="s">
        <v>5239</v>
      </c>
      <c r="G801" s="9" t="s">
        <v>3242</v>
      </c>
      <c r="H801" s="10" t="s">
        <v>5240</v>
      </c>
      <c r="I801" s="9"/>
      <c r="J801" s="10" t="s">
        <v>3247</v>
      </c>
      <c r="K801" s="10" t="s">
        <v>3247</v>
      </c>
    </row>
    <row r="802" customFormat="false" ht="15" hidden="false" customHeight="false" outlineLevel="0" collapsed="false">
      <c r="A802" s="9" t="n">
        <v>245</v>
      </c>
      <c r="B802" s="9" t="s">
        <v>1842</v>
      </c>
      <c r="C802" s="10" t="s">
        <v>5237</v>
      </c>
      <c r="D802" s="10" t="s">
        <v>24</v>
      </c>
      <c r="E802" s="9" t="s">
        <v>5241</v>
      </c>
      <c r="F802" s="10" t="s">
        <v>5242</v>
      </c>
      <c r="G802" s="9" t="s">
        <v>3242</v>
      </c>
      <c r="H802" s="10" t="s">
        <v>5243</v>
      </c>
      <c r="I802" s="9"/>
      <c r="J802" s="10" t="s">
        <v>3247</v>
      </c>
      <c r="K802" s="10" t="s">
        <v>3247</v>
      </c>
    </row>
    <row r="803" customFormat="false" ht="26.85" hidden="false" customHeight="false" outlineLevel="0" collapsed="false">
      <c r="A803" s="9" t="n">
        <v>245</v>
      </c>
      <c r="B803" s="9" t="s">
        <v>1842</v>
      </c>
      <c r="C803" s="10" t="s">
        <v>5237</v>
      </c>
      <c r="D803" s="10" t="s">
        <v>24</v>
      </c>
      <c r="E803" s="9" t="s">
        <v>5244</v>
      </c>
      <c r="F803" s="10" t="s">
        <v>5245</v>
      </c>
      <c r="G803" s="9" t="s">
        <v>3242</v>
      </c>
      <c r="H803" s="10" t="s">
        <v>5246</v>
      </c>
      <c r="I803" s="9"/>
      <c r="J803" s="10" t="s">
        <v>3247</v>
      </c>
      <c r="K803" s="10" t="s">
        <v>3247</v>
      </c>
    </row>
    <row r="804" customFormat="false" ht="15" hidden="false" customHeight="false" outlineLevel="0" collapsed="false">
      <c r="A804" s="9" t="n">
        <v>245</v>
      </c>
      <c r="B804" s="9" t="s">
        <v>1842</v>
      </c>
      <c r="C804" s="10" t="s">
        <v>5237</v>
      </c>
      <c r="D804" s="10" t="s">
        <v>24</v>
      </c>
      <c r="E804" s="9" t="s">
        <v>5247</v>
      </c>
      <c r="F804" s="10" t="s">
        <v>5248</v>
      </c>
      <c r="G804" s="9" t="s">
        <v>3242</v>
      </c>
      <c r="H804" s="10" t="s">
        <v>5249</v>
      </c>
      <c r="I804" s="9"/>
      <c r="J804" s="10" t="s">
        <v>3247</v>
      </c>
      <c r="K804" s="10" t="s">
        <v>3247</v>
      </c>
    </row>
    <row r="805" customFormat="false" ht="15" hidden="false" customHeight="false" outlineLevel="0" collapsed="false">
      <c r="A805" s="9" t="n">
        <v>246</v>
      </c>
      <c r="B805" s="9" t="s">
        <v>1849</v>
      </c>
      <c r="C805" s="10" t="s">
        <v>5250</v>
      </c>
      <c r="D805" s="10" t="s">
        <v>27</v>
      </c>
      <c r="E805" s="9" t="s">
        <v>5251</v>
      </c>
      <c r="F805" s="10" t="s">
        <v>5252</v>
      </c>
      <c r="G805" s="9" t="s">
        <v>3242</v>
      </c>
      <c r="H805" s="10" t="s">
        <v>5253</v>
      </c>
      <c r="I805" s="9"/>
      <c r="J805" s="10" t="s">
        <v>3247</v>
      </c>
      <c r="K805" s="10" t="s">
        <v>3247</v>
      </c>
    </row>
    <row r="806" customFormat="false" ht="15" hidden="false" customHeight="false" outlineLevel="0" collapsed="false">
      <c r="A806" s="9" t="n">
        <v>246</v>
      </c>
      <c r="B806" s="9" t="s">
        <v>1849</v>
      </c>
      <c r="C806" s="10" t="s">
        <v>5250</v>
      </c>
      <c r="D806" s="10" t="s">
        <v>27</v>
      </c>
      <c r="E806" s="9" t="s">
        <v>5254</v>
      </c>
      <c r="F806" s="10" t="s">
        <v>5255</v>
      </c>
      <c r="G806" s="9" t="s">
        <v>3242</v>
      </c>
      <c r="H806" s="10" t="s">
        <v>5256</v>
      </c>
      <c r="I806" s="9"/>
      <c r="J806" s="10" t="s">
        <v>3247</v>
      </c>
      <c r="K806" s="10" t="s">
        <v>3247</v>
      </c>
    </row>
    <row r="807" customFormat="false" ht="15" hidden="false" customHeight="false" outlineLevel="0" collapsed="false">
      <c r="A807" s="9" t="n">
        <v>246</v>
      </c>
      <c r="B807" s="9" t="s">
        <v>1849</v>
      </c>
      <c r="C807" s="10" t="s">
        <v>5250</v>
      </c>
      <c r="D807" s="10" t="s">
        <v>27</v>
      </c>
      <c r="E807" s="9" t="s">
        <v>5257</v>
      </c>
      <c r="F807" s="10" t="s">
        <v>5258</v>
      </c>
      <c r="G807" s="9" t="s">
        <v>3242</v>
      </c>
      <c r="H807" s="10" t="s">
        <v>5259</v>
      </c>
      <c r="I807" s="9"/>
      <c r="J807" s="10" t="s">
        <v>3247</v>
      </c>
      <c r="K807" s="10" t="s">
        <v>3247</v>
      </c>
    </row>
    <row r="808" customFormat="false" ht="15" hidden="false" customHeight="false" outlineLevel="0" collapsed="false">
      <c r="A808" s="9" t="n">
        <v>247</v>
      </c>
      <c r="B808" s="9" t="s">
        <v>1854</v>
      </c>
      <c r="C808" s="10" t="s">
        <v>5260</v>
      </c>
      <c r="D808" s="10" t="s">
        <v>27</v>
      </c>
      <c r="E808" s="9" t="s">
        <v>5251</v>
      </c>
      <c r="F808" s="10" t="s">
        <v>5252</v>
      </c>
      <c r="G808" s="9" t="s">
        <v>3242</v>
      </c>
      <c r="H808" s="10" t="s">
        <v>5253</v>
      </c>
      <c r="I808" s="9"/>
      <c r="J808" s="10" t="s">
        <v>3247</v>
      </c>
      <c r="K808" s="10" t="s">
        <v>3247</v>
      </c>
    </row>
    <row r="809" customFormat="false" ht="15" hidden="false" customHeight="false" outlineLevel="0" collapsed="false">
      <c r="A809" s="9" t="n">
        <v>247</v>
      </c>
      <c r="B809" s="9" t="s">
        <v>1854</v>
      </c>
      <c r="C809" s="10" t="s">
        <v>5260</v>
      </c>
      <c r="D809" s="10" t="s">
        <v>27</v>
      </c>
      <c r="E809" s="9" t="s">
        <v>5261</v>
      </c>
      <c r="F809" s="10" t="s">
        <v>5262</v>
      </c>
      <c r="G809" s="9" t="s">
        <v>3242</v>
      </c>
      <c r="H809" s="10" t="s">
        <v>5263</v>
      </c>
      <c r="I809" s="9"/>
      <c r="J809" s="10" t="s">
        <v>3247</v>
      </c>
      <c r="K809" s="10" t="s">
        <v>3247</v>
      </c>
    </row>
    <row r="810" customFormat="false" ht="15" hidden="false" customHeight="false" outlineLevel="0" collapsed="false">
      <c r="A810" s="9" t="n">
        <v>247</v>
      </c>
      <c r="B810" s="9" t="s">
        <v>1854</v>
      </c>
      <c r="C810" s="10" t="s">
        <v>5260</v>
      </c>
      <c r="D810" s="10" t="s">
        <v>27</v>
      </c>
      <c r="E810" s="9" t="s">
        <v>5264</v>
      </c>
      <c r="F810" s="10" t="s">
        <v>5265</v>
      </c>
      <c r="G810" s="9" t="s">
        <v>3242</v>
      </c>
      <c r="H810" s="10" t="s">
        <v>5266</v>
      </c>
      <c r="I810" s="9"/>
      <c r="J810" s="10" t="s">
        <v>3247</v>
      </c>
      <c r="K810" s="10" t="s">
        <v>3247</v>
      </c>
    </row>
    <row r="811" customFormat="false" ht="15" hidden="false" customHeight="false" outlineLevel="0" collapsed="false">
      <c r="A811" s="9" t="n">
        <v>248</v>
      </c>
      <c r="B811" s="9" t="s">
        <v>1859</v>
      </c>
      <c r="C811" s="10" t="s">
        <v>1860</v>
      </c>
      <c r="D811" s="10" t="s">
        <v>24</v>
      </c>
      <c r="E811" s="9" t="s">
        <v>5267</v>
      </c>
      <c r="F811" s="10" t="s">
        <v>5268</v>
      </c>
      <c r="G811" s="9" t="s">
        <v>3242</v>
      </c>
      <c r="H811" s="10" t="s">
        <v>5269</v>
      </c>
      <c r="I811" s="9"/>
      <c r="J811" s="10" t="s">
        <v>3247</v>
      </c>
      <c r="K811" s="10" t="s">
        <v>3247</v>
      </c>
    </row>
    <row r="812" customFormat="false" ht="15" hidden="false" customHeight="false" outlineLevel="0" collapsed="false">
      <c r="A812" s="9" t="n">
        <v>249</v>
      </c>
      <c r="B812" s="9" t="s">
        <v>1863</v>
      </c>
      <c r="C812" s="10" t="s">
        <v>1864</v>
      </c>
      <c r="D812" s="10" t="s">
        <v>24</v>
      </c>
      <c r="E812" s="9" t="s">
        <v>5270</v>
      </c>
      <c r="F812" s="10" t="s">
        <v>5271</v>
      </c>
      <c r="G812" s="9" t="s">
        <v>3242</v>
      </c>
      <c r="H812" s="10" t="s">
        <v>5272</v>
      </c>
      <c r="I812" s="9"/>
      <c r="J812" s="10" t="s">
        <v>3247</v>
      </c>
      <c r="K812" s="10" t="s">
        <v>3247</v>
      </c>
    </row>
    <row r="813" customFormat="false" ht="15" hidden="false" customHeight="false" outlineLevel="0" collapsed="false">
      <c r="A813" s="9" t="n">
        <v>249</v>
      </c>
      <c r="B813" s="9" t="s">
        <v>1863</v>
      </c>
      <c r="C813" s="10" t="s">
        <v>1864</v>
      </c>
      <c r="D813" s="10" t="s">
        <v>24</v>
      </c>
      <c r="E813" s="9" t="s">
        <v>5221</v>
      </c>
      <c r="F813" s="10" t="s">
        <v>5222</v>
      </c>
      <c r="G813" s="9" t="s">
        <v>3242</v>
      </c>
      <c r="H813" s="10" t="s">
        <v>5223</v>
      </c>
      <c r="I813" s="9"/>
      <c r="J813" s="10" t="s">
        <v>3247</v>
      </c>
      <c r="K813" s="10" t="s">
        <v>3247</v>
      </c>
    </row>
    <row r="814" customFormat="false" ht="23.85" hidden="false" customHeight="false" outlineLevel="0" collapsed="false">
      <c r="A814" s="9" t="n">
        <v>249</v>
      </c>
      <c r="B814" s="9" t="s">
        <v>1863</v>
      </c>
      <c r="C814" s="10" t="s">
        <v>1864</v>
      </c>
      <c r="D814" s="10" t="s">
        <v>24</v>
      </c>
      <c r="E814" s="9" t="s">
        <v>5273</v>
      </c>
      <c r="F814" s="10" t="s">
        <v>5274</v>
      </c>
      <c r="G814" s="9" t="s">
        <v>3242</v>
      </c>
      <c r="H814" s="10" t="s">
        <v>5275</v>
      </c>
      <c r="I814" s="9"/>
      <c r="J814" s="10" t="s">
        <v>3247</v>
      </c>
      <c r="K814" s="10" t="s">
        <v>3247</v>
      </c>
    </row>
    <row r="815" customFormat="false" ht="15" hidden="false" customHeight="false" outlineLevel="0" collapsed="false">
      <c r="A815" s="9" t="n">
        <v>249</v>
      </c>
      <c r="B815" s="9" t="s">
        <v>1863</v>
      </c>
      <c r="C815" s="10" t="s">
        <v>1864</v>
      </c>
      <c r="D815" s="10" t="s">
        <v>24</v>
      </c>
      <c r="E815" s="9" t="s">
        <v>5276</v>
      </c>
      <c r="F815" s="10" t="s">
        <v>5277</v>
      </c>
      <c r="G815" s="9" t="s">
        <v>3242</v>
      </c>
      <c r="H815" s="10" t="s">
        <v>5278</v>
      </c>
      <c r="I815" s="9"/>
      <c r="J815" s="10" t="s">
        <v>3247</v>
      </c>
      <c r="K815" s="10" t="s">
        <v>3247</v>
      </c>
    </row>
    <row r="816" customFormat="false" ht="15" hidden="false" customHeight="false" outlineLevel="0" collapsed="false">
      <c r="A816" s="9" t="n">
        <v>250</v>
      </c>
      <c r="B816" s="9" t="s">
        <v>1867</v>
      </c>
      <c r="C816" s="10" t="s">
        <v>1868</v>
      </c>
      <c r="D816" s="10" t="s">
        <v>24</v>
      </c>
      <c r="E816" s="9" t="s">
        <v>5279</v>
      </c>
      <c r="F816" s="10" t="s">
        <v>5280</v>
      </c>
      <c r="G816" s="9" t="s">
        <v>3242</v>
      </c>
      <c r="H816" s="10" t="s">
        <v>5281</v>
      </c>
      <c r="I816" s="9"/>
      <c r="J816" s="10" t="s">
        <v>3247</v>
      </c>
      <c r="K816" s="10" t="s">
        <v>3247</v>
      </c>
    </row>
    <row r="817" customFormat="false" ht="23.85" hidden="false" customHeight="false" outlineLevel="0" collapsed="false">
      <c r="A817" s="9" t="n">
        <v>250</v>
      </c>
      <c r="B817" s="9" t="s">
        <v>1867</v>
      </c>
      <c r="C817" s="10" t="s">
        <v>1868</v>
      </c>
      <c r="D817" s="10" t="s">
        <v>24</v>
      </c>
      <c r="E817" s="9" t="s">
        <v>5282</v>
      </c>
      <c r="F817" s="10" t="s">
        <v>5283</v>
      </c>
      <c r="G817" s="9" t="s">
        <v>3242</v>
      </c>
      <c r="H817" s="10" t="s">
        <v>5284</v>
      </c>
      <c r="I817" s="9"/>
      <c r="J817" s="10" t="s">
        <v>3247</v>
      </c>
      <c r="K817" s="10" t="s">
        <v>3247</v>
      </c>
    </row>
    <row r="818" customFormat="false" ht="15" hidden="false" customHeight="false" outlineLevel="0" collapsed="false">
      <c r="A818" s="9" t="n">
        <v>250</v>
      </c>
      <c r="B818" s="9" t="s">
        <v>1867</v>
      </c>
      <c r="C818" s="10" t="s">
        <v>1868</v>
      </c>
      <c r="D818" s="10" t="s">
        <v>24</v>
      </c>
      <c r="E818" s="9" t="s">
        <v>5285</v>
      </c>
      <c r="F818" s="10" t="s">
        <v>5286</v>
      </c>
      <c r="G818" s="9" t="s">
        <v>3242</v>
      </c>
      <c r="H818" s="10" t="s">
        <v>5287</v>
      </c>
      <c r="I818" s="9"/>
      <c r="J818" s="10" t="s">
        <v>3247</v>
      </c>
      <c r="K818" s="10" t="s">
        <v>3247</v>
      </c>
    </row>
    <row r="819" customFormat="false" ht="15" hidden="false" customHeight="false" outlineLevel="0" collapsed="false">
      <c r="A819" s="9" t="n">
        <v>251</v>
      </c>
      <c r="B819" s="9" t="s">
        <v>1871</v>
      </c>
      <c r="C819" s="10" t="s">
        <v>1872</v>
      </c>
      <c r="D819" s="10" t="s">
        <v>25</v>
      </c>
      <c r="E819" s="9" t="s">
        <v>5288</v>
      </c>
      <c r="F819" s="10" t="s">
        <v>5222</v>
      </c>
      <c r="G819" s="9" t="s">
        <v>3242</v>
      </c>
      <c r="H819" s="10" t="s">
        <v>5223</v>
      </c>
      <c r="I819" s="9"/>
      <c r="J819" s="10" t="s">
        <v>3247</v>
      </c>
      <c r="K819" s="10" t="s">
        <v>3247</v>
      </c>
    </row>
    <row r="820" customFormat="false" ht="15" hidden="false" customHeight="false" outlineLevel="0" collapsed="false">
      <c r="A820" s="9" t="n">
        <v>251</v>
      </c>
      <c r="B820" s="9" t="s">
        <v>1871</v>
      </c>
      <c r="C820" s="10" t="s">
        <v>1872</v>
      </c>
      <c r="D820" s="10" t="s">
        <v>25</v>
      </c>
      <c r="E820" s="9" t="s">
        <v>5289</v>
      </c>
      <c r="F820" s="10" t="s">
        <v>5290</v>
      </c>
      <c r="G820" s="9" t="s">
        <v>3242</v>
      </c>
      <c r="H820" s="10" t="s">
        <v>5291</v>
      </c>
      <c r="I820" s="9"/>
      <c r="J820" s="10" t="s">
        <v>3247</v>
      </c>
      <c r="K820" s="10" t="s">
        <v>3247</v>
      </c>
    </row>
    <row r="821" customFormat="false" ht="15" hidden="false" customHeight="false" outlineLevel="0" collapsed="false">
      <c r="A821" s="9" t="n">
        <v>251</v>
      </c>
      <c r="B821" s="9" t="s">
        <v>1871</v>
      </c>
      <c r="C821" s="10" t="s">
        <v>1872</v>
      </c>
      <c r="D821" s="10" t="s">
        <v>25</v>
      </c>
      <c r="E821" s="9" t="s">
        <v>5292</v>
      </c>
      <c r="F821" s="10" t="s">
        <v>5293</v>
      </c>
      <c r="G821" s="9" t="s">
        <v>3242</v>
      </c>
      <c r="H821" s="10" t="s">
        <v>5294</v>
      </c>
      <c r="I821" s="9"/>
      <c r="J821" s="10" t="s">
        <v>3247</v>
      </c>
      <c r="K821" s="10" t="s">
        <v>3247</v>
      </c>
    </row>
    <row r="822" customFormat="false" ht="15" hidden="false" customHeight="false" outlineLevel="0" collapsed="false">
      <c r="A822" s="9" t="n">
        <v>252</v>
      </c>
      <c r="B822" s="9" t="s">
        <v>1875</v>
      </c>
      <c r="C822" s="10" t="s">
        <v>5295</v>
      </c>
      <c r="D822" s="10" t="s">
        <v>27</v>
      </c>
      <c r="E822" s="9" t="s">
        <v>5296</v>
      </c>
      <c r="F822" s="10" t="s">
        <v>5297</v>
      </c>
      <c r="G822" s="9" t="s">
        <v>3242</v>
      </c>
      <c r="H822" s="10" t="s">
        <v>5298</v>
      </c>
      <c r="I822" s="9"/>
      <c r="J822" s="10" t="s">
        <v>3247</v>
      </c>
      <c r="K822" s="10" t="s">
        <v>3247</v>
      </c>
    </row>
    <row r="823" customFormat="false" ht="15" hidden="false" customHeight="false" outlineLevel="0" collapsed="false">
      <c r="A823" s="9" t="n">
        <v>252</v>
      </c>
      <c r="B823" s="9" t="s">
        <v>1875</v>
      </c>
      <c r="C823" s="10" t="s">
        <v>5295</v>
      </c>
      <c r="D823" s="10" t="s">
        <v>27</v>
      </c>
      <c r="E823" s="9" t="s">
        <v>5299</v>
      </c>
      <c r="F823" s="10" t="s">
        <v>5300</v>
      </c>
      <c r="G823" s="9" t="s">
        <v>3330</v>
      </c>
      <c r="H823" s="10" t="s">
        <v>5301</v>
      </c>
      <c r="I823" s="9"/>
      <c r="J823" s="10" t="s">
        <v>3247</v>
      </c>
      <c r="K823" s="10" t="s">
        <v>3247</v>
      </c>
    </row>
    <row r="824" customFormat="false" ht="15" hidden="false" customHeight="false" outlineLevel="0" collapsed="false">
      <c r="A824" s="9" t="n">
        <v>252</v>
      </c>
      <c r="B824" s="9" t="s">
        <v>1875</v>
      </c>
      <c r="C824" s="10" t="s">
        <v>5295</v>
      </c>
      <c r="D824" s="10" t="s">
        <v>27</v>
      </c>
      <c r="E824" s="9" t="s">
        <v>5302</v>
      </c>
      <c r="F824" s="10" t="s">
        <v>5303</v>
      </c>
      <c r="G824" s="9" t="s">
        <v>3242</v>
      </c>
      <c r="H824" s="10" t="s">
        <v>5304</v>
      </c>
      <c r="I824" s="9"/>
      <c r="J824" s="10" t="s">
        <v>3247</v>
      </c>
      <c r="K824" s="10" t="s">
        <v>3247</v>
      </c>
    </row>
    <row r="825" customFormat="false" ht="15" hidden="false" customHeight="false" outlineLevel="0" collapsed="false">
      <c r="A825" s="9" t="n">
        <v>252</v>
      </c>
      <c r="B825" s="9" t="s">
        <v>1875</v>
      </c>
      <c r="C825" s="10" t="s">
        <v>5295</v>
      </c>
      <c r="D825" s="10" t="s">
        <v>27</v>
      </c>
      <c r="E825" s="9" t="s">
        <v>5305</v>
      </c>
      <c r="F825" s="10" t="s">
        <v>5306</v>
      </c>
      <c r="G825" s="9" t="s">
        <v>3242</v>
      </c>
      <c r="H825" s="10" t="s">
        <v>5307</v>
      </c>
      <c r="I825" s="9"/>
      <c r="J825" s="9" t="s">
        <v>2232</v>
      </c>
      <c r="K825" s="9" t="s">
        <v>3284</v>
      </c>
    </row>
    <row r="826" customFormat="false" ht="15" hidden="false" customHeight="false" outlineLevel="0" collapsed="false">
      <c r="A826" s="9" t="n">
        <v>253</v>
      </c>
      <c r="B826" s="9" t="s">
        <v>1881</v>
      </c>
      <c r="C826" s="10" t="s">
        <v>1882</v>
      </c>
      <c r="D826" s="10" t="s">
        <v>27</v>
      </c>
      <c r="E826" s="9" t="s">
        <v>5308</v>
      </c>
      <c r="F826" s="10" t="s">
        <v>5309</v>
      </c>
      <c r="G826" s="9" t="s">
        <v>3242</v>
      </c>
      <c r="H826" s="10" t="s">
        <v>5310</v>
      </c>
      <c r="I826" s="9"/>
      <c r="J826" s="10" t="s">
        <v>3247</v>
      </c>
      <c r="K826" s="10" t="s">
        <v>3247</v>
      </c>
    </row>
    <row r="827" customFormat="false" ht="15" hidden="false" customHeight="false" outlineLevel="0" collapsed="false">
      <c r="A827" s="9" t="n">
        <v>253</v>
      </c>
      <c r="B827" s="9" t="s">
        <v>1881</v>
      </c>
      <c r="C827" s="10" t="s">
        <v>1882</v>
      </c>
      <c r="D827" s="10" t="s">
        <v>27</v>
      </c>
      <c r="E827" s="9" t="s">
        <v>5311</v>
      </c>
      <c r="F827" s="10" t="s">
        <v>5312</v>
      </c>
      <c r="G827" s="9" t="s">
        <v>3242</v>
      </c>
      <c r="H827" s="10" t="s">
        <v>5313</v>
      </c>
      <c r="I827" s="9"/>
      <c r="J827" s="10" t="s">
        <v>3247</v>
      </c>
      <c r="K827" s="10" t="s">
        <v>3247</v>
      </c>
    </row>
    <row r="828" customFormat="false" ht="15" hidden="false" customHeight="false" outlineLevel="0" collapsed="false">
      <c r="A828" s="9" t="n">
        <v>253</v>
      </c>
      <c r="B828" s="9" t="s">
        <v>1881</v>
      </c>
      <c r="C828" s="10" t="s">
        <v>1882</v>
      </c>
      <c r="D828" s="10" t="s">
        <v>27</v>
      </c>
      <c r="E828" s="9" t="s">
        <v>5314</v>
      </c>
      <c r="F828" s="10" t="s">
        <v>5315</v>
      </c>
      <c r="G828" s="9" t="s">
        <v>3242</v>
      </c>
      <c r="H828" s="10" t="s">
        <v>5316</v>
      </c>
      <c r="I828" s="9"/>
      <c r="J828" s="10" t="s">
        <v>3247</v>
      </c>
      <c r="K828" s="10" t="s">
        <v>3247</v>
      </c>
    </row>
    <row r="829" customFormat="false" ht="15" hidden="false" customHeight="false" outlineLevel="0" collapsed="false">
      <c r="A829" s="9" t="n">
        <v>253</v>
      </c>
      <c r="B829" s="9" t="s">
        <v>1881</v>
      </c>
      <c r="C829" s="10" t="s">
        <v>1882</v>
      </c>
      <c r="D829" s="10" t="s">
        <v>27</v>
      </c>
      <c r="E829" s="9" t="s">
        <v>3286</v>
      </c>
      <c r="F829" s="10" t="s">
        <v>3287</v>
      </c>
      <c r="G829" s="9" t="s">
        <v>3242</v>
      </c>
      <c r="H829" s="10" t="s">
        <v>3288</v>
      </c>
      <c r="I829" s="9"/>
      <c r="J829" s="10" t="s">
        <v>3247</v>
      </c>
      <c r="K829" s="10" t="s">
        <v>3247</v>
      </c>
    </row>
    <row r="830" customFormat="false" ht="23.85" hidden="false" customHeight="false" outlineLevel="0" collapsed="false">
      <c r="A830" s="9" t="n">
        <v>254</v>
      </c>
      <c r="B830" s="9" t="s">
        <v>1886</v>
      </c>
      <c r="C830" s="10" t="s">
        <v>1887</v>
      </c>
      <c r="D830" s="10" t="s">
        <v>27</v>
      </c>
      <c r="E830" s="9" t="s">
        <v>5317</v>
      </c>
      <c r="F830" s="10" t="s">
        <v>5318</v>
      </c>
      <c r="G830" s="9" t="s">
        <v>3242</v>
      </c>
      <c r="H830" s="10" t="s">
        <v>5319</v>
      </c>
      <c r="I830" s="9"/>
      <c r="J830" s="10" t="s">
        <v>3247</v>
      </c>
      <c r="K830" s="10" t="s">
        <v>3247</v>
      </c>
    </row>
    <row r="831" customFormat="false" ht="15" hidden="false" customHeight="false" outlineLevel="0" collapsed="false">
      <c r="A831" s="9" t="n">
        <v>254</v>
      </c>
      <c r="B831" s="9" t="s">
        <v>1886</v>
      </c>
      <c r="C831" s="10" t="s">
        <v>1887</v>
      </c>
      <c r="D831" s="10" t="s">
        <v>27</v>
      </c>
      <c r="E831" s="9" t="s">
        <v>5320</v>
      </c>
      <c r="F831" s="10" t="s">
        <v>5321</v>
      </c>
      <c r="G831" s="9" t="s">
        <v>3242</v>
      </c>
      <c r="H831" s="10" t="s">
        <v>5322</v>
      </c>
      <c r="I831" s="9"/>
      <c r="J831" s="10" t="s">
        <v>3247</v>
      </c>
      <c r="K831" s="10" t="s">
        <v>3247</v>
      </c>
    </row>
    <row r="832" customFormat="false" ht="15" hidden="false" customHeight="false" outlineLevel="0" collapsed="false">
      <c r="A832" s="9" t="n">
        <v>254</v>
      </c>
      <c r="B832" s="9" t="s">
        <v>1886</v>
      </c>
      <c r="C832" s="10" t="s">
        <v>1887</v>
      </c>
      <c r="D832" s="10" t="s">
        <v>27</v>
      </c>
      <c r="E832" s="9" t="s">
        <v>5323</v>
      </c>
      <c r="F832" s="10" t="s">
        <v>5324</v>
      </c>
      <c r="G832" s="9" t="s">
        <v>3242</v>
      </c>
      <c r="H832" s="10" t="s">
        <v>5325</v>
      </c>
      <c r="I832" s="9"/>
      <c r="J832" s="10" t="s">
        <v>3247</v>
      </c>
      <c r="K832" s="10" t="s">
        <v>3247</v>
      </c>
    </row>
    <row r="833" customFormat="false" ht="23.85" hidden="false" customHeight="false" outlineLevel="0" collapsed="false">
      <c r="A833" s="9" t="n">
        <v>254</v>
      </c>
      <c r="B833" s="9" t="s">
        <v>1886</v>
      </c>
      <c r="C833" s="10" t="s">
        <v>1887</v>
      </c>
      <c r="D833" s="10" t="s">
        <v>27</v>
      </c>
      <c r="E833" s="9" t="s">
        <v>5326</v>
      </c>
      <c r="F833" s="10" t="s">
        <v>5327</v>
      </c>
      <c r="G833" s="9" t="s">
        <v>3242</v>
      </c>
      <c r="H833" s="10" t="s">
        <v>5328</v>
      </c>
      <c r="I833" s="9"/>
      <c r="J833" s="10" t="s">
        <v>3247</v>
      </c>
      <c r="K833" s="10" t="s">
        <v>3247</v>
      </c>
    </row>
    <row r="834" customFormat="false" ht="15" hidden="false" customHeight="false" outlineLevel="0" collapsed="false">
      <c r="A834" s="9" t="n">
        <v>255</v>
      </c>
      <c r="B834" s="9" t="s">
        <v>1890</v>
      </c>
      <c r="C834" s="10" t="s">
        <v>1891</v>
      </c>
      <c r="D834" s="10" t="s">
        <v>30</v>
      </c>
      <c r="E834" s="9" t="s">
        <v>3438</v>
      </c>
      <c r="F834" s="10" t="s">
        <v>3439</v>
      </c>
      <c r="G834" s="9" t="s">
        <v>3330</v>
      </c>
      <c r="H834" s="10" t="s">
        <v>3440</v>
      </c>
      <c r="I834" s="9" t="s">
        <v>5329</v>
      </c>
      <c r="J834" s="10" t="s">
        <v>3247</v>
      </c>
      <c r="K834" s="10" t="s">
        <v>3247</v>
      </c>
    </row>
    <row r="835" customFormat="false" ht="15" hidden="false" customHeight="false" outlineLevel="0" collapsed="false">
      <c r="A835" s="9" t="n">
        <v>255</v>
      </c>
      <c r="B835" s="9" t="s">
        <v>1890</v>
      </c>
      <c r="C835" s="10" t="s">
        <v>1891</v>
      </c>
      <c r="D835" s="10" t="s">
        <v>30</v>
      </c>
      <c r="E835" s="9" t="s">
        <v>5330</v>
      </c>
      <c r="F835" s="10" t="s">
        <v>3436</v>
      </c>
      <c r="G835" s="9" t="s">
        <v>3330</v>
      </c>
      <c r="H835" s="10" t="s">
        <v>3437</v>
      </c>
      <c r="I835" s="9" t="s">
        <v>5329</v>
      </c>
      <c r="J835" s="10" t="s">
        <v>3247</v>
      </c>
      <c r="K835" s="10" t="s">
        <v>3247</v>
      </c>
    </row>
    <row r="836" customFormat="false" ht="15" hidden="false" customHeight="false" outlineLevel="0" collapsed="false">
      <c r="A836" s="9" t="n">
        <v>255</v>
      </c>
      <c r="B836" s="9" t="s">
        <v>1890</v>
      </c>
      <c r="C836" s="10" t="s">
        <v>1891</v>
      </c>
      <c r="D836" s="10" t="s">
        <v>30</v>
      </c>
      <c r="E836" s="9" t="s">
        <v>5331</v>
      </c>
      <c r="F836" s="10" t="s">
        <v>5332</v>
      </c>
      <c r="G836" s="9" t="s">
        <v>3330</v>
      </c>
      <c r="H836" s="10" t="s">
        <v>5333</v>
      </c>
      <c r="I836" s="9" t="s">
        <v>5329</v>
      </c>
      <c r="J836" s="10" t="s">
        <v>3247</v>
      </c>
      <c r="K836" s="10" t="s">
        <v>3247</v>
      </c>
    </row>
    <row r="837" customFormat="false" ht="26.85" hidden="false" customHeight="false" outlineLevel="0" collapsed="false">
      <c r="A837" s="9" t="n">
        <v>256</v>
      </c>
      <c r="B837" s="9" t="s">
        <v>1895</v>
      </c>
      <c r="C837" s="10" t="s">
        <v>1896</v>
      </c>
      <c r="D837" s="10" t="s">
        <v>28</v>
      </c>
      <c r="E837" s="9" t="s">
        <v>5334</v>
      </c>
      <c r="F837" s="10" t="s">
        <v>5335</v>
      </c>
      <c r="G837" s="9" t="s">
        <v>3330</v>
      </c>
      <c r="H837" s="10" t="s">
        <v>5336</v>
      </c>
      <c r="I837" s="9" t="s">
        <v>5329</v>
      </c>
      <c r="J837" s="10" t="s">
        <v>3247</v>
      </c>
      <c r="K837" s="10" t="s">
        <v>3247</v>
      </c>
    </row>
    <row r="838" customFormat="false" ht="26.85" hidden="false" customHeight="false" outlineLevel="0" collapsed="false">
      <c r="A838" s="9" t="n">
        <v>256</v>
      </c>
      <c r="B838" s="9" t="s">
        <v>1895</v>
      </c>
      <c r="C838" s="10" t="s">
        <v>1896</v>
      </c>
      <c r="D838" s="10" t="s">
        <v>28</v>
      </c>
      <c r="E838" s="9" t="s">
        <v>4627</v>
      </c>
      <c r="F838" s="10" t="s">
        <v>4628</v>
      </c>
      <c r="G838" s="9" t="s">
        <v>3330</v>
      </c>
      <c r="H838" s="10" t="s">
        <v>4629</v>
      </c>
      <c r="I838" s="9" t="s">
        <v>5329</v>
      </c>
      <c r="J838" s="10" t="s">
        <v>3247</v>
      </c>
      <c r="K838" s="10" t="s">
        <v>3247</v>
      </c>
    </row>
    <row r="839" customFormat="false" ht="26.85" hidden="false" customHeight="false" outlineLevel="0" collapsed="false">
      <c r="A839" s="9" t="n">
        <v>256</v>
      </c>
      <c r="B839" s="9" t="s">
        <v>1895</v>
      </c>
      <c r="C839" s="10" t="s">
        <v>1896</v>
      </c>
      <c r="D839" s="10" t="s">
        <v>28</v>
      </c>
      <c r="E839" s="9" t="s">
        <v>4633</v>
      </c>
      <c r="F839" s="10" t="s">
        <v>4634</v>
      </c>
      <c r="G839" s="9" t="s">
        <v>3330</v>
      </c>
      <c r="H839" s="10" t="s">
        <v>4635</v>
      </c>
      <c r="I839" s="9" t="s">
        <v>5329</v>
      </c>
      <c r="J839" s="10" t="s">
        <v>3247</v>
      </c>
      <c r="K839" s="10" t="s">
        <v>3247</v>
      </c>
    </row>
    <row r="840" customFormat="false" ht="26.85" hidden="false" customHeight="false" outlineLevel="0" collapsed="false">
      <c r="A840" s="9" t="n">
        <v>257</v>
      </c>
      <c r="B840" s="9" t="s">
        <v>1899</v>
      </c>
      <c r="C840" s="10" t="s">
        <v>1900</v>
      </c>
      <c r="D840" s="10" t="s">
        <v>28</v>
      </c>
      <c r="E840" s="9" t="s">
        <v>5299</v>
      </c>
      <c r="F840" s="10" t="s">
        <v>5300</v>
      </c>
      <c r="G840" s="9" t="s">
        <v>3330</v>
      </c>
      <c r="H840" s="10" t="s">
        <v>5301</v>
      </c>
      <c r="I840" s="9" t="s">
        <v>5329</v>
      </c>
      <c r="J840" s="10" t="s">
        <v>3247</v>
      </c>
      <c r="K840" s="10" t="s">
        <v>3247</v>
      </c>
    </row>
    <row r="841" customFormat="false" ht="26.85" hidden="false" customHeight="false" outlineLevel="0" collapsed="false">
      <c r="A841" s="9" t="n">
        <v>257</v>
      </c>
      <c r="B841" s="9" t="s">
        <v>1899</v>
      </c>
      <c r="C841" s="10" t="s">
        <v>1900</v>
      </c>
      <c r="D841" s="10" t="s">
        <v>28</v>
      </c>
      <c r="E841" s="9" t="s">
        <v>5337</v>
      </c>
      <c r="F841" s="10" t="s">
        <v>4438</v>
      </c>
      <c r="G841" s="9" t="s">
        <v>3330</v>
      </c>
      <c r="H841" s="10" t="s">
        <v>4439</v>
      </c>
      <c r="I841" s="9" t="s">
        <v>5329</v>
      </c>
      <c r="J841" s="10" t="s">
        <v>3247</v>
      </c>
      <c r="K841" s="10" t="s">
        <v>3247</v>
      </c>
    </row>
    <row r="842" customFormat="false" ht="26.85" hidden="false" customHeight="false" outlineLevel="0" collapsed="false">
      <c r="A842" s="9" t="n">
        <v>257</v>
      </c>
      <c r="B842" s="9" t="s">
        <v>1899</v>
      </c>
      <c r="C842" s="10" t="s">
        <v>1900</v>
      </c>
      <c r="D842" s="10" t="s">
        <v>28</v>
      </c>
      <c r="E842" s="9" t="s">
        <v>5338</v>
      </c>
      <c r="F842" s="10" t="s">
        <v>5339</v>
      </c>
      <c r="G842" s="9" t="s">
        <v>3330</v>
      </c>
      <c r="H842" s="10" t="s">
        <v>5340</v>
      </c>
      <c r="I842" s="9" t="s">
        <v>5329</v>
      </c>
      <c r="J842" s="10" t="s">
        <v>3247</v>
      </c>
      <c r="K842" s="10" t="s">
        <v>3247</v>
      </c>
    </row>
    <row r="843" customFormat="false" ht="26.85" hidden="false" customHeight="false" outlineLevel="0" collapsed="false">
      <c r="A843" s="9" t="n">
        <v>258</v>
      </c>
      <c r="B843" s="9" t="s">
        <v>1903</v>
      </c>
      <c r="C843" s="10" t="s">
        <v>1904</v>
      </c>
      <c r="D843" s="10" t="s">
        <v>27</v>
      </c>
      <c r="E843" s="9" t="s">
        <v>5341</v>
      </c>
      <c r="F843" s="10" t="s">
        <v>5342</v>
      </c>
      <c r="G843" s="9" t="s">
        <v>3330</v>
      </c>
      <c r="H843" s="10" t="s">
        <v>5343</v>
      </c>
      <c r="I843" s="9" t="s">
        <v>5329</v>
      </c>
      <c r="J843" s="10" t="s">
        <v>3247</v>
      </c>
      <c r="K843" s="10" t="s">
        <v>3247</v>
      </c>
    </row>
    <row r="844" customFormat="false" ht="26.85" hidden="false" customHeight="false" outlineLevel="0" collapsed="false">
      <c r="A844" s="9" t="n">
        <v>258</v>
      </c>
      <c r="B844" s="9" t="s">
        <v>1903</v>
      </c>
      <c r="C844" s="10" t="s">
        <v>1904</v>
      </c>
      <c r="D844" s="10" t="s">
        <v>27</v>
      </c>
      <c r="E844" s="9" t="s">
        <v>5344</v>
      </c>
      <c r="F844" s="10" t="s">
        <v>5345</v>
      </c>
      <c r="G844" s="9" t="s">
        <v>3330</v>
      </c>
      <c r="H844" s="10" t="s">
        <v>5346</v>
      </c>
      <c r="I844" s="9" t="s">
        <v>5329</v>
      </c>
      <c r="J844" s="10" t="s">
        <v>3247</v>
      </c>
      <c r="K844" s="10" t="s">
        <v>3247</v>
      </c>
    </row>
    <row r="845" customFormat="false" ht="26.85" hidden="false" customHeight="false" outlineLevel="0" collapsed="false">
      <c r="A845" s="9" t="n">
        <v>258</v>
      </c>
      <c r="B845" s="9" t="s">
        <v>1903</v>
      </c>
      <c r="C845" s="10" t="s">
        <v>1904</v>
      </c>
      <c r="D845" s="10" t="s">
        <v>27</v>
      </c>
      <c r="E845" s="9" t="s">
        <v>5347</v>
      </c>
      <c r="F845" s="10" t="s">
        <v>5348</v>
      </c>
      <c r="G845" s="9" t="s">
        <v>3330</v>
      </c>
      <c r="H845" s="10" t="s">
        <v>5349</v>
      </c>
      <c r="I845" s="9" t="s">
        <v>5329</v>
      </c>
      <c r="J845" s="10" t="s">
        <v>3247</v>
      </c>
      <c r="K845" s="10" t="s">
        <v>3247</v>
      </c>
    </row>
    <row r="846" customFormat="false" ht="26.85" hidden="false" customHeight="false" outlineLevel="0" collapsed="false">
      <c r="A846" s="9" t="n">
        <v>259</v>
      </c>
      <c r="B846" s="9" t="s">
        <v>1907</v>
      </c>
      <c r="C846" s="10" t="s">
        <v>5350</v>
      </c>
      <c r="D846" s="10" t="s">
        <v>4623</v>
      </c>
      <c r="E846" s="9" t="s">
        <v>5351</v>
      </c>
      <c r="F846" s="10" t="s">
        <v>4714</v>
      </c>
      <c r="G846" s="9" t="s">
        <v>3330</v>
      </c>
      <c r="H846" s="10" t="s">
        <v>4715</v>
      </c>
      <c r="I846" s="9" t="s">
        <v>5352</v>
      </c>
      <c r="J846" s="10" t="s">
        <v>3247</v>
      </c>
      <c r="K846" s="10" t="s">
        <v>3247</v>
      </c>
    </row>
    <row r="847" customFormat="false" ht="26.85" hidden="false" customHeight="false" outlineLevel="0" collapsed="false">
      <c r="A847" s="9" t="n">
        <v>259</v>
      </c>
      <c r="B847" s="9" t="s">
        <v>1907</v>
      </c>
      <c r="C847" s="10" t="s">
        <v>5350</v>
      </c>
      <c r="D847" s="10" t="s">
        <v>4623</v>
      </c>
      <c r="E847" s="9" t="s">
        <v>4633</v>
      </c>
      <c r="F847" s="10" t="s">
        <v>4634</v>
      </c>
      <c r="G847" s="9" t="s">
        <v>3330</v>
      </c>
      <c r="H847" s="10" t="s">
        <v>4635</v>
      </c>
      <c r="I847" s="9" t="s">
        <v>5353</v>
      </c>
      <c r="J847" s="10" t="s">
        <v>3247</v>
      </c>
      <c r="K847" s="10" t="s">
        <v>3247</v>
      </c>
    </row>
    <row r="848" customFormat="false" ht="26.85" hidden="false" customHeight="false" outlineLevel="0" collapsed="false">
      <c r="A848" s="9" t="n">
        <v>259</v>
      </c>
      <c r="B848" s="9" t="s">
        <v>1907</v>
      </c>
      <c r="C848" s="10" t="s">
        <v>5350</v>
      </c>
      <c r="D848" s="10" t="s">
        <v>4623</v>
      </c>
      <c r="E848" s="9" t="s">
        <v>5354</v>
      </c>
      <c r="F848" s="10" t="s">
        <v>5355</v>
      </c>
      <c r="G848" s="9" t="s">
        <v>3330</v>
      </c>
      <c r="H848" s="10" t="s">
        <v>5356</v>
      </c>
      <c r="I848" s="9"/>
      <c r="J848" s="10" t="s">
        <v>3247</v>
      </c>
      <c r="K848" s="10" t="s">
        <v>3247</v>
      </c>
    </row>
    <row r="849" customFormat="false" ht="26.85" hidden="false" customHeight="false" outlineLevel="0" collapsed="false">
      <c r="A849" s="9" t="n">
        <v>260</v>
      </c>
      <c r="B849" s="9" t="s">
        <v>1914</v>
      </c>
      <c r="C849" s="10" t="s">
        <v>5357</v>
      </c>
      <c r="D849" s="10" t="s">
        <v>4623</v>
      </c>
      <c r="E849" s="9" t="s">
        <v>4551</v>
      </c>
      <c r="F849" s="10" t="s">
        <v>4552</v>
      </c>
      <c r="G849" s="9" t="s">
        <v>3330</v>
      </c>
      <c r="H849" s="10" t="s">
        <v>4553</v>
      </c>
      <c r="I849" s="9" t="s">
        <v>5358</v>
      </c>
      <c r="J849" s="10" t="s">
        <v>3247</v>
      </c>
      <c r="K849" s="10" t="s">
        <v>3247</v>
      </c>
    </row>
    <row r="850" customFormat="false" ht="26.85" hidden="false" customHeight="false" outlineLevel="0" collapsed="false">
      <c r="A850" s="9" t="n">
        <v>260</v>
      </c>
      <c r="B850" s="9" t="s">
        <v>1914</v>
      </c>
      <c r="C850" s="10" t="s">
        <v>5357</v>
      </c>
      <c r="D850" s="10" t="s">
        <v>4623</v>
      </c>
      <c r="E850" s="9" t="s">
        <v>5359</v>
      </c>
      <c r="F850" s="10" t="s">
        <v>5360</v>
      </c>
      <c r="G850" s="9" t="s">
        <v>3330</v>
      </c>
      <c r="H850" s="10" t="s">
        <v>5361</v>
      </c>
      <c r="I850" s="9"/>
      <c r="J850" s="10" t="s">
        <v>3247</v>
      </c>
      <c r="K850" s="10" t="s">
        <v>3247</v>
      </c>
    </row>
    <row r="851" customFormat="false" ht="26.85" hidden="false" customHeight="false" outlineLevel="0" collapsed="false">
      <c r="A851" s="9" t="n">
        <v>260</v>
      </c>
      <c r="B851" s="9" t="s">
        <v>1914</v>
      </c>
      <c r="C851" s="10" t="s">
        <v>5357</v>
      </c>
      <c r="D851" s="10" t="s">
        <v>4623</v>
      </c>
      <c r="E851" s="9" t="s">
        <v>5362</v>
      </c>
      <c r="F851" s="10" t="s">
        <v>5363</v>
      </c>
      <c r="G851" s="9" t="s">
        <v>3330</v>
      </c>
      <c r="H851" s="10" t="s">
        <v>5364</v>
      </c>
      <c r="I851" s="9"/>
      <c r="J851" s="10" t="s">
        <v>3247</v>
      </c>
      <c r="K851" s="10" t="s">
        <v>3247</v>
      </c>
    </row>
    <row r="852" customFormat="false" ht="26.85" hidden="false" customHeight="false" outlineLevel="0" collapsed="false">
      <c r="A852" s="9" t="n">
        <v>261</v>
      </c>
      <c r="B852" s="9" t="s">
        <v>1921</v>
      </c>
      <c r="C852" s="10" t="s">
        <v>1922</v>
      </c>
      <c r="D852" s="10" t="s">
        <v>26</v>
      </c>
      <c r="E852" s="9" t="s">
        <v>5365</v>
      </c>
      <c r="F852" s="10" t="s">
        <v>5366</v>
      </c>
      <c r="G852" s="9" t="s">
        <v>3330</v>
      </c>
      <c r="H852" s="10" t="s">
        <v>5367</v>
      </c>
      <c r="I852" s="9" t="s">
        <v>5368</v>
      </c>
      <c r="J852" s="10" t="s">
        <v>3247</v>
      </c>
      <c r="K852" s="10" t="s">
        <v>3247</v>
      </c>
    </row>
    <row r="853" customFormat="false" ht="26.85" hidden="false" customHeight="false" outlineLevel="0" collapsed="false">
      <c r="A853" s="9" t="n">
        <v>261</v>
      </c>
      <c r="B853" s="9" t="s">
        <v>1921</v>
      </c>
      <c r="C853" s="10" t="s">
        <v>1922</v>
      </c>
      <c r="D853" s="10" t="s">
        <v>26</v>
      </c>
      <c r="E853" s="9" t="s">
        <v>5369</v>
      </c>
      <c r="F853" s="10" t="s">
        <v>5370</v>
      </c>
      <c r="G853" s="9" t="s">
        <v>3330</v>
      </c>
      <c r="H853" s="10" t="s">
        <v>5371</v>
      </c>
      <c r="I853" s="9"/>
      <c r="J853" s="10" t="s">
        <v>3247</v>
      </c>
      <c r="K853" s="10" t="s">
        <v>3247</v>
      </c>
    </row>
    <row r="854" customFormat="false" ht="26.85" hidden="false" customHeight="false" outlineLevel="0" collapsed="false">
      <c r="A854" s="9" t="n">
        <v>261</v>
      </c>
      <c r="B854" s="9" t="s">
        <v>1921</v>
      </c>
      <c r="C854" s="10" t="s">
        <v>1922</v>
      </c>
      <c r="D854" s="10" t="s">
        <v>26</v>
      </c>
      <c r="E854" s="9" t="s">
        <v>5372</v>
      </c>
      <c r="F854" s="10" t="s">
        <v>5373</v>
      </c>
      <c r="G854" s="9" t="s">
        <v>3330</v>
      </c>
      <c r="H854" s="10" t="s">
        <v>5374</v>
      </c>
      <c r="I854" s="9"/>
      <c r="J854" s="10" t="s">
        <v>3247</v>
      </c>
      <c r="K854" s="10" t="s">
        <v>3247</v>
      </c>
    </row>
    <row r="855" customFormat="false" ht="15" hidden="false" customHeight="false" outlineLevel="0" collapsed="false">
      <c r="A855" s="9" t="n">
        <v>262</v>
      </c>
      <c r="B855" s="9" t="s">
        <v>1925</v>
      </c>
      <c r="C855" s="10" t="s">
        <v>5375</v>
      </c>
      <c r="D855" s="10" t="s">
        <v>3807</v>
      </c>
      <c r="E855" s="9" t="s">
        <v>4520</v>
      </c>
      <c r="F855" s="10" t="s">
        <v>4521</v>
      </c>
      <c r="G855" s="9" t="s">
        <v>3330</v>
      </c>
      <c r="H855" s="10" t="s">
        <v>4522</v>
      </c>
      <c r="I855" s="9"/>
      <c r="J855" s="10" t="s">
        <v>3247</v>
      </c>
      <c r="K855" s="10" t="s">
        <v>3247</v>
      </c>
    </row>
    <row r="856" customFormat="false" ht="15" hidden="false" customHeight="false" outlineLevel="0" collapsed="false">
      <c r="A856" s="9" t="n">
        <v>262</v>
      </c>
      <c r="B856" s="9" t="s">
        <v>1925</v>
      </c>
      <c r="C856" s="10" t="s">
        <v>5375</v>
      </c>
      <c r="D856" s="10" t="s">
        <v>3807</v>
      </c>
      <c r="E856" s="9" t="s">
        <v>5376</v>
      </c>
      <c r="F856" s="10" t="s">
        <v>4734</v>
      </c>
      <c r="G856" s="9" t="s">
        <v>3330</v>
      </c>
      <c r="H856" s="10" t="s">
        <v>4735</v>
      </c>
      <c r="I856" s="9"/>
      <c r="J856" s="10" t="s">
        <v>3247</v>
      </c>
      <c r="K856" s="10" t="s">
        <v>3247</v>
      </c>
    </row>
    <row r="857" customFormat="false" ht="23.85" hidden="false" customHeight="false" outlineLevel="0" collapsed="false">
      <c r="A857" s="9" t="n">
        <v>262</v>
      </c>
      <c r="B857" s="9" t="s">
        <v>1925</v>
      </c>
      <c r="C857" s="10" t="s">
        <v>5375</v>
      </c>
      <c r="D857" s="10" t="s">
        <v>3807</v>
      </c>
      <c r="E857" s="9" t="s">
        <v>5377</v>
      </c>
      <c r="F857" s="10" t="s">
        <v>4661</v>
      </c>
      <c r="G857" s="9" t="s">
        <v>3330</v>
      </c>
      <c r="H857" s="10" t="s">
        <v>4662</v>
      </c>
      <c r="I857" s="9"/>
      <c r="J857" s="10" t="s">
        <v>3247</v>
      </c>
      <c r="K857" s="10" t="s">
        <v>3247</v>
      </c>
    </row>
    <row r="858" customFormat="false" ht="15" hidden="false" customHeight="false" outlineLevel="0" collapsed="false">
      <c r="A858" s="9" t="n">
        <v>262</v>
      </c>
      <c r="B858" s="9" t="s">
        <v>1925</v>
      </c>
      <c r="C858" s="10" t="s">
        <v>5375</v>
      </c>
      <c r="D858" s="10" t="s">
        <v>3807</v>
      </c>
      <c r="E858" s="9" t="s">
        <v>5378</v>
      </c>
      <c r="F858" s="10" t="s">
        <v>4678</v>
      </c>
      <c r="G858" s="9" t="s">
        <v>3330</v>
      </c>
      <c r="H858" s="10" t="s">
        <v>4679</v>
      </c>
      <c r="I858" s="9"/>
      <c r="J858" s="10" t="s">
        <v>3247</v>
      </c>
      <c r="K858" s="10" t="s">
        <v>3247</v>
      </c>
    </row>
    <row r="859" customFormat="false" ht="15" hidden="false" customHeight="false" outlineLevel="0" collapsed="false">
      <c r="A859" s="9" t="n">
        <v>263</v>
      </c>
      <c r="B859" s="9" t="s">
        <v>1931</v>
      </c>
      <c r="C859" s="10" t="s">
        <v>5379</v>
      </c>
      <c r="D859" s="10" t="s">
        <v>3807</v>
      </c>
      <c r="E859" s="9" t="s">
        <v>5380</v>
      </c>
      <c r="F859" s="10" t="s">
        <v>5381</v>
      </c>
      <c r="G859" s="9" t="s">
        <v>3330</v>
      </c>
      <c r="H859" s="10" t="s">
        <v>5382</v>
      </c>
      <c r="I859" s="9"/>
      <c r="J859" s="10" t="s">
        <v>3247</v>
      </c>
      <c r="K859" s="10" t="s">
        <v>3247</v>
      </c>
    </row>
    <row r="860" customFormat="false" ht="15" hidden="false" customHeight="false" outlineLevel="0" collapsed="false">
      <c r="A860" s="9" t="n">
        <v>263</v>
      </c>
      <c r="B860" s="9" t="s">
        <v>1931</v>
      </c>
      <c r="C860" s="10" t="s">
        <v>5379</v>
      </c>
      <c r="D860" s="10" t="s">
        <v>3807</v>
      </c>
      <c r="E860" s="9" t="s">
        <v>5383</v>
      </c>
      <c r="F860" s="10" t="s">
        <v>5384</v>
      </c>
      <c r="G860" s="9" t="s">
        <v>3330</v>
      </c>
      <c r="H860" s="10" t="s">
        <v>5385</v>
      </c>
      <c r="I860" s="9"/>
      <c r="J860" s="10" t="s">
        <v>3247</v>
      </c>
      <c r="K860" s="10" t="s">
        <v>3247</v>
      </c>
    </row>
    <row r="861" customFormat="false" ht="26.85" hidden="false" customHeight="false" outlineLevel="0" collapsed="false">
      <c r="A861" s="9" t="n">
        <v>263</v>
      </c>
      <c r="B861" s="9" t="s">
        <v>1931</v>
      </c>
      <c r="C861" s="10" t="s">
        <v>5379</v>
      </c>
      <c r="D861" s="10" t="s">
        <v>3807</v>
      </c>
      <c r="E861" s="9" t="s">
        <v>5386</v>
      </c>
      <c r="F861" s="10" t="s">
        <v>4704</v>
      </c>
      <c r="G861" s="9" t="s">
        <v>3330</v>
      </c>
      <c r="H861" s="10" t="s">
        <v>4705</v>
      </c>
      <c r="I861" s="9"/>
      <c r="J861" s="10" t="s">
        <v>3247</v>
      </c>
      <c r="K861" s="10" t="s">
        <v>3247</v>
      </c>
    </row>
    <row r="862" customFormat="false" ht="15" hidden="false" customHeight="false" outlineLevel="0" collapsed="false">
      <c r="A862" s="9" t="n">
        <v>263</v>
      </c>
      <c r="B862" s="9" t="s">
        <v>1931</v>
      </c>
      <c r="C862" s="10" t="s">
        <v>5379</v>
      </c>
      <c r="D862" s="10" t="s">
        <v>3807</v>
      </c>
      <c r="E862" s="9" t="s">
        <v>5387</v>
      </c>
      <c r="F862" s="10" t="s">
        <v>5388</v>
      </c>
      <c r="G862" s="9" t="s">
        <v>3330</v>
      </c>
      <c r="H862" s="10" t="s">
        <v>5389</v>
      </c>
      <c r="I862" s="9"/>
      <c r="J862" s="10" t="s">
        <v>3247</v>
      </c>
      <c r="K862" s="10" t="s">
        <v>3247</v>
      </c>
    </row>
    <row r="863" customFormat="false" ht="15" hidden="false" customHeight="false" outlineLevel="0" collapsed="false">
      <c r="A863" s="9" t="n">
        <v>264</v>
      </c>
      <c r="B863" s="9" t="s">
        <v>1938</v>
      </c>
      <c r="C863" s="10" t="s">
        <v>1939</v>
      </c>
      <c r="D863" s="10" t="s">
        <v>24</v>
      </c>
      <c r="E863" s="9" t="s">
        <v>5390</v>
      </c>
      <c r="F863" s="10" t="s">
        <v>4545</v>
      </c>
      <c r="G863" s="9" t="s">
        <v>3330</v>
      </c>
      <c r="H863" s="10" t="s">
        <v>4546</v>
      </c>
      <c r="I863" s="9"/>
      <c r="J863" s="10" t="s">
        <v>3247</v>
      </c>
      <c r="K863" s="10" t="s">
        <v>3247</v>
      </c>
    </row>
    <row r="864" customFormat="false" ht="23.85" hidden="false" customHeight="false" outlineLevel="0" collapsed="false">
      <c r="A864" s="9" t="n">
        <v>264</v>
      </c>
      <c r="B864" s="9" t="s">
        <v>1938</v>
      </c>
      <c r="C864" s="10" t="s">
        <v>1939</v>
      </c>
      <c r="D864" s="10" t="s">
        <v>24</v>
      </c>
      <c r="E864" s="9" t="s">
        <v>5391</v>
      </c>
      <c r="F864" s="10" t="s">
        <v>5392</v>
      </c>
      <c r="G864" s="9" t="s">
        <v>3330</v>
      </c>
      <c r="H864" s="10" t="s">
        <v>5393</v>
      </c>
      <c r="I864" s="9"/>
      <c r="J864" s="10" t="s">
        <v>3247</v>
      </c>
      <c r="K864" s="10" t="s">
        <v>3247</v>
      </c>
    </row>
    <row r="865" customFormat="false" ht="15" hidden="false" customHeight="false" outlineLevel="0" collapsed="false">
      <c r="A865" s="9" t="n">
        <v>264</v>
      </c>
      <c r="B865" s="9" t="s">
        <v>1938</v>
      </c>
      <c r="C865" s="10" t="s">
        <v>1939</v>
      </c>
      <c r="D865" s="10" t="s">
        <v>24</v>
      </c>
      <c r="E865" s="9" t="s">
        <v>5394</v>
      </c>
      <c r="F865" s="10" t="s">
        <v>5395</v>
      </c>
      <c r="G865" s="9" t="s">
        <v>3330</v>
      </c>
      <c r="H865" s="10" t="s">
        <v>5396</v>
      </c>
      <c r="I865" s="9"/>
      <c r="J865" s="10" t="s">
        <v>3247</v>
      </c>
      <c r="K865" s="10" t="s">
        <v>3247</v>
      </c>
    </row>
    <row r="866" customFormat="false" ht="15" hidden="false" customHeight="false" outlineLevel="0" collapsed="false">
      <c r="A866" s="9" t="n">
        <v>264</v>
      </c>
      <c r="B866" s="9" t="s">
        <v>1938</v>
      </c>
      <c r="C866" s="10" t="s">
        <v>1939</v>
      </c>
      <c r="D866" s="10" t="s">
        <v>24</v>
      </c>
      <c r="E866" s="9" t="s">
        <v>5397</v>
      </c>
      <c r="F866" s="10" t="s">
        <v>3789</v>
      </c>
      <c r="G866" s="9" t="s">
        <v>3330</v>
      </c>
      <c r="H866" s="10" t="s">
        <v>3790</v>
      </c>
      <c r="I866" s="9"/>
      <c r="J866" s="10" t="s">
        <v>3247</v>
      </c>
      <c r="K866" s="10" t="s">
        <v>3247</v>
      </c>
    </row>
    <row r="867" customFormat="false" ht="15" hidden="false" customHeight="false" outlineLevel="0" collapsed="false">
      <c r="A867" s="9" t="n">
        <v>265</v>
      </c>
      <c r="B867" s="9" t="s">
        <v>1942</v>
      </c>
      <c r="C867" s="10" t="s">
        <v>1943</v>
      </c>
      <c r="D867" s="10" t="s">
        <v>28</v>
      </c>
      <c r="E867" s="9" t="s">
        <v>5398</v>
      </c>
      <c r="F867" s="10" t="s">
        <v>5399</v>
      </c>
      <c r="G867" s="9" t="s">
        <v>3330</v>
      </c>
      <c r="H867" s="10" t="s">
        <v>5400</v>
      </c>
      <c r="I867" s="9" t="s">
        <v>5401</v>
      </c>
      <c r="J867" s="10" t="s">
        <v>3247</v>
      </c>
      <c r="K867" s="10" t="s">
        <v>3247</v>
      </c>
    </row>
    <row r="868" customFormat="false" ht="26.85" hidden="false" customHeight="false" outlineLevel="0" collapsed="false">
      <c r="A868" s="9" t="n">
        <v>265</v>
      </c>
      <c r="B868" s="9" t="s">
        <v>1942</v>
      </c>
      <c r="C868" s="10" t="s">
        <v>1943</v>
      </c>
      <c r="D868" s="10" t="s">
        <v>28</v>
      </c>
      <c r="E868" s="9" t="s">
        <v>5402</v>
      </c>
      <c r="F868" s="10" t="s">
        <v>4708</v>
      </c>
      <c r="G868" s="9" t="s">
        <v>3330</v>
      </c>
      <c r="H868" s="10" t="s">
        <v>4709</v>
      </c>
      <c r="I868" s="9" t="s">
        <v>5401</v>
      </c>
      <c r="J868" s="10" t="s">
        <v>3247</v>
      </c>
      <c r="K868" s="10" t="s">
        <v>3247</v>
      </c>
    </row>
    <row r="869" customFormat="false" ht="15" hidden="false" customHeight="false" outlineLevel="0" collapsed="false">
      <c r="A869" s="9" t="n">
        <v>265</v>
      </c>
      <c r="B869" s="9" t="s">
        <v>1942</v>
      </c>
      <c r="C869" s="10" t="s">
        <v>1943</v>
      </c>
      <c r="D869" s="10" t="s">
        <v>28</v>
      </c>
      <c r="E869" s="9" t="s">
        <v>5403</v>
      </c>
      <c r="F869" s="10" t="s">
        <v>5404</v>
      </c>
      <c r="G869" s="9" t="s">
        <v>3330</v>
      </c>
      <c r="H869" s="10" t="s">
        <v>5405</v>
      </c>
      <c r="I869" s="9" t="s">
        <v>5401</v>
      </c>
      <c r="J869" s="10" t="s">
        <v>3247</v>
      </c>
      <c r="K869" s="10" t="s">
        <v>3247</v>
      </c>
    </row>
    <row r="870" customFormat="false" ht="26.85" hidden="false" customHeight="false" outlineLevel="0" collapsed="false">
      <c r="A870" s="9" t="n">
        <v>266</v>
      </c>
      <c r="B870" s="9" t="s">
        <v>1947</v>
      </c>
      <c r="C870" s="10" t="s">
        <v>1948</v>
      </c>
      <c r="D870" s="10" t="s">
        <v>25</v>
      </c>
      <c r="E870" s="9" t="s">
        <v>5406</v>
      </c>
      <c r="F870" s="10" t="s">
        <v>5407</v>
      </c>
      <c r="G870" s="9" t="s">
        <v>3330</v>
      </c>
      <c r="H870" s="10" t="s">
        <v>5408</v>
      </c>
      <c r="I870" s="9" t="s">
        <v>5409</v>
      </c>
      <c r="J870" s="10" t="s">
        <v>3247</v>
      </c>
      <c r="K870" s="10" t="s">
        <v>3247</v>
      </c>
    </row>
    <row r="871" customFormat="false" ht="26.85" hidden="false" customHeight="false" outlineLevel="0" collapsed="false">
      <c r="A871" s="9" t="n">
        <v>266</v>
      </c>
      <c r="B871" s="9" t="s">
        <v>1947</v>
      </c>
      <c r="C871" s="10" t="s">
        <v>1948</v>
      </c>
      <c r="D871" s="10" t="s">
        <v>25</v>
      </c>
      <c r="E871" s="9" t="s">
        <v>5410</v>
      </c>
      <c r="F871" s="10" t="s">
        <v>5411</v>
      </c>
      <c r="G871" s="9" t="s">
        <v>3330</v>
      </c>
      <c r="H871" s="10" t="s">
        <v>5412</v>
      </c>
      <c r="I871" s="9" t="s">
        <v>5401</v>
      </c>
      <c r="J871" s="10" t="s">
        <v>3247</v>
      </c>
      <c r="K871" s="10" t="s">
        <v>3247</v>
      </c>
    </row>
    <row r="872" customFormat="false" ht="26.85" hidden="false" customHeight="false" outlineLevel="0" collapsed="false">
      <c r="A872" s="9" t="n">
        <v>266</v>
      </c>
      <c r="B872" s="9" t="s">
        <v>1947</v>
      </c>
      <c r="C872" s="10" t="s">
        <v>1948</v>
      </c>
      <c r="D872" s="10" t="s">
        <v>25</v>
      </c>
      <c r="E872" s="9" t="s">
        <v>5413</v>
      </c>
      <c r="F872" s="10" t="s">
        <v>5414</v>
      </c>
      <c r="G872" s="9" t="s">
        <v>3330</v>
      </c>
      <c r="H872" s="10" t="s">
        <v>5415</v>
      </c>
      <c r="I872" s="9" t="s">
        <v>5401</v>
      </c>
      <c r="J872" s="10" t="s">
        <v>3247</v>
      </c>
      <c r="K872" s="10" t="s">
        <v>3247</v>
      </c>
    </row>
  </sheetData>
  <autoFilter ref="A2:K872"/>
  <mergeCells count="1">
    <mergeCell ref="A1:K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7"/>
    <col collapsed="false" customWidth="true" hidden="false" outlineLevel="0" max="3" min="3" style="0" width="34"/>
    <col collapsed="false" customWidth="true" hidden="false" outlineLevel="0" max="4" min="4" style="0" width="6"/>
    <col collapsed="false" customWidth="true" hidden="false" outlineLevel="0" max="5" min="5" style="0" width="34"/>
    <col collapsed="false" customWidth="true" hidden="false" outlineLevel="0" max="6" min="6" style="0" width="9"/>
    <col collapsed="false" customWidth="true" hidden="false" outlineLevel="0" max="7" min="7" style="0" width="30"/>
    <col collapsed="false" customWidth="true" hidden="false" outlineLevel="0" max="8" min="8" style="0" width="40"/>
    <col collapsed="false" customWidth="true" hidden="false" outlineLevel="0" max="9" min="9" style="0" width="30"/>
    <col collapsed="false" customWidth="true" hidden="false" outlineLevel="0" max="11" min="10" style="0" width="22"/>
  </cols>
  <sheetData>
    <row r="1" customFormat="false" ht="30" hidden="false" customHeight="true" outlineLevel="0" collapsed="false">
      <c r="A1" s="12" t="s">
        <v>5416</v>
      </c>
      <c r="B1" s="12"/>
      <c r="C1" s="12"/>
      <c r="D1" s="12"/>
      <c r="E1" s="12"/>
      <c r="F1" s="12"/>
      <c r="G1" s="12"/>
      <c r="H1" s="12"/>
      <c r="I1" s="12"/>
      <c r="J1" s="12"/>
      <c r="K1" s="12"/>
    </row>
    <row r="2" customFormat="false" ht="15" hidden="false" customHeight="false" outlineLevel="0" collapsed="false">
      <c r="A2" s="8" t="s">
        <v>48</v>
      </c>
      <c r="B2" s="8" t="s">
        <v>49</v>
      </c>
      <c r="C2" s="8" t="s">
        <v>50</v>
      </c>
      <c r="D2" s="8" t="s">
        <v>51</v>
      </c>
      <c r="E2" s="8" t="s">
        <v>3234</v>
      </c>
      <c r="F2" s="11" t="s">
        <v>1954</v>
      </c>
      <c r="G2" s="8" t="s">
        <v>3235</v>
      </c>
      <c r="H2" s="11" t="s">
        <v>3236</v>
      </c>
      <c r="I2" s="8" t="s">
        <v>3237</v>
      </c>
      <c r="J2" s="11" t="s">
        <v>3238</v>
      </c>
      <c r="K2" s="11" t="s">
        <v>3239</v>
      </c>
    </row>
    <row r="3" customFormat="false" ht="26.85" hidden="false" customHeight="false" outlineLevel="0" collapsed="false">
      <c r="A3" s="9" t="s">
        <v>53</v>
      </c>
      <c r="B3" s="10" t="s">
        <v>54</v>
      </c>
      <c r="C3" s="9" t="s">
        <v>55</v>
      </c>
      <c r="D3" s="10" t="s">
        <v>26</v>
      </c>
      <c r="E3" s="9" t="s">
        <v>5417</v>
      </c>
      <c r="F3" s="10" t="s">
        <v>5411</v>
      </c>
      <c r="G3" s="9" t="s">
        <v>5418</v>
      </c>
      <c r="H3" s="10" t="s">
        <v>5412</v>
      </c>
      <c r="I3" s="9"/>
      <c r="J3" s="10" t="s">
        <v>3247</v>
      </c>
      <c r="K3" s="10" t="s">
        <v>3247</v>
      </c>
    </row>
    <row r="4" customFormat="false" ht="26.85" hidden="false" customHeight="false" outlineLevel="0" collapsed="false">
      <c r="A4" s="9" t="s">
        <v>53</v>
      </c>
      <c r="B4" s="10" t="s">
        <v>54</v>
      </c>
      <c r="C4" s="9" t="s">
        <v>55</v>
      </c>
      <c r="D4" s="10" t="s">
        <v>26</v>
      </c>
      <c r="E4" s="9" t="s">
        <v>4782</v>
      </c>
      <c r="F4" s="10" t="s">
        <v>4783</v>
      </c>
      <c r="G4" s="9" t="s">
        <v>5419</v>
      </c>
      <c r="H4" s="10" t="s">
        <v>4784</v>
      </c>
      <c r="I4" s="9"/>
      <c r="J4" s="10" t="s">
        <v>3247</v>
      </c>
      <c r="K4" s="10" t="s">
        <v>3247</v>
      </c>
    </row>
    <row r="5" customFormat="false" ht="26.85" hidden="false" customHeight="false" outlineLevel="0" collapsed="false">
      <c r="A5" s="9" t="s">
        <v>53</v>
      </c>
      <c r="B5" s="10" t="s">
        <v>54</v>
      </c>
      <c r="C5" s="9" t="s">
        <v>55</v>
      </c>
      <c r="D5" s="10" t="s">
        <v>26</v>
      </c>
      <c r="E5" s="9" t="s">
        <v>5420</v>
      </c>
      <c r="F5" s="10" t="s">
        <v>4788</v>
      </c>
      <c r="G5" s="9" t="s">
        <v>5419</v>
      </c>
      <c r="H5" s="10" t="s">
        <v>4789</v>
      </c>
      <c r="I5" s="9"/>
      <c r="J5" s="10" t="s">
        <v>3247</v>
      </c>
      <c r="K5" s="10" t="s">
        <v>3247</v>
      </c>
    </row>
    <row r="6" customFormat="false" ht="26.85" hidden="false" customHeight="false" outlineLevel="0" collapsed="false">
      <c r="A6" s="9" t="s">
        <v>53</v>
      </c>
      <c r="B6" s="10" t="s">
        <v>54</v>
      </c>
      <c r="C6" s="9" t="s">
        <v>55</v>
      </c>
      <c r="D6" s="10" t="s">
        <v>26</v>
      </c>
      <c r="E6" s="9" t="s">
        <v>5421</v>
      </c>
      <c r="F6" s="10" t="s">
        <v>5422</v>
      </c>
      <c r="G6" s="9" t="s">
        <v>5418</v>
      </c>
      <c r="H6" s="10" t="s">
        <v>5423</v>
      </c>
      <c r="I6" s="9"/>
      <c r="J6" s="10" t="s">
        <v>3247</v>
      </c>
      <c r="K6" s="10" t="s">
        <v>3247</v>
      </c>
    </row>
    <row r="7" customFormat="false" ht="26.85" hidden="false" customHeight="false" outlineLevel="0" collapsed="false">
      <c r="A7" s="9" t="s">
        <v>53</v>
      </c>
      <c r="B7" s="10" t="s">
        <v>57</v>
      </c>
      <c r="C7" s="9" t="s">
        <v>58</v>
      </c>
      <c r="D7" s="10" t="s">
        <v>24</v>
      </c>
      <c r="E7" s="9" t="s">
        <v>5424</v>
      </c>
      <c r="F7" s="10" t="s">
        <v>5425</v>
      </c>
      <c r="G7" s="9" t="s">
        <v>5418</v>
      </c>
      <c r="H7" s="10" t="s">
        <v>5426</v>
      </c>
      <c r="I7" s="9"/>
      <c r="J7" s="10" t="s">
        <v>3247</v>
      </c>
      <c r="K7" s="10" t="s">
        <v>3247</v>
      </c>
    </row>
    <row r="8" customFormat="false" ht="26.85" hidden="false" customHeight="false" outlineLevel="0" collapsed="false">
      <c r="A8" s="9" t="s">
        <v>53</v>
      </c>
      <c r="B8" s="10" t="s">
        <v>57</v>
      </c>
      <c r="C8" s="9" t="s">
        <v>58</v>
      </c>
      <c r="D8" s="10" t="s">
        <v>24</v>
      </c>
      <c r="E8" s="9" t="s">
        <v>5427</v>
      </c>
      <c r="F8" s="10" t="s">
        <v>5428</v>
      </c>
      <c r="G8" s="9" t="s">
        <v>5418</v>
      </c>
      <c r="H8" s="10" t="s">
        <v>5429</v>
      </c>
      <c r="I8" s="9"/>
      <c r="J8" s="10" t="s">
        <v>3247</v>
      </c>
      <c r="K8" s="10" t="s">
        <v>3247</v>
      </c>
    </row>
    <row r="9" customFormat="false" ht="26.85" hidden="false" customHeight="false" outlineLevel="0" collapsed="false">
      <c r="A9" s="9" t="s">
        <v>53</v>
      </c>
      <c r="B9" s="10" t="s">
        <v>57</v>
      </c>
      <c r="C9" s="9" t="s">
        <v>58</v>
      </c>
      <c r="D9" s="10" t="s">
        <v>24</v>
      </c>
      <c r="E9" s="9" t="s">
        <v>5430</v>
      </c>
      <c r="F9" s="10" t="s">
        <v>4776</v>
      </c>
      <c r="G9" s="9" t="s">
        <v>5419</v>
      </c>
      <c r="H9" s="10" t="s">
        <v>4777</v>
      </c>
      <c r="I9" s="9"/>
      <c r="J9" s="10" t="s">
        <v>3247</v>
      </c>
      <c r="K9" s="10" t="s">
        <v>3247</v>
      </c>
    </row>
    <row r="10" customFormat="false" ht="26.85" hidden="false" customHeight="false" outlineLevel="0" collapsed="false">
      <c r="A10" s="9" t="s">
        <v>53</v>
      </c>
      <c r="B10" s="10" t="s">
        <v>59</v>
      </c>
      <c r="C10" s="9" t="s">
        <v>60</v>
      </c>
      <c r="D10" s="10" t="s">
        <v>26</v>
      </c>
      <c r="E10" s="9" t="s">
        <v>4811</v>
      </c>
      <c r="F10" s="10" t="s">
        <v>4812</v>
      </c>
      <c r="G10" s="9" t="s">
        <v>5419</v>
      </c>
      <c r="H10" s="10" t="s">
        <v>4813</v>
      </c>
      <c r="I10" s="9"/>
      <c r="J10" s="10" t="s">
        <v>3247</v>
      </c>
      <c r="K10" s="10" t="s">
        <v>3247</v>
      </c>
    </row>
    <row r="11" customFormat="false" ht="26.85" hidden="false" customHeight="false" outlineLevel="0" collapsed="false">
      <c r="A11" s="9" t="s">
        <v>53</v>
      </c>
      <c r="B11" s="10" t="s">
        <v>59</v>
      </c>
      <c r="C11" s="9" t="s">
        <v>60</v>
      </c>
      <c r="D11" s="10" t="s">
        <v>26</v>
      </c>
      <c r="E11" s="9" t="s">
        <v>5431</v>
      </c>
      <c r="F11" s="10" t="s">
        <v>5432</v>
      </c>
      <c r="G11" s="9" t="s">
        <v>5419</v>
      </c>
      <c r="H11" s="10" t="s">
        <v>5433</v>
      </c>
      <c r="I11" s="9"/>
      <c r="J11" s="10" t="s">
        <v>3247</v>
      </c>
      <c r="K11" s="10" t="s">
        <v>3247</v>
      </c>
    </row>
    <row r="12" customFormat="false" ht="26.85" hidden="false" customHeight="false" outlineLevel="0" collapsed="false">
      <c r="A12" s="9" t="s">
        <v>53</v>
      </c>
      <c r="B12" s="10" t="s">
        <v>59</v>
      </c>
      <c r="C12" s="9" t="s">
        <v>60</v>
      </c>
      <c r="D12" s="10" t="s">
        <v>26</v>
      </c>
      <c r="E12" s="9" t="s">
        <v>5434</v>
      </c>
      <c r="F12" s="10" t="s">
        <v>2444</v>
      </c>
      <c r="G12" s="9" t="s">
        <v>5419</v>
      </c>
      <c r="H12" s="10" t="s">
        <v>4850</v>
      </c>
      <c r="I12" s="10" t="s">
        <v>5435</v>
      </c>
      <c r="J12" s="9" t="s">
        <v>2438</v>
      </c>
      <c r="K12" s="9" t="s">
        <v>2438</v>
      </c>
    </row>
    <row r="13" customFormat="false" ht="26.85" hidden="false" customHeight="false" outlineLevel="0" collapsed="false">
      <c r="A13" s="9" t="s">
        <v>53</v>
      </c>
      <c r="B13" s="10" t="s">
        <v>62</v>
      </c>
      <c r="C13" s="9" t="s">
        <v>63</v>
      </c>
      <c r="D13" s="10" t="s">
        <v>24</v>
      </c>
      <c r="E13" s="9" t="s">
        <v>5436</v>
      </c>
      <c r="F13" s="10" t="s">
        <v>2557</v>
      </c>
      <c r="G13" s="9" t="s">
        <v>5419</v>
      </c>
      <c r="H13" s="10" t="s">
        <v>4822</v>
      </c>
      <c r="I13" s="9"/>
      <c r="J13" s="9" t="s">
        <v>3039</v>
      </c>
      <c r="K13" s="9" t="s">
        <v>3039</v>
      </c>
    </row>
    <row r="14" customFormat="false" ht="26.85" hidden="false" customHeight="false" outlineLevel="0" collapsed="false">
      <c r="A14" s="9" t="s">
        <v>53</v>
      </c>
      <c r="B14" s="10" t="s">
        <v>62</v>
      </c>
      <c r="C14" s="9" t="s">
        <v>63</v>
      </c>
      <c r="D14" s="10" t="s">
        <v>24</v>
      </c>
      <c r="E14" s="9" t="s">
        <v>5437</v>
      </c>
      <c r="F14" s="10" t="s">
        <v>5438</v>
      </c>
      <c r="G14" s="9" t="s">
        <v>5419</v>
      </c>
      <c r="H14" s="10" t="s">
        <v>5439</v>
      </c>
      <c r="I14" s="9"/>
      <c r="J14" s="9" t="s">
        <v>2438</v>
      </c>
      <c r="K14" s="9" t="s">
        <v>2438</v>
      </c>
    </row>
    <row r="15" customFormat="false" ht="26.85" hidden="false" customHeight="false" outlineLevel="0" collapsed="false">
      <c r="A15" s="9" t="s">
        <v>53</v>
      </c>
      <c r="B15" s="10" t="s">
        <v>62</v>
      </c>
      <c r="C15" s="9" t="s">
        <v>63</v>
      </c>
      <c r="D15" s="10" t="s">
        <v>24</v>
      </c>
      <c r="E15" s="9" t="s">
        <v>5440</v>
      </c>
      <c r="F15" s="10" t="s">
        <v>2446</v>
      </c>
      <c r="G15" s="9" t="s">
        <v>5419</v>
      </c>
      <c r="H15" s="10" t="s">
        <v>4833</v>
      </c>
      <c r="I15" s="9"/>
      <c r="J15" s="9" t="s">
        <v>2438</v>
      </c>
      <c r="K15" s="9" t="s">
        <v>2438</v>
      </c>
    </row>
    <row r="16" customFormat="false" ht="26.85" hidden="false" customHeight="false" outlineLevel="0" collapsed="false">
      <c r="A16" s="9" t="s">
        <v>53</v>
      </c>
      <c r="B16" s="10" t="s">
        <v>62</v>
      </c>
      <c r="C16" s="9" t="s">
        <v>63</v>
      </c>
      <c r="D16" s="10" t="s">
        <v>24</v>
      </c>
      <c r="E16" s="9" t="s">
        <v>5441</v>
      </c>
      <c r="F16" s="10" t="s">
        <v>5442</v>
      </c>
      <c r="G16" s="9" t="s">
        <v>5419</v>
      </c>
      <c r="H16" s="10" t="s">
        <v>5443</v>
      </c>
      <c r="I16" s="9"/>
      <c r="J16" s="9" t="s">
        <v>2438</v>
      </c>
      <c r="K16" s="9" t="s">
        <v>2438</v>
      </c>
    </row>
    <row r="17" customFormat="false" ht="26.85" hidden="false" customHeight="false" outlineLevel="0" collapsed="false">
      <c r="A17" s="9" t="s">
        <v>65</v>
      </c>
      <c r="B17" s="10" t="s">
        <v>66</v>
      </c>
      <c r="C17" s="9" t="s">
        <v>67</v>
      </c>
      <c r="D17" s="10" t="s">
        <v>25</v>
      </c>
      <c r="E17" s="9" t="s">
        <v>4633</v>
      </c>
      <c r="F17" s="10" t="s">
        <v>4634</v>
      </c>
      <c r="G17" s="9" t="s">
        <v>5418</v>
      </c>
      <c r="H17" s="10" t="s">
        <v>4635</v>
      </c>
      <c r="I17" s="9"/>
      <c r="J17" s="10" t="s">
        <v>3247</v>
      </c>
      <c r="K17" s="10" t="s">
        <v>3247</v>
      </c>
    </row>
    <row r="18" customFormat="false" ht="26.85" hidden="false" customHeight="false" outlineLevel="0" collapsed="false">
      <c r="A18" s="9" t="s">
        <v>65</v>
      </c>
      <c r="B18" s="10" t="s">
        <v>66</v>
      </c>
      <c r="C18" s="9" t="s">
        <v>67</v>
      </c>
      <c r="D18" s="10" t="s">
        <v>25</v>
      </c>
      <c r="E18" s="9" t="s">
        <v>5444</v>
      </c>
      <c r="F18" s="10" t="s">
        <v>4559</v>
      </c>
      <c r="G18" s="9" t="s">
        <v>5419</v>
      </c>
      <c r="H18" s="10" t="s">
        <v>4560</v>
      </c>
      <c r="I18" s="9"/>
      <c r="J18" s="9" t="s">
        <v>2232</v>
      </c>
      <c r="K18" s="9" t="s">
        <v>3284</v>
      </c>
    </row>
    <row r="19" customFormat="false" ht="26.85" hidden="false" customHeight="false" outlineLevel="0" collapsed="false">
      <c r="A19" s="9" t="s">
        <v>65</v>
      </c>
      <c r="B19" s="10" t="s">
        <v>66</v>
      </c>
      <c r="C19" s="9" t="s">
        <v>67</v>
      </c>
      <c r="D19" s="10" t="s">
        <v>25</v>
      </c>
      <c r="E19" s="9" t="s">
        <v>5445</v>
      </c>
      <c r="F19" s="10" t="s">
        <v>4524</v>
      </c>
      <c r="G19" s="9" t="s">
        <v>5419</v>
      </c>
      <c r="H19" s="10" t="s">
        <v>4525</v>
      </c>
      <c r="I19" s="9"/>
      <c r="J19" s="9" t="s">
        <v>3039</v>
      </c>
      <c r="K19" s="9" t="s">
        <v>3039</v>
      </c>
    </row>
    <row r="20" customFormat="false" ht="26.85" hidden="false" customHeight="false" outlineLevel="0" collapsed="false">
      <c r="A20" s="9" t="s">
        <v>65</v>
      </c>
      <c r="B20" s="10" t="s">
        <v>66</v>
      </c>
      <c r="C20" s="9" t="s">
        <v>67</v>
      </c>
      <c r="D20" s="10" t="s">
        <v>25</v>
      </c>
      <c r="E20" s="9" t="s">
        <v>5446</v>
      </c>
      <c r="F20" s="10" t="s">
        <v>4610</v>
      </c>
      <c r="G20" s="9" t="s">
        <v>5419</v>
      </c>
      <c r="H20" s="10" t="s">
        <v>4611</v>
      </c>
      <c r="I20" s="9"/>
      <c r="J20" s="9" t="s">
        <v>2232</v>
      </c>
      <c r="K20" s="9" t="s">
        <v>3284</v>
      </c>
    </row>
    <row r="21" customFormat="false" ht="26.85" hidden="false" customHeight="false" outlineLevel="0" collapsed="false">
      <c r="A21" s="9" t="s">
        <v>65</v>
      </c>
      <c r="B21" s="10" t="s">
        <v>68</v>
      </c>
      <c r="C21" s="9" t="s">
        <v>69</v>
      </c>
      <c r="D21" s="10" t="s">
        <v>26</v>
      </c>
      <c r="E21" s="9" t="s">
        <v>5447</v>
      </c>
      <c r="F21" s="10" t="s">
        <v>5332</v>
      </c>
      <c r="G21" s="9" t="s">
        <v>5418</v>
      </c>
      <c r="H21" s="10" t="s">
        <v>5333</v>
      </c>
      <c r="I21" s="9"/>
      <c r="J21" s="10" t="s">
        <v>3247</v>
      </c>
      <c r="K21" s="10" t="s">
        <v>3247</v>
      </c>
    </row>
    <row r="22" customFormat="false" ht="26.85" hidden="false" customHeight="false" outlineLevel="0" collapsed="false">
      <c r="A22" s="9" t="s">
        <v>65</v>
      </c>
      <c r="B22" s="10" t="s">
        <v>68</v>
      </c>
      <c r="C22" s="9" t="s">
        <v>69</v>
      </c>
      <c r="D22" s="10" t="s">
        <v>26</v>
      </c>
      <c r="E22" s="9" t="s">
        <v>5448</v>
      </c>
      <c r="F22" s="10" t="s">
        <v>5449</v>
      </c>
      <c r="G22" s="9" t="s">
        <v>5418</v>
      </c>
      <c r="H22" s="10" t="s">
        <v>5450</v>
      </c>
      <c r="I22" s="9"/>
      <c r="J22" s="10" t="s">
        <v>3247</v>
      </c>
      <c r="K22" s="10" t="s">
        <v>3247</v>
      </c>
    </row>
    <row r="23" customFormat="false" ht="26.85" hidden="false" customHeight="false" outlineLevel="0" collapsed="false">
      <c r="A23" s="9" t="s">
        <v>65</v>
      </c>
      <c r="B23" s="10" t="s">
        <v>68</v>
      </c>
      <c r="C23" s="9" t="s">
        <v>69</v>
      </c>
      <c r="D23" s="10" t="s">
        <v>26</v>
      </c>
      <c r="E23" s="9" t="s">
        <v>3450</v>
      </c>
      <c r="F23" s="10" t="s">
        <v>3451</v>
      </c>
      <c r="G23" s="9" t="s">
        <v>5419</v>
      </c>
      <c r="H23" s="10" t="s">
        <v>3452</v>
      </c>
      <c r="I23" s="9"/>
      <c r="J23" s="9" t="s">
        <v>2232</v>
      </c>
      <c r="K23" s="9" t="s">
        <v>3284</v>
      </c>
    </row>
    <row r="24" customFormat="false" ht="26.85" hidden="false" customHeight="false" outlineLevel="0" collapsed="false">
      <c r="A24" s="9" t="s">
        <v>65</v>
      </c>
      <c r="B24" s="10" t="s">
        <v>71</v>
      </c>
      <c r="C24" s="9" t="s">
        <v>72</v>
      </c>
      <c r="D24" s="10" t="s">
        <v>24</v>
      </c>
      <c r="E24" s="9" t="s">
        <v>5451</v>
      </c>
      <c r="F24" s="10" t="s">
        <v>3753</v>
      </c>
      <c r="G24" s="9" t="s">
        <v>5418</v>
      </c>
      <c r="H24" s="10" t="s">
        <v>3754</v>
      </c>
      <c r="I24" s="9"/>
      <c r="J24" s="10" t="s">
        <v>3247</v>
      </c>
      <c r="K24" s="10" t="s">
        <v>3247</v>
      </c>
    </row>
    <row r="25" customFormat="false" ht="26.85" hidden="false" customHeight="false" outlineLevel="0" collapsed="false">
      <c r="A25" s="9" t="s">
        <v>65</v>
      </c>
      <c r="B25" s="10" t="s">
        <v>71</v>
      </c>
      <c r="C25" s="9" t="s">
        <v>72</v>
      </c>
      <c r="D25" s="10" t="s">
        <v>24</v>
      </c>
      <c r="E25" s="9" t="s">
        <v>5452</v>
      </c>
      <c r="F25" s="10" t="s">
        <v>5453</v>
      </c>
      <c r="G25" s="9" t="s">
        <v>5419</v>
      </c>
      <c r="H25" s="10" t="s">
        <v>5454</v>
      </c>
      <c r="I25" s="9" t="s">
        <v>5455</v>
      </c>
      <c r="J25" s="10" t="s">
        <v>3247</v>
      </c>
      <c r="K25" s="10" t="s">
        <v>3247</v>
      </c>
    </row>
    <row r="26" customFormat="false" ht="26.85" hidden="false" customHeight="false" outlineLevel="0" collapsed="false">
      <c r="A26" s="9" t="s">
        <v>65</v>
      </c>
      <c r="B26" s="10" t="s">
        <v>74</v>
      </c>
      <c r="C26" s="9" t="s">
        <v>75</v>
      </c>
      <c r="D26" s="10" t="s">
        <v>25</v>
      </c>
      <c r="E26" s="9" t="s">
        <v>5456</v>
      </c>
      <c r="F26" s="10" t="s">
        <v>3786</v>
      </c>
      <c r="G26" s="9" t="s">
        <v>5418</v>
      </c>
      <c r="H26" s="10" t="s">
        <v>3787</v>
      </c>
      <c r="I26" s="9"/>
      <c r="J26" s="10" t="s">
        <v>3247</v>
      </c>
      <c r="K26" s="10" t="s">
        <v>3247</v>
      </c>
    </row>
    <row r="27" customFormat="false" ht="26.85" hidden="false" customHeight="false" outlineLevel="0" collapsed="false">
      <c r="A27" s="9" t="s">
        <v>65</v>
      </c>
      <c r="B27" s="10" t="s">
        <v>74</v>
      </c>
      <c r="C27" s="9" t="s">
        <v>75</v>
      </c>
      <c r="D27" s="10" t="s">
        <v>25</v>
      </c>
      <c r="E27" s="9" t="s">
        <v>5457</v>
      </c>
      <c r="F27" s="10" t="s">
        <v>3789</v>
      </c>
      <c r="G27" s="9" t="s">
        <v>5418</v>
      </c>
      <c r="H27" s="10" t="s">
        <v>3790</v>
      </c>
      <c r="I27" s="9"/>
      <c r="J27" s="10" t="s">
        <v>3247</v>
      </c>
      <c r="K27" s="10" t="s">
        <v>3247</v>
      </c>
    </row>
    <row r="28" customFormat="false" ht="26.85" hidden="false" customHeight="false" outlineLevel="0" collapsed="false">
      <c r="A28" s="9" t="s">
        <v>65</v>
      </c>
      <c r="B28" s="10" t="s">
        <v>74</v>
      </c>
      <c r="C28" s="9" t="s">
        <v>75</v>
      </c>
      <c r="D28" s="10" t="s">
        <v>25</v>
      </c>
      <c r="E28" s="9" t="s">
        <v>5458</v>
      </c>
      <c r="F28" s="10" t="s">
        <v>3792</v>
      </c>
      <c r="G28" s="9" t="s">
        <v>5419</v>
      </c>
      <c r="H28" s="10" t="s">
        <v>3794</v>
      </c>
      <c r="I28" s="9"/>
      <c r="J28" s="10" t="s">
        <v>3247</v>
      </c>
      <c r="K28" s="10" t="s">
        <v>3247</v>
      </c>
    </row>
    <row r="29" customFormat="false" ht="26.85" hidden="false" customHeight="false" outlineLevel="0" collapsed="false">
      <c r="A29" s="9" t="s">
        <v>65</v>
      </c>
      <c r="B29" s="10" t="s">
        <v>74</v>
      </c>
      <c r="C29" s="9" t="s">
        <v>75</v>
      </c>
      <c r="D29" s="10" t="s">
        <v>25</v>
      </c>
      <c r="E29" s="9" t="s">
        <v>5459</v>
      </c>
      <c r="F29" s="10" t="s">
        <v>3796</v>
      </c>
      <c r="G29" s="9" t="s">
        <v>5419</v>
      </c>
      <c r="H29" s="10" t="s">
        <v>3797</v>
      </c>
      <c r="I29" s="9"/>
      <c r="J29" s="10" t="s">
        <v>3247</v>
      </c>
      <c r="K29" s="10" t="s">
        <v>3247</v>
      </c>
    </row>
    <row r="30" customFormat="false" ht="26.85" hidden="false" customHeight="false" outlineLevel="0" collapsed="false">
      <c r="A30" s="9" t="s">
        <v>65</v>
      </c>
      <c r="B30" s="10" t="s">
        <v>76</v>
      </c>
      <c r="C30" s="9" t="s">
        <v>77</v>
      </c>
      <c r="D30" s="10" t="s">
        <v>26</v>
      </c>
      <c r="E30" s="9" t="s">
        <v>5460</v>
      </c>
      <c r="F30" s="10" t="s">
        <v>3484</v>
      </c>
      <c r="G30" s="9" t="s">
        <v>5419</v>
      </c>
      <c r="H30" s="10" t="s">
        <v>3485</v>
      </c>
      <c r="I30" s="9"/>
      <c r="J30" s="9" t="s">
        <v>2232</v>
      </c>
      <c r="K30" s="10" t="s">
        <v>3247</v>
      </c>
    </row>
    <row r="31" customFormat="false" ht="26.85" hidden="false" customHeight="false" outlineLevel="0" collapsed="false">
      <c r="A31" s="9" t="s">
        <v>65</v>
      </c>
      <c r="B31" s="10" t="s">
        <v>76</v>
      </c>
      <c r="C31" s="9" t="s">
        <v>77</v>
      </c>
      <c r="D31" s="10" t="s">
        <v>26</v>
      </c>
      <c r="E31" s="9" t="s">
        <v>5461</v>
      </c>
      <c r="F31" s="10" t="s">
        <v>3487</v>
      </c>
      <c r="G31" s="9" t="s">
        <v>5419</v>
      </c>
      <c r="H31" s="10" t="s">
        <v>3488</v>
      </c>
      <c r="I31" s="9"/>
      <c r="J31" s="9" t="s">
        <v>2232</v>
      </c>
      <c r="K31" s="9" t="s">
        <v>3284</v>
      </c>
    </row>
    <row r="32" customFormat="false" ht="26.85" hidden="false" customHeight="false" outlineLevel="0" collapsed="false">
      <c r="A32" s="9" t="s">
        <v>65</v>
      </c>
      <c r="B32" s="10" t="s">
        <v>76</v>
      </c>
      <c r="C32" s="9" t="s">
        <v>77</v>
      </c>
      <c r="D32" s="10" t="s">
        <v>26</v>
      </c>
      <c r="E32" s="9" t="s">
        <v>4752</v>
      </c>
      <c r="F32" s="10" t="s">
        <v>3533</v>
      </c>
      <c r="G32" s="9" t="s">
        <v>5418</v>
      </c>
      <c r="H32" s="10" t="s">
        <v>3534</v>
      </c>
      <c r="I32" s="9"/>
      <c r="J32" s="10" t="s">
        <v>3247</v>
      </c>
      <c r="K32" s="10" t="s">
        <v>3247</v>
      </c>
    </row>
    <row r="33" customFormat="false" ht="26.85" hidden="false" customHeight="false" outlineLevel="0" collapsed="false">
      <c r="A33" s="9" t="s">
        <v>65</v>
      </c>
      <c r="B33" s="10" t="s">
        <v>76</v>
      </c>
      <c r="C33" s="9" t="s">
        <v>77</v>
      </c>
      <c r="D33" s="10" t="s">
        <v>26</v>
      </c>
      <c r="E33" s="9" t="s">
        <v>5462</v>
      </c>
      <c r="F33" s="10" t="s">
        <v>5463</v>
      </c>
      <c r="G33" s="9" t="s">
        <v>5418</v>
      </c>
      <c r="H33" s="10" t="s">
        <v>5464</v>
      </c>
      <c r="I33" s="9"/>
      <c r="J33" s="10" t="s">
        <v>3247</v>
      </c>
      <c r="K33" s="10" t="s">
        <v>3247</v>
      </c>
    </row>
    <row r="34" customFormat="false" ht="26.85" hidden="false" customHeight="false" outlineLevel="0" collapsed="false">
      <c r="A34" s="9" t="s">
        <v>65</v>
      </c>
      <c r="B34" s="10" t="s">
        <v>78</v>
      </c>
      <c r="C34" s="9" t="s">
        <v>79</v>
      </c>
      <c r="D34" s="10" t="s">
        <v>25</v>
      </c>
      <c r="E34" s="9" t="s">
        <v>5394</v>
      </c>
      <c r="F34" s="10" t="s">
        <v>5395</v>
      </c>
      <c r="G34" s="9" t="s">
        <v>5418</v>
      </c>
      <c r="H34" s="10" t="s">
        <v>5396</v>
      </c>
      <c r="I34" s="9"/>
      <c r="J34" s="10" t="s">
        <v>3247</v>
      </c>
      <c r="K34" s="10" t="s">
        <v>3247</v>
      </c>
    </row>
    <row r="35" customFormat="false" ht="26.85" hidden="false" customHeight="false" outlineLevel="0" collapsed="false">
      <c r="A35" s="9" t="s">
        <v>65</v>
      </c>
      <c r="B35" s="10" t="s">
        <v>78</v>
      </c>
      <c r="C35" s="9" t="s">
        <v>79</v>
      </c>
      <c r="D35" s="10" t="s">
        <v>25</v>
      </c>
      <c r="E35" s="9" t="s">
        <v>5465</v>
      </c>
      <c r="F35" s="10" t="s">
        <v>5466</v>
      </c>
      <c r="G35" s="9" t="s">
        <v>5418</v>
      </c>
      <c r="H35" s="10" t="s">
        <v>5467</v>
      </c>
      <c r="I35" s="9"/>
      <c r="J35" s="10" t="s">
        <v>3247</v>
      </c>
      <c r="K35" s="10" t="s">
        <v>3247</v>
      </c>
    </row>
    <row r="36" customFormat="false" ht="26.85" hidden="false" customHeight="false" outlineLevel="0" collapsed="false">
      <c r="A36" s="9" t="s">
        <v>65</v>
      </c>
      <c r="B36" s="10" t="s">
        <v>78</v>
      </c>
      <c r="C36" s="9" t="s">
        <v>79</v>
      </c>
      <c r="D36" s="10" t="s">
        <v>25</v>
      </c>
      <c r="E36" s="9" t="s">
        <v>5468</v>
      </c>
      <c r="F36" s="10" t="s">
        <v>5469</v>
      </c>
      <c r="G36" s="9" t="s">
        <v>5418</v>
      </c>
      <c r="H36" s="10" t="s">
        <v>5470</v>
      </c>
      <c r="I36" s="9"/>
      <c r="J36" s="10" t="s">
        <v>3247</v>
      </c>
      <c r="K36" s="10" t="s">
        <v>3247</v>
      </c>
    </row>
    <row r="37" customFormat="false" ht="26.85" hidden="false" customHeight="false" outlineLevel="0" collapsed="false">
      <c r="A37" s="9" t="s">
        <v>65</v>
      </c>
      <c r="B37" s="10" t="s">
        <v>78</v>
      </c>
      <c r="C37" s="9" t="s">
        <v>79</v>
      </c>
      <c r="D37" s="10" t="s">
        <v>25</v>
      </c>
      <c r="E37" s="9" t="s">
        <v>5471</v>
      </c>
      <c r="F37" s="10" t="s">
        <v>5472</v>
      </c>
      <c r="G37" s="9" t="s">
        <v>5418</v>
      </c>
      <c r="H37" s="10" t="s">
        <v>5473</v>
      </c>
      <c r="I37" s="9"/>
      <c r="J37" s="10" t="s">
        <v>3247</v>
      </c>
      <c r="K37" s="10" t="s">
        <v>3247</v>
      </c>
    </row>
    <row r="38" customFormat="false" ht="26.85" hidden="false" customHeight="false" outlineLevel="0" collapsed="false">
      <c r="A38" s="9" t="s">
        <v>65</v>
      </c>
      <c r="B38" s="10" t="s">
        <v>80</v>
      </c>
      <c r="C38" s="9" t="s">
        <v>81</v>
      </c>
      <c r="D38" s="10" t="s">
        <v>24</v>
      </c>
      <c r="E38" s="9" t="s">
        <v>5474</v>
      </c>
      <c r="F38" s="10" t="s">
        <v>4552</v>
      </c>
      <c r="G38" s="9" t="s">
        <v>5418</v>
      </c>
      <c r="H38" s="10" t="s">
        <v>4553</v>
      </c>
      <c r="I38" s="9"/>
      <c r="J38" s="10" t="s">
        <v>3247</v>
      </c>
      <c r="K38" s="10" t="s">
        <v>3247</v>
      </c>
    </row>
    <row r="39" customFormat="false" ht="26.85" hidden="false" customHeight="false" outlineLevel="0" collapsed="false">
      <c r="A39" s="9" t="s">
        <v>65</v>
      </c>
      <c r="B39" s="10" t="s">
        <v>80</v>
      </c>
      <c r="C39" s="9" t="s">
        <v>81</v>
      </c>
      <c r="D39" s="10" t="s">
        <v>24</v>
      </c>
      <c r="E39" s="9" t="s">
        <v>5475</v>
      </c>
      <c r="F39" s="10" t="s">
        <v>4043</v>
      </c>
      <c r="G39" s="9" t="s">
        <v>5419</v>
      </c>
      <c r="H39" s="10" t="s">
        <v>4044</v>
      </c>
      <c r="I39" s="9"/>
      <c r="J39" s="9" t="s">
        <v>2773</v>
      </c>
      <c r="K39" s="9" t="s">
        <v>2773</v>
      </c>
    </row>
    <row r="40" customFormat="false" ht="26.85" hidden="false" customHeight="false" outlineLevel="0" collapsed="false">
      <c r="A40" s="9" t="s">
        <v>65</v>
      </c>
      <c r="B40" s="10" t="s">
        <v>80</v>
      </c>
      <c r="C40" s="9" t="s">
        <v>81</v>
      </c>
      <c r="D40" s="10" t="s">
        <v>24</v>
      </c>
      <c r="E40" s="9" t="s">
        <v>5476</v>
      </c>
      <c r="F40" s="10" t="s">
        <v>5477</v>
      </c>
      <c r="G40" s="9" t="s">
        <v>5418</v>
      </c>
      <c r="H40" s="10" t="s">
        <v>5478</v>
      </c>
      <c r="I40" s="9"/>
      <c r="J40" s="10" t="s">
        <v>3247</v>
      </c>
      <c r="K40" s="10" t="s">
        <v>3247</v>
      </c>
    </row>
    <row r="41" customFormat="false" ht="26.85" hidden="false" customHeight="false" outlineLevel="0" collapsed="false">
      <c r="A41" s="9" t="s">
        <v>65</v>
      </c>
      <c r="B41" s="10" t="s">
        <v>83</v>
      </c>
      <c r="C41" s="9" t="s">
        <v>84</v>
      </c>
      <c r="D41" s="10" t="s">
        <v>26</v>
      </c>
      <c r="E41" s="9" t="s">
        <v>5479</v>
      </c>
      <c r="F41" s="10" t="s">
        <v>4043</v>
      </c>
      <c r="G41" s="9" t="s">
        <v>5419</v>
      </c>
      <c r="H41" s="10" t="s">
        <v>4044</v>
      </c>
      <c r="I41" s="9"/>
      <c r="J41" s="9" t="s">
        <v>2773</v>
      </c>
      <c r="K41" s="9" t="s">
        <v>2773</v>
      </c>
    </row>
    <row r="42" customFormat="false" ht="26.85" hidden="false" customHeight="false" outlineLevel="0" collapsed="false">
      <c r="A42" s="9" t="s">
        <v>65</v>
      </c>
      <c r="B42" s="10" t="s">
        <v>83</v>
      </c>
      <c r="C42" s="9" t="s">
        <v>84</v>
      </c>
      <c r="D42" s="10" t="s">
        <v>26</v>
      </c>
      <c r="E42" s="9" t="s">
        <v>5480</v>
      </c>
      <c r="F42" s="10" t="s">
        <v>4034</v>
      </c>
      <c r="G42" s="9" t="s">
        <v>5419</v>
      </c>
      <c r="H42" s="10" t="s">
        <v>4035</v>
      </c>
      <c r="I42" s="9"/>
      <c r="J42" s="9" t="s">
        <v>2773</v>
      </c>
      <c r="K42" s="9" t="s">
        <v>2773</v>
      </c>
    </row>
    <row r="43" customFormat="false" ht="26.85" hidden="false" customHeight="false" outlineLevel="0" collapsed="false">
      <c r="A43" s="9" t="s">
        <v>65</v>
      </c>
      <c r="B43" s="10" t="s">
        <v>83</v>
      </c>
      <c r="C43" s="9" t="s">
        <v>84</v>
      </c>
      <c r="D43" s="10" t="s">
        <v>26</v>
      </c>
      <c r="E43" s="9" t="s">
        <v>5481</v>
      </c>
      <c r="F43" s="10" t="s">
        <v>5482</v>
      </c>
      <c r="G43" s="9" t="s">
        <v>5418</v>
      </c>
      <c r="H43" s="10" t="s">
        <v>5483</v>
      </c>
      <c r="I43" s="9"/>
      <c r="J43" s="10" t="s">
        <v>3247</v>
      </c>
      <c r="K43" s="10" t="s">
        <v>3247</v>
      </c>
    </row>
    <row r="44" customFormat="false" ht="26.85" hidden="false" customHeight="false" outlineLevel="0" collapsed="false">
      <c r="A44" s="9" t="s">
        <v>65</v>
      </c>
      <c r="B44" s="10" t="s">
        <v>83</v>
      </c>
      <c r="C44" s="9" t="s">
        <v>84</v>
      </c>
      <c r="D44" s="10" t="s">
        <v>26</v>
      </c>
      <c r="E44" s="9" t="s">
        <v>5484</v>
      </c>
      <c r="F44" s="10" t="s">
        <v>4601</v>
      </c>
      <c r="G44" s="9" t="s">
        <v>5419</v>
      </c>
      <c r="H44" s="10" t="s">
        <v>4602</v>
      </c>
      <c r="I44" s="9"/>
      <c r="J44" s="10" t="s">
        <v>3247</v>
      </c>
      <c r="K44" s="10" t="s">
        <v>3247</v>
      </c>
    </row>
    <row r="45" customFormat="false" ht="26.85" hidden="false" customHeight="false" outlineLevel="0" collapsed="false">
      <c r="A45" s="9" t="s">
        <v>65</v>
      </c>
      <c r="B45" s="10" t="s">
        <v>85</v>
      </c>
      <c r="C45" s="9" t="s">
        <v>86</v>
      </c>
      <c r="D45" s="10" t="s">
        <v>26</v>
      </c>
      <c r="E45" s="9" t="s">
        <v>5474</v>
      </c>
      <c r="F45" s="10" t="s">
        <v>4552</v>
      </c>
      <c r="G45" s="9" t="s">
        <v>5418</v>
      </c>
      <c r="H45" s="10" t="s">
        <v>4553</v>
      </c>
      <c r="I45" s="9"/>
      <c r="J45" s="10" t="s">
        <v>3247</v>
      </c>
      <c r="K45" s="10" t="s">
        <v>3247</v>
      </c>
    </row>
    <row r="46" customFormat="false" ht="26.85" hidden="false" customHeight="false" outlineLevel="0" collapsed="false">
      <c r="A46" s="9" t="s">
        <v>65</v>
      </c>
      <c r="B46" s="10" t="s">
        <v>85</v>
      </c>
      <c r="C46" s="9" t="s">
        <v>86</v>
      </c>
      <c r="D46" s="10" t="s">
        <v>26</v>
      </c>
      <c r="E46" s="9" t="s">
        <v>4555</v>
      </c>
      <c r="F46" s="10" t="s">
        <v>4556</v>
      </c>
      <c r="G46" s="9" t="s">
        <v>5418</v>
      </c>
      <c r="H46" s="10" t="s">
        <v>4557</v>
      </c>
      <c r="I46" s="9"/>
      <c r="J46" s="10" t="s">
        <v>3247</v>
      </c>
      <c r="K46" s="10" t="s">
        <v>3247</v>
      </c>
    </row>
    <row r="47" customFormat="false" ht="26.85" hidden="false" customHeight="false" outlineLevel="0" collapsed="false">
      <c r="A47" s="9" t="s">
        <v>65</v>
      </c>
      <c r="B47" s="10" t="s">
        <v>85</v>
      </c>
      <c r="C47" s="9" t="s">
        <v>86</v>
      </c>
      <c r="D47" s="10" t="s">
        <v>26</v>
      </c>
      <c r="E47" s="9" t="s">
        <v>5485</v>
      </c>
      <c r="F47" s="10" t="s">
        <v>3336</v>
      </c>
      <c r="G47" s="9" t="s">
        <v>5418</v>
      </c>
      <c r="H47" s="10" t="s">
        <v>3337</v>
      </c>
      <c r="I47" s="9"/>
      <c r="J47" s="10" t="s">
        <v>3247</v>
      </c>
      <c r="K47" s="10" t="s">
        <v>3247</v>
      </c>
    </row>
    <row r="48" customFormat="false" ht="26.85" hidden="false" customHeight="false" outlineLevel="0" collapsed="false">
      <c r="A48" s="9" t="s">
        <v>65</v>
      </c>
      <c r="B48" s="10" t="s">
        <v>87</v>
      </c>
      <c r="C48" s="9" t="s">
        <v>88</v>
      </c>
      <c r="D48" s="10" t="s">
        <v>24</v>
      </c>
      <c r="E48" s="9" t="s">
        <v>5486</v>
      </c>
      <c r="F48" s="10" t="s">
        <v>5384</v>
      </c>
      <c r="G48" s="9" t="s">
        <v>5418</v>
      </c>
      <c r="H48" s="10" t="s">
        <v>5385</v>
      </c>
      <c r="I48" s="9"/>
      <c r="J48" s="10" t="s">
        <v>3247</v>
      </c>
      <c r="K48" s="10" t="s">
        <v>3247</v>
      </c>
    </row>
    <row r="49" customFormat="false" ht="26.85" hidden="false" customHeight="false" outlineLevel="0" collapsed="false">
      <c r="A49" s="9" t="s">
        <v>65</v>
      </c>
      <c r="B49" s="10" t="s">
        <v>87</v>
      </c>
      <c r="C49" s="9" t="s">
        <v>88</v>
      </c>
      <c r="D49" s="10" t="s">
        <v>24</v>
      </c>
      <c r="E49" s="9" t="s">
        <v>5487</v>
      </c>
      <c r="F49" s="10" t="s">
        <v>5488</v>
      </c>
      <c r="G49" s="9" t="s">
        <v>5418</v>
      </c>
      <c r="H49" s="10" t="s">
        <v>5489</v>
      </c>
      <c r="I49" s="9"/>
      <c r="J49" s="10" t="s">
        <v>3247</v>
      </c>
      <c r="K49" s="10" t="s">
        <v>3247</v>
      </c>
    </row>
    <row r="50" customFormat="false" ht="26.85" hidden="false" customHeight="false" outlineLevel="0" collapsed="false">
      <c r="A50" s="9" t="s">
        <v>65</v>
      </c>
      <c r="B50" s="10" t="s">
        <v>87</v>
      </c>
      <c r="C50" s="9" t="s">
        <v>88</v>
      </c>
      <c r="D50" s="10" t="s">
        <v>24</v>
      </c>
      <c r="E50" s="9" t="s">
        <v>4680</v>
      </c>
      <c r="F50" s="10" t="s">
        <v>4681</v>
      </c>
      <c r="G50" s="9" t="s">
        <v>5419</v>
      </c>
      <c r="H50" s="10" t="s">
        <v>4682</v>
      </c>
      <c r="I50" s="9"/>
      <c r="J50" s="9" t="s">
        <v>3062</v>
      </c>
      <c r="K50" s="9" t="s">
        <v>3062</v>
      </c>
    </row>
    <row r="51" customFormat="false" ht="26.85" hidden="false" customHeight="false" outlineLevel="0" collapsed="false">
      <c r="A51" s="9" t="s">
        <v>65</v>
      </c>
      <c r="B51" s="10" t="s">
        <v>87</v>
      </c>
      <c r="C51" s="9" t="s">
        <v>88</v>
      </c>
      <c r="D51" s="10" t="s">
        <v>24</v>
      </c>
      <c r="E51" s="9" t="s">
        <v>5490</v>
      </c>
      <c r="F51" s="10" t="s">
        <v>3522</v>
      </c>
      <c r="G51" s="9" t="s">
        <v>5419</v>
      </c>
      <c r="H51" s="10" t="s">
        <v>3523</v>
      </c>
      <c r="I51" s="9" t="s">
        <v>5491</v>
      </c>
      <c r="J51" s="10" t="s">
        <v>3247</v>
      </c>
      <c r="K51" s="10" t="s">
        <v>3247</v>
      </c>
    </row>
    <row r="52" customFormat="false" ht="26.85" hidden="false" customHeight="false" outlineLevel="0" collapsed="false">
      <c r="A52" s="9" t="s">
        <v>65</v>
      </c>
      <c r="B52" s="10" t="s">
        <v>89</v>
      </c>
      <c r="C52" s="9" t="s">
        <v>90</v>
      </c>
      <c r="D52" s="10" t="s">
        <v>25</v>
      </c>
      <c r="E52" s="9" t="s">
        <v>4730</v>
      </c>
      <c r="F52" s="10" t="s">
        <v>4731</v>
      </c>
      <c r="G52" s="9" t="s">
        <v>5418</v>
      </c>
      <c r="H52" s="10" t="s">
        <v>4732</v>
      </c>
      <c r="I52" s="9"/>
      <c r="J52" s="10" t="s">
        <v>3247</v>
      </c>
      <c r="K52" s="10" t="s">
        <v>3247</v>
      </c>
    </row>
    <row r="53" customFormat="false" ht="26.85" hidden="false" customHeight="false" outlineLevel="0" collapsed="false">
      <c r="A53" s="9" t="s">
        <v>65</v>
      </c>
      <c r="B53" s="10" t="s">
        <v>89</v>
      </c>
      <c r="C53" s="9" t="s">
        <v>90</v>
      </c>
      <c r="D53" s="10" t="s">
        <v>25</v>
      </c>
      <c r="E53" s="9" t="s">
        <v>4520</v>
      </c>
      <c r="F53" s="10" t="s">
        <v>4521</v>
      </c>
      <c r="G53" s="9" t="s">
        <v>5418</v>
      </c>
      <c r="H53" s="10" t="s">
        <v>4522</v>
      </c>
      <c r="I53" s="9"/>
      <c r="J53" s="10" t="s">
        <v>3247</v>
      </c>
      <c r="K53" s="10" t="s">
        <v>3247</v>
      </c>
    </row>
    <row r="54" customFormat="false" ht="26.85" hidden="false" customHeight="false" outlineLevel="0" collapsed="false">
      <c r="A54" s="9" t="s">
        <v>65</v>
      </c>
      <c r="B54" s="10" t="s">
        <v>89</v>
      </c>
      <c r="C54" s="9" t="s">
        <v>90</v>
      </c>
      <c r="D54" s="10" t="s">
        <v>25</v>
      </c>
      <c r="E54" s="9" t="s">
        <v>5492</v>
      </c>
      <c r="F54" s="10" t="s">
        <v>4535</v>
      </c>
      <c r="G54" s="9" t="s">
        <v>5419</v>
      </c>
      <c r="H54" s="10" t="s">
        <v>4536</v>
      </c>
      <c r="I54" s="9"/>
      <c r="J54" s="9" t="s">
        <v>3062</v>
      </c>
      <c r="K54" s="9" t="s">
        <v>3062</v>
      </c>
    </row>
    <row r="55" customFormat="false" ht="26.85" hidden="false" customHeight="false" outlineLevel="0" collapsed="false">
      <c r="A55" s="9" t="s">
        <v>65</v>
      </c>
      <c r="B55" s="10" t="s">
        <v>89</v>
      </c>
      <c r="C55" s="9" t="s">
        <v>90</v>
      </c>
      <c r="D55" s="10" t="s">
        <v>25</v>
      </c>
      <c r="E55" s="9" t="s">
        <v>5493</v>
      </c>
      <c r="F55" s="10" t="s">
        <v>5494</v>
      </c>
      <c r="G55" s="9" t="s">
        <v>5418</v>
      </c>
      <c r="H55" s="10" t="s">
        <v>5495</v>
      </c>
      <c r="I55" s="9"/>
      <c r="J55" s="10" t="s">
        <v>3247</v>
      </c>
      <c r="K55" s="10" t="s">
        <v>3247</v>
      </c>
    </row>
    <row r="56" customFormat="false" ht="26.85" hidden="false" customHeight="false" outlineLevel="0" collapsed="false">
      <c r="A56" s="9" t="s">
        <v>65</v>
      </c>
      <c r="B56" s="10" t="s">
        <v>91</v>
      </c>
      <c r="C56" s="9" t="s">
        <v>92</v>
      </c>
      <c r="D56" s="10" t="s">
        <v>24</v>
      </c>
      <c r="E56" s="9" t="s">
        <v>5496</v>
      </c>
      <c r="F56" s="10" t="s">
        <v>4664</v>
      </c>
      <c r="G56" s="9" t="s">
        <v>5418</v>
      </c>
      <c r="H56" s="10" t="s">
        <v>4665</v>
      </c>
      <c r="I56" s="9"/>
      <c r="J56" s="10" t="s">
        <v>3247</v>
      </c>
      <c r="K56" s="10" t="s">
        <v>3247</v>
      </c>
    </row>
    <row r="57" customFormat="false" ht="26.85" hidden="false" customHeight="false" outlineLevel="0" collapsed="false">
      <c r="A57" s="9" t="s">
        <v>65</v>
      </c>
      <c r="B57" s="10" t="s">
        <v>91</v>
      </c>
      <c r="C57" s="9" t="s">
        <v>92</v>
      </c>
      <c r="D57" s="10" t="s">
        <v>24</v>
      </c>
      <c r="E57" s="9" t="s">
        <v>5497</v>
      </c>
      <c r="F57" s="10" t="s">
        <v>4661</v>
      </c>
      <c r="G57" s="9" t="s">
        <v>5418</v>
      </c>
      <c r="H57" s="10" t="s">
        <v>4662</v>
      </c>
      <c r="I57" s="9"/>
      <c r="J57" s="10" t="s">
        <v>3247</v>
      </c>
      <c r="K57" s="10" t="s">
        <v>3247</v>
      </c>
    </row>
    <row r="58" customFormat="false" ht="26.85" hidden="false" customHeight="false" outlineLevel="0" collapsed="false">
      <c r="A58" s="9" t="s">
        <v>65</v>
      </c>
      <c r="B58" s="10" t="s">
        <v>91</v>
      </c>
      <c r="C58" s="9" t="s">
        <v>92</v>
      </c>
      <c r="D58" s="10" t="s">
        <v>24</v>
      </c>
      <c r="E58" s="9" t="s">
        <v>5498</v>
      </c>
      <c r="F58" s="10" t="s">
        <v>4648</v>
      </c>
      <c r="G58" s="9" t="s">
        <v>5419</v>
      </c>
      <c r="H58" s="10" t="s">
        <v>4649</v>
      </c>
      <c r="I58" s="9"/>
      <c r="J58" s="9" t="s">
        <v>3039</v>
      </c>
      <c r="K58" s="9" t="s">
        <v>3039</v>
      </c>
    </row>
    <row r="59" customFormat="false" ht="26.85" hidden="false" customHeight="false" outlineLevel="0" collapsed="false">
      <c r="A59" s="9" t="s">
        <v>65</v>
      </c>
      <c r="B59" s="10" t="s">
        <v>91</v>
      </c>
      <c r="C59" s="9" t="s">
        <v>92</v>
      </c>
      <c r="D59" s="10" t="s">
        <v>24</v>
      </c>
      <c r="E59" s="9" t="s">
        <v>5378</v>
      </c>
      <c r="F59" s="10" t="s">
        <v>4678</v>
      </c>
      <c r="G59" s="9" t="s">
        <v>5418</v>
      </c>
      <c r="H59" s="10" t="s">
        <v>4679</v>
      </c>
      <c r="I59" s="9"/>
      <c r="J59" s="10" t="s">
        <v>3247</v>
      </c>
      <c r="K59" s="10" t="s">
        <v>3247</v>
      </c>
    </row>
    <row r="60" customFormat="false" ht="26.85" hidden="false" customHeight="false" outlineLevel="0" collapsed="false">
      <c r="A60" s="9" t="s">
        <v>93</v>
      </c>
      <c r="B60" s="10" t="s">
        <v>94</v>
      </c>
      <c r="C60" s="9" t="s">
        <v>95</v>
      </c>
      <c r="D60" s="10" t="s">
        <v>24</v>
      </c>
      <c r="E60" s="9" t="s">
        <v>3729</v>
      </c>
      <c r="F60" s="10" t="s">
        <v>3730</v>
      </c>
      <c r="G60" s="9" t="s">
        <v>5419</v>
      </c>
      <c r="H60" s="10" t="s">
        <v>3731</v>
      </c>
      <c r="I60" s="9"/>
      <c r="J60" s="9" t="s">
        <v>2232</v>
      </c>
      <c r="K60" s="9" t="s">
        <v>3284</v>
      </c>
    </row>
    <row r="61" customFormat="false" ht="26.85" hidden="false" customHeight="false" outlineLevel="0" collapsed="false">
      <c r="A61" s="9" t="s">
        <v>93</v>
      </c>
      <c r="B61" s="10" t="s">
        <v>94</v>
      </c>
      <c r="C61" s="9" t="s">
        <v>95</v>
      </c>
      <c r="D61" s="10" t="s">
        <v>24</v>
      </c>
      <c r="E61" s="9" t="s">
        <v>3732</v>
      </c>
      <c r="F61" s="10" t="s">
        <v>3733</v>
      </c>
      <c r="G61" s="9" t="s">
        <v>5419</v>
      </c>
      <c r="H61" s="10" t="s">
        <v>3734</v>
      </c>
      <c r="I61" s="9"/>
      <c r="J61" s="9" t="s">
        <v>2232</v>
      </c>
      <c r="K61" s="9" t="s">
        <v>3284</v>
      </c>
    </row>
    <row r="62" customFormat="false" ht="26.85" hidden="false" customHeight="false" outlineLevel="0" collapsed="false">
      <c r="A62" s="9" t="s">
        <v>93</v>
      </c>
      <c r="B62" s="10" t="s">
        <v>94</v>
      </c>
      <c r="C62" s="9" t="s">
        <v>95</v>
      </c>
      <c r="D62" s="10" t="s">
        <v>24</v>
      </c>
      <c r="E62" s="9" t="s">
        <v>5499</v>
      </c>
      <c r="F62" s="10" t="s">
        <v>2636</v>
      </c>
      <c r="G62" s="9" t="s">
        <v>5419</v>
      </c>
      <c r="H62" s="10" t="s">
        <v>5500</v>
      </c>
      <c r="I62" s="9"/>
      <c r="J62" s="9" t="s">
        <v>2630</v>
      </c>
      <c r="K62" s="9" t="s">
        <v>2630</v>
      </c>
    </row>
    <row r="63" customFormat="false" ht="26.85" hidden="false" customHeight="false" outlineLevel="0" collapsed="false">
      <c r="A63" s="9" t="s">
        <v>93</v>
      </c>
      <c r="B63" s="10" t="s">
        <v>96</v>
      </c>
      <c r="C63" s="9" t="s">
        <v>97</v>
      </c>
      <c r="D63" s="10" t="s">
        <v>26</v>
      </c>
      <c r="E63" s="9" t="s">
        <v>3318</v>
      </c>
      <c r="F63" s="10" t="s">
        <v>3319</v>
      </c>
      <c r="G63" s="9" t="s">
        <v>5419</v>
      </c>
      <c r="H63" s="10" t="s">
        <v>3320</v>
      </c>
      <c r="I63" s="9"/>
      <c r="J63" s="10" t="s">
        <v>3247</v>
      </c>
      <c r="K63" s="10" t="s">
        <v>3247</v>
      </c>
    </row>
    <row r="64" customFormat="false" ht="26.85" hidden="false" customHeight="false" outlineLevel="0" collapsed="false">
      <c r="A64" s="9" t="s">
        <v>93</v>
      </c>
      <c r="B64" s="10" t="s">
        <v>96</v>
      </c>
      <c r="C64" s="9" t="s">
        <v>97</v>
      </c>
      <c r="D64" s="10" t="s">
        <v>26</v>
      </c>
      <c r="E64" s="9" t="s">
        <v>5501</v>
      </c>
      <c r="F64" s="10" t="s">
        <v>5502</v>
      </c>
      <c r="G64" s="9" t="s">
        <v>5419</v>
      </c>
      <c r="H64" s="10" t="s">
        <v>5503</v>
      </c>
      <c r="I64" s="9"/>
      <c r="J64" s="9" t="s">
        <v>2232</v>
      </c>
      <c r="K64" s="9" t="s">
        <v>3284</v>
      </c>
    </row>
    <row r="65" customFormat="false" ht="26.85" hidden="false" customHeight="false" outlineLevel="0" collapsed="false">
      <c r="A65" s="9" t="s">
        <v>93</v>
      </c>
      <c r="B65" s="10" t="s">
        <v>96</v>
      </c>
      <c r="C65" s="9" t="s">
        <v>97</v>
      </c>
      <c r="D65" s="10" t="s">
        <v>26</v>
      </c>
      <c r="E65" s="9" t="s">
        <v>5504</v>
      </c>
      <c r="F65" s="10" t="s">
        <v>3840</v>
      </c>
      <c r="G65" s="9" t="s">
        <v>5419</v>
      </c>
      <c r="H65" s="10" t="s">
        <v>3841</v>
      </c>
      <c r="I65" s="9"/>
      <c r="J65" s="9" t="s">
        <v>2232</v>
      </c>
      <c r="K65" s="9" t="s">
        <v>3284</v>
      </c>
    </row>
    <row r="66" customFormat="false" ht="26.85" hidden="false" customHeight="false" outlineLevel="0" collapsed="false">
      <c r="A66" s="9" t="s">
        <v>93</v>
      </c>
      <c r="B66" s="10" t="s">
        <v>98</v>
      </c>
      <c r="C66" s="9" t="s">
        <v>99</v>
      </c>
      <c r="D66" s="10" t="s">
        <v>24</v>
      </c>
      <c r="E66" s="9" t="s">
        <v>3831</v>
      </c>
      <c r="F66" s="10" t="s">
        <v>3832</v>
      </c>
      <c r="G66" s="9" t="s">
        <v>5419</v>
      </c>
      <c r="H66" s="10" t="s">
        <v>3833</v>
      </c>
      <c r="I66" s="9"/>
      <c r="J66" s="9" t="s">
        <v>2326</v>
      </c>
      <c r="K66" s="9" t="s">
        <v>2326</v>
      </c>
    </row>
    <row r="67" customFormat="false" ht="26.85" hidden="false" customHeight="false" outlineLevel="0" collapsed="false">
      <c r="A67" s="9" t="s">
        <v>93</v>
      </c>
      <c r="B67" s="10" t="s">
        <v>98</v>
      </c>
      <c r="C67" s="9" t="s">
        <v>99</v>
      </c>
      <c r="D67" s="10" t="s">
        <v>24</v>
      </c>
      <c r="E67" s="9" t="s">
        <v>5505</v>
      </c>
      <c r="F67" s="10" t="s">
        <v>3835</v>
      </c>
      <c r="G67" s="9" t="s">
        <v>5419</v>
      </c>
      <c r="H67" s="10" t="s">
        <v>3836</v>
      </c>
      <c r="I67" s="9"/>
      <c r="J67" s="9" t="s">
        <v>2326</v>
      </c>
      <c r="K67" s="9" t="s">
        <v>2326</v>
      </c>
    </row>
    <row r="68" customFormat="false" ht="26.85" hidden="false" customHeight="false" outlineLevel="0" collapsed="false">
      <c r="A68" s="9" t="s">
        <v>93</v>
      </c>
      <c r="B68" s="10" t="s">
        <v>98</v>
      </c>
      <c r="C68" s="9" t="s">
        <v>99</v>
      </c>
      <c r="D68" s="10" t="s">
        <v>24</v>
      </c>
      <c r="E68" s="9" t="s">
        <v>5506</v>
      </c>
      <c r="F68" s="10" t="s">
        <v>5507</v>
      </c>
      <c r="G68" s="9" t="s">
        <v>5419</v>
      </c>
      <c r="H68" s="10" t="s">
        <v>5508</v>
      </c>
      <c r="I68" s="9"/>
      <c r="J68" s="9" t="s">
        <v>2326</v>
      </c>
      <c r="K68" s="9" t="s">
        <v>2326</v>
      </c>
    </row>
    <row r="69" customFormat="false" ht="26.85" hidden="false" customHeight="false" outlineLevel="0" collapsed="false">
      <c r="A69" s="9" t="s">
        <v>93</v>
      </c>
      <c r="B69" s="10" t="s">
        <v>98</v>
      </c>
      <c r="C69" s="9" t="s">
        <v>99</v>
      </c>
      <c r="D69" s="10" t="s">
        <v>24</v>
      </c>
      <c r="E69" s="9" t="s">
        <v>5509</v>
      </c>
      <c r="F69" s="10" t="s">
        <v>2330</v>
      </c>
      <c r="G69" s="9" t="s">
        <v>5419</v>
      </c>
      <c r="H69" s="10" t="s">
        <v>3837</v>
      </c>
      <c r="I69" s="9"/>
      <c r="J69" s="9" t="s">
        <v>2232</v>
      </c>
      <c r="K69" s="9" t="s">
        <v>3284</v>
      </c>
    </row>
    <row r="70" customFormat="false" ht="26.85" hidden="false" customHeight="false" outlineLevel="0" collapsed="false">
      <c r="A70" s="9" t="s">
        <v>93</v>
      </c>
      <c r="B70" s="10" t="s">
        <v>100</v>
      </c>
      <c r="C70" s="9" t="s">
        <v>101</v>
      </c>
      <c r="D70" s="10" t="s">
        <v>27</v>
      </c>
      <c r="E70" s="9" t="s">
        <v>5510</v>
      </c>
      <c r="F70" s="10" t="s">
        <v>3861</v>
      </c>
      <c r="G70" s="9" t="s">
        <v>5419</v>
      </c>
      <c r="H70" s="10" t="s">
        <v>3862</v>
      </c>
      <c r="I70" s="9"/>
      <c r="J70" s="10" t="s">
        <v>3247</v>
      </c>
      <c r="K70" s="10" t="s">
        <v>3247</v>
      </c>
    </row>
    <row r="71" customFormat="false" ht="26.85" hidden="false" customHeight="false" outlineLevel="0" collapsed="false">
      <c r="A71" s="9" t="s">
        <v>93</v>
      </c>
      <c r="B71" s="10" t="s">
        <v>100</v>
      </c>
      <c r="C71" s="9" t="s">
        <v>101</v>
      </c>
      <c r="D71" s="10" t="s">
        <v>27</v>
      </c>
      <c r="E71" s="9" t="s">
        <v>5511</v>
      </c>
      <c r="F71" s="10" t="s">
        <v>3864</v>
      </c>
      <c r="G71" s="9" t="s">
        <v>5419</v>
      </c>
      <c r="H71" s="10" t="s">
        <v>3865</v>
      </c>
      <c r="I71" s="9"/>
      <c r="J71" s="9" t="s">
        <v>2773</v>
      </c>
      <c r="K71" s="9" t="s">
        <v>2773</v>
      </c>
    </row>
    <row r="72" customFormat="false" ht="26.85" hidden="false" customHeight="false" outlineLevel="0" collapsed="false">
      <c r="A72" s="9" t="s">
        <v>93</v>
      </c>
      <c r="B72" s="10" t="s">
        <v>100</v>
      </c>
      <c r="C72" s="9" t="s">
        <v>101</v>
      </c>
      <c r="D72" s="10" t="s">
        <v>27</v>
      </c>
      <c r="E72" s="9" t="s">
        <v>3869</v>
      </c>
      <c r="F72" s="10" t="s">
        <v>2914</v>
      </c>
      <c r="G72" s="9" t="s">
        <v>5419</v>
      </c>
      <c r="H72" s="10" t="s">
        <v>5512</v>
      </c>
      <c r="I72" s="9"/>
      <c r="J72" s="9" t="s">
        <v>2773</v>
      </c>
      <c r="K72" s="9" t="s">
        <v>2773</v>
      </c>
    </row>
    <row r="73" customFormat="false" ht="26.85" hidden="false" customHeight="false" outlineLevel="0" collapsed="false">
      <c r="A73" s="9" t="s">
        <v>93</v>
      </c>
      <c r="B73" s="10" t="s">
        <v>100</v>
      </c>
      <c r="C73" s="9" t="s">
        <v>101</v>
      </c>
      <c r="D73" s="10" t="s">
        <v>27</v>
      </c>
      <c r="E73" s="9" t="s">
        <v>2206</v>
      </c>
      <c r="F73" s="10" t="s">
        <v>2207</v>
      </c>
      <c r="G73" s="9" t="s">
        <v>5419</v>
      </c>
      <c r="H73" s="10" t="s">
        <v>5513</v>
      </c>
      <c r="I73" s="9"/>
      <c r="J73" s="9" t="s">
        <v>2773</v>
      </c>
      <c r="K73" s="9" t="s">
        <v>2773</v>
      </c>
    </row>
    <row r="74" customFormat="false" ht="26.85" hidden="false" customHeight="false" outlineLevel="0" collapsed="false">
      <c r="A74" s="9" t="s">
        <v>93</v>
      </c>
      <c r="B74" s="10" t="s">
        <v>103</v>
      </c>
      <c r="C74" s="9" t="s">
        <v>104</v>
      </c>
      <c r="D74" s="10" t="s">
        <v>28</v>
      </c>
      <c r="E74" s="9" t="s">
        <v>2204</v>
      </c>
      <c r="F74" s="10" t="s">
        <v>2205</v>
      </c>
      <c r="G74" s="9" t="s">
        <v>5419</v>
      </c>
      <c r="H74" s="10" t="s">
        <v>5514</v>
      </c>
      <c r="I74" s="9"/>
      <c r="J74" s="9" t="s">
        <v>2773</v>
      </c>
      <c r="K74" s="9" t="s">
        <v>2773</v>
      </c>
    </row>
    <row r="75" customFormat="false" ht="26.85" hidden="false" customHeight="false" outlineLevel="0" collapsed="false">
      <c r="A75" s="9" t="s">
        <v>93</v>
      </c>
      <c r="B75" s="10" t="s">
        <v>103</v>
      </c>
      <c r="C75" s="9" t="s">
        <v>104</v>
      </c>
      <c r="D75" s="10" t="s">
        <v>28</v>
      </c>
      <c r="E75" s="9" t="s">
        <v>5515</v>
      </c>
      <c r="F75" s="10" t="s">
        <v>3255</v>
      </c>
      <c r="G75" s="9" t="s">
        <v>5419</v>
      </c>
      <c r="H75" s="10" t="s">
        <v>3256</v>
      </c>
      <c r="I75" s="9"/>
      <c r="J75" s="9" t="s">
        <v>2773</v>
      </c>
      <c r="K75" s="9" t="s">
        <v>2773</v>
      </c>
    </row>
    <row r="76" customFormat="false" ht="26.85" hidden="false" customHeight="false" outlineLevel="0" collapsed="false">
      <c r="A76" s="9" t="s">
        <v>93</v>
      </c>
      <c r="B76" s="10" t="s">
        <v>103</v>
      </c>
      <c r="C76" s="9" t="s">
        <v>104</v>
      </c>
      <c r="D76" s="10" t="s">
        <v>28</v>
      </c>
      <c r="E76" s="9" t="s">
        <v>5516</v>
      </c>
      <c r="F76" s="10" t="s">
        <v>5517</v>
      </c>
      <c r="G76" s="9" t="s">
        <v>5419</v>
      </c>
      <c r="H76" s="10" t="s">
        <v>5518</v>
      </c>
      <c r="I76" s="9"/>
      <c r="J76" s="9" t="s">
        <v>1956</v>
      </c>
      <c r="K76" s="9" t="s">
        <v>1956</v>
      </c>
    </row>
    <row r="77" customFormat="false" ht="26.85" hidden="false" customHeight="false" outlineLevel="0" collapsed="false">
      <c r="A77" s="9" t="s">
        <v>93</v>
      </c>
      <c r="B77" s="10" t="s">
        <v>106</v>
      </c>
      <c r="C77" s="9" t="s">
        <v>107</v>
      </c>
      <c r="D77" s="10" t="s">
        <v>26</v>
      </c>
      <c r="E77" s="9" t="s">
        <v>5519</v>
      </c>
      <c r="F77" s="10" t="s">
        <v>5520</v>
      </c>
      <c r="G77" s="9" t="s">
        <v>5419</v>
      </c>
      <c r="H77" s="10" t="s">
        <v>5521</v>
      </c>
      <c r="I77" s="9"/>
      <c r="J77" s="10" t="s">
        <v>3247</v>
      </c>
      <c r="K77" s="10" t="s">
        <v>3247</v>
      </c>
    </row>
    <row r="78" customFormat="false" ht="26.85" hidden="false" customHeight="false" outlineLevel="0" collapsed="false">
      <c r="A78" s="9" t="s">
        <v>93</v>
      </c>
      <c r="B78" s="10" t="s">
        <v>106</v>
      </c>
      <c r="C78" s="9" t="s">
        <v>107</v>
      </c>
      <c r="D78" s="10" t="s">
        <v>26</v>
      </c>
      <c r="E78" s="9" t="s">
        <v>5522</v>
      </c>
      <c r="F78" s="10" t="s">
        <v>5523</v>
      </c>
      <c r="G78" s="9" t="s">
        <v>5419</v>
      </c>
      <c r="H78" s="10" t="s">
        <v>5524</v>
      </c>
      <c r="I78" s="9"/>
      <c r="J78" s="10" t="s">
        <v>3247</v>
      </c>
      <c r="K78" s="10" t="s">
        <v>3247</v>
      </c>
    </row>
    <row r="79" customFormat="false" ht="26.85" hidden="false" customHeight="false" outlineLevel="0" collapsed="false">
      <c r="A79" s="9" t="s">
        <v>93</v>
      </c>
      <c r="B79" s="10" t="s">
        <v>106</v>
      </c>
      <c r="C79" s="9" t="s">
        <v>107</v>
      </c>
      <c r="D79" s="10" t="s">
        <v>26</v>
      </c>
      <c r="E79" s="9" t="s">
        <v>5525</v>
      </c>
      <c r="F79" s="10" t="s">
        <v>3870</v>
      </c>
      <c r="G79" s="9" t="s">
        <v>5419</v>
      </c>
      <c r="H79" s="10" t="s">
        <v>3871</v>
      </c>
      <c r="I79" s="9"/>
      <c r="J79" s="9" t="s">
        <v>2773</v>
      </c>
      <c r="K79" s="9" t="s">
        <v>2773</v>
      </c>
    </row>
    <row r="80" customFormat="false" ht="26.85" hidden="false" customHeight="false" outlineLevel="0" collapsed="false">
      <c r="A80" s="9" t="s">
        <v>93</v>
      </c>
      <c r="B80" s="10" t="s">
        <v>108</v>
      </c>
      <c r="C80" s="9" t="s">
        <v>109</v>
      </c>
      <c r="D80" s="10" t="s">
        <v>27</v>
      </c>
      <c r="E80" s="9" t="s">
        <v>5526</v>
      </c>
      <c r="F80" s="10" t="s">
        <v>5527</v>
      </c>
      <c r="G80" s="9" t="s">
        <v>5419</v>
      </c>
      <c r="H80" s="10" t="s">
        <v>5528</v>
      </c>
      <c r="I80" s="9"/>
      <c r="J80" s="10" t="s">
        <v>3247</v>
      </c>
      <c r="K80" s="10" t="s">
        <v>3247</v>
      </c>
    </row>
    <row r="81" customFormat="false" ht="26.85" hidden="false" customHeight="false" outlineLevel="0" collapsed="false">
      <c r="A81" s="9" t="s">
        <v>93</v>
      </c>
      <c r="B81" s="10" t="s">
        <v>108</v>
      </c>
      <c r="C81" s="9" t="s">
        <v>109</v>
      </c>
      <c r="D81" s="10" t="s">
        <v>27</v>
      </c>
      <c r="E81" s="9" t="s">
        <v>5529</v>
      </c>
      <c r="F81" s="10" t="s">
        <v>3867</v>
      </c>
      <c r="G81" s="9" t="s">
        <v>5419</v>
      </c>
      <c r="H81" s="10" t="s">
        <v>3868</v>
      </c>
      <c r="I81" s="9"/>
      <c r="J81" s="9" t="s">
        <v>2232</v>
      </c>
      <c r="K81" s="9" t="s">
        <v>3284</v>
      </c>
    </row>
    <row r="82" customFormat="false" ht="26.85" hidden="false" customHeight="false" outlineLevel="0" collapsed="false">
      <c r="A82" s="9" t="s">
        <v>93</v>
      </c>
      <c r="B82" s="10" t="s">
        <v>108</v>
      </c>
      <c r="C82" s="9" t="s">
        <v>109</v>
      </c>
      <c r="D82" s="10" t="s">
        <v>27</v>
      </c>
      <c r="E82" s="9" t="s">
        <v>5530</v>
      </c>
      <c r="F82" s="10" t="s">
        <v>5531</v>
      </c>
      <c r="G82" s="9" t="s">
        <v>5419</v>
      </c>
      <c r="H82" s="10" t="s">
        <v>5532</v>
      </c>
      <c r="I82" s="9"/>
      <c r="J82" s="9" t="s">
        <v>2232</v>
      </c>
      <c r="K82" s="9" t="s">
        <v>3284</v>
      </c>
    </row>
    <row r="83" customFormat="false" ht="26.85" hidden="false" customHeight="false" outlineLevel="0" collapsed="false">
      <c r="A83" s="9" t="s">
        <v>93</v>
      </c>
      <c r="B83" s="10" t="s">
        <v>108</v>
      </c>
      <c r="C83" s="9" t="s">
        <v>109</v>
      </c>
      <c r="D83" s="10" t="s">
        <v>27</v>
      </c>
      <c r="E83" s="9" t="s">
        <v>5533</v>
      </c>
      <c r="F83" s="10" t="s">
        <v>5534</v>
      </c>
      <c r="G83" s="9" t="s">
        <v>5419</v>
      </c>
      <c r="H83" s="10" t="s">
        <v>5535</v>
      </c>
      <c r="I83" s="9" t="s">
        <v>5536</v>
      </c>
      <c r="J83" s="9" t="s">
        <v>2773</v>
      </c>
      <c r="K83" s="9" t="s">
        <v>2773</v>
      </c>
    </row>
    <row r="84" customFormat="false" ht="26.85" hidden="false" customHeight="false" outlineLevel="0" collapsed="false">
      <c r="A84" s="9" t="s">
        <v>110</v>
      </c>
      <c r="B84" s="10" t="s">
        <v>111</v>
      </c>
      <c r="C84" s="9" t="s">
        <v>112</v>
      </c>
      <c r="D84" s="10" t="s">
        <v>26</v>
      </c>
      <c r="E84" s="9" t="s">
        <v>5537</v>
      </c>
      <c r="F84" s="10" t="s">
        <v>3370</v>
      </c>
      <c r="G84" s="9" t="s">
        <v>5419</v>
      </c>
      <c r="H84" s="10" t="s">
        <v>3371</v>
      </c>
      <c r="I84" s="9"/>
      <c r="J84" s="9" t="s">
        <v>1975</v>
      </c>
      <c r="K84" s="9" t="s">
        <v>1975</v>
      </c>
    </row>
    <row r="85" customFormat="false" ht="26.85" hidden="false" customHeight="false" outlineLevel="0" collapsed="false">
      <c r="A85" s="9" t="s">
        <v>110</v>
      </c>
      <c r="B85" s="10" t="s">
        <v>111</v>
      </c>
      <c r="C85" s="9" t="s">
        <v>112</v>
      </c>
      <c r="D85" s="10" t="s">
        <v>26</v>
      </c>
      <c r="E85" s="9" t="s">
        <v>4064</v>
      </c>
      <c r="F85" s="10" t="s">
        <v>4034</v>
      </c>
      <c r="G85" s="9" t="s">
        <v>5419</v>
      </c>
      <c r="H85" s="10" t="s">
        <v>4035</v>
      </c>
      <c r="I85" s="9"/>
      <c r="J85" s="9" t="s">
        <v>2773</v>
      </c>
      <c r="K85" s="9" t="s">
        <v>2773</v>
      </c>
    </row>
    <row r="86" customFormat="false" ht="26.85" hidden="false" customHeight="false" outlineLevel="0" collapsed="false">
      <c r="A86" s="9" t="s">
        <v>110</v>
      </c>
      <c r="B86" s="10" t="s">
        <v>111</v>
      </c>
      <c r="C86" s="9" t="s">
        <v>112</v>
      </c>
      <c r="D86" s="10" t="s">
        <v>26</v>
      </c>
      <c r="E86" s="9" t="s">
        <v>5538</v>
      </c>
      <c r="F86" s="10" t="s">
        <v>3299</v>
      </c>
      <c r="G86" s="9" t="s">
        <v>5419</v>
      </c>
      <c r="H86" s="10" t="s">
        <v>3300</v>
      </c>
      <c r="I86" s="9"/>
      <c r="J86" s="9" t="s">
        <v>2773</v>
      </c>
      <c r="K86" s="9" t="s">
        <v>2773</v>
      </c>
    </row>
    <row r="87" customFormat="false" ht="26.85" hidden="false" customHeight="false" outlineLevel="0" collapsed="false">
      <c r="A87" s="9" t="s">
        <v>110</v>
      </c>
      <c r="B87" s="10" t="s">
        <v>114</v>
      </c>
      <c r="C87" s="9" t="s">
        <v>115</v>
      </c>
      <c r="D87" s="10" t="s">
        <v>24</v>
      </c>
      <c r="E87" s="9" t="s">
        <v>4082</v>
      </c>
      <c r="F87" s="10" t="s">
        <v>4066</v>
      </c>
      <c r="G87" s="9" t="s">
        <v>5419</v>
      </c>
      <c r="H87" s="10" t="s">
        <v>4067</v>
      </c>
      <c r="I87" s="9"/>
      <c r="J87" s="10" t="s">
        <v>3247</v>
      </c>
      <c r="K87" s="10" t="s">
        <v>3247</v>
      </c>
    </row>
    <row r="88" customFormat="false" ht="26.85" hidden="false" customHeight="false" outlineLevel="0" collapsed="false">
      <c r="A88" s="9" t="s">
        <v>110</v>
      </c>
      <c r="B88" s="10" t="s">
        <v>114</v>
      </c>
      <c r="C88" s="9" t="s">
        <v>115</v>
      </c>
      <c r="D88" s="10" t="s">
        <v>24</v>
      </c>
      <c r="E88" s="9" t="s">
        <v>5539</v>
      </c>
      <c r="F88" s="10" t="s">
        <v>4087</v>
      </c>
      <c r="G88" s="9" t="s">
        <v>5419</v>
      </c>
      <c r="H88" s="10" t="s">
        <v>4088</v>
      </c>
      <c r="I88" s="9"/>
      <c r="J88" s="10" t="s">
        <v>3247</v>
      </c>
      <c r="K88" s="10" t="s">
        <v>3247</v>
      </c>
    </row>
    <row r="89" customFormat="false" ht="26.85" hidden="false" customHeight="false" outlineLevel="0" collapsed="false">
      <c r="A89" s="9" t="s">
        <v>110</v>
      </c>
      <c r="B89" s="10" t="s">
        <v>114</v>
      </c>
      <c r="C89" s="9" t="s">
        <v>115</v>
      </c>
      <c r="D89" s="10" t="s">
        <v>24</v>
      </c>
      <c r="E89" s="9" t="s">
        <v>5540</v>
      </c>
      <c r="F89" s="10" t="s">
        <v>4084</v>
      </c>
      <c r="G89" s="9" t="s">
        <v>5419</v>
      </c>
      <c r="H89" s="10" t="s">
        <v>4085</v>
      </c>
      <c r="I89" s="9"/>
      <c r="J89" s="10" t="s">
        <v>3247</v>
      </c>
      <c r="K89" s="10" t="s">
        <v>3247</v>
      </c>
    </row>
    <row r="90" customFormat="false" ht="26.85" hidden="false" customHeight="false" outlineLevel="0" collapsed="false">
      <c r="A90" s="9" t="s">
        <v>110</v>
      </c>
      <c r="B90" s="10" t="s">
        <v>116</v>
      </c>
      <c r="C90" s="9" t="s">
        <v>117</v>
      </c>
      <c r="D90" s="10" t="s">
        <v>28</v>
      </c>
      <c r="E90" s="9" t="s">
        <v>5541</v>
      </c>
      <c r="F90" s="10" t="s">
        <v>3930</v>
      </c>
      <c r="G90" s="9" t="s">
        <v>5419</v>
      </c>
      <c r="H90" s="10" t="s">
        <v>3931</v>
      </c>
      <c r="I90" s="9"/>
      <c r="J90" s="9" t="s">
        <v>1956</v>
      </c>
      <c r="K90" s="9" t="s">
        <v>1956</v>
      </c>
    </row>
    <row r="91" customFormat="false" ht="26.85" hidden="false" customHeight="false" outlineLevel="0" collapsed="false">
      <c r="A91" s="9" t="s">
        <v>110</v>
      </c>
      <c r="B91" s="10" t="s">
        <v>116</v>
      </c>
      <c r="C91" s="9" t="s">
        <v>117</v>
      </c>
      <c r="D91" s="10" t="s">
        <v>28</v>
      </c>
      <c r="E91" s="9" t="s">
        <v>5542</v>
      </c>
      <c r="F91" s="10" t="s">
        <v>3948</v>
      </c>
      <c r="G91" s="9" t="s">
        <v>5419</v>
      </c>
      <c r="H91" s="10" t="s">
        <v>3949</v>
      </c>
      <c r="I91" s="9"/>
      <c r="J91" s="9" t="s">
        <v>2773</v>
      </c>
      <c r="K91" s="9" t="s">
        <v>2773</v>
      </c>
    </row>
    <row r="92" customFormat="false" ht="26.85" hidden="false" customHeight="false" outlineLevel="0" collapsed="false">
      <c r="A92" s="9" t="s">
        <v>110</v>
      </c>
      <c r="B92" s="10" t="s">
        <v>116</v>
      </c>
      <c r="C92" s="9" t="s">
        <v>117</v>
      </c>
      <c r="D92" s="10" t="s">
        <v>28</v>
      </c>
      <c r="E92" s="9" t="s">
        <v>5543</v>
      </c>
      <c r="F92" s="10" t="s">
        <v>3957</v>
      </c>
      <c r="G92" s="9" t="s">
        <v>5419</v>
      </c>
      <c r="H92" s="10" t="s">
        <v>3958</v>
      </c>
      <c r="I92" s="9"/>
      <c r="J92" s="9" t="s">
        <v>2773</v>
      </c>
      <c r="K92" s="9" t="s">
        <v>2773</v>
      </c>
    </row>
    <row r="93" customFormat="false" ht="26.85" hidden="false" customHeight="false" outlineLevel="0" collapsed="false">
      <c r="A93" s="9" t="s">
        <v>110</v>
      </c>
      <c r="B93" s="10" t="s">
        <v>116</v>
      </c>
      <c r="C93" s="9" t="s">
        <v>117</v>
      </c>
      <c r="D93" s="10" t="s">
        <v>28</v>
      </c>
      <c r="E93" s="9" t="s">
        <v>3926</v>
      </c>
      <c r="F93" s="10" t="s">
        <v>3927</v>
      </c>
      <c r="G93" s="9" t="s">
        <v>5419</v>
      </c>
      <c r="H93" s="10" t="s">
        <v>3928</v>
      </c>
      <c r="I93" s="9"/>
      <c r="J93" s="9" t="s">
        <v>1956</v>
      </c>
      <c r="K93" s="9" t="s">
        <v>1956</v>
      </c>
    </row>
    <row r="94" customFormat="false" ht="26.85" hidden="false" customHeight="false" outlineLevel="0" collapsed="false">
      <c r="A94" s="9" t="s">
        <v>110</v>
      </c>
      <c r="B94" s="10" t="s">
        <v>119</v>
      </c>
      <c r="C94" s="9" t="s">
        <v>120</v>
      </c>
      <c r="D94" s="10" t="s">
        <v>27</v>
      </c>
      <c r="E94" s="9" t="s">
        <v>5544</v>
      </c>
      <c r="F94" s="10" t="s">
        <v>5545</v>
      </c>
      <c r="G94" s="9" t="s">
        <v>5419</v>
      </c>
      <c r="H94" s="10" t="s">
        <v>5546</v>
      </c>
      <c r="I94" s="9"/>
      <c r="J94" s="9" t="s">
        <v>1956</v>
      </c>
      <c r="K94" s="9" t="s">
        <v>1956</v>
      </c>
    </row>
    <row r="95" customFormat="false" ht="26.85" hidden="false" customHeight="false" outlineLevel="0" collapsed="false">
      <c r="A95" s="9" t="s">
        <v>110</v>
      </c>
      <c r="B95" s="10" t="s">
        <v>119</v>
      </c>
      <c r="C95" s="9" t="s">
        <v>120</v>
      </c>
      <c r="D95" s="10" t="s">
        <v>27</v>
      </c>
      <c r="E95" s="9" t="s">
        <v>5547</v>
      </c>
      <c r="F95" s="10" t="s">
        <v>5548</v>
      </c>
      <c r="G95" s="9" t="s">
        <v>5419</v>
      </c>
      <c r="H95" s="10" t="s">
        <v>5549</v>
      </c>
      <c r="I95" s="9"/>
      <c r="J95" s="9" t="s">
        <v>1956</v>
      </c>
      <c r="K95" s="9" t="s">
        <v>1956</v>
      </c>
    </row>
    <row r="96" customFormat="false" ht="26.85" hidden="false" customHeight="false" outlineLevel="0" collapsed="false">
      <c r="A96" s="9" t="s">
        <v>110</v>
      </c>
      <c r="B96" s="10" t="s">
        <v>119</v>
      </c>
      <c r="C96" s="9" t="s">
        <v>120</v>
      </c>
      <c r="D96" s="10" t="s">
        <v>27</v>
      </c>
      <c r="E96" s="9" t="s">
        <v>5550</v>
      </c>
      <c r="F96" s="10" t="s">
        <v>5551</v>
      </c>
      <c r="G96" s="9" t="s">
        <v>5419</v>
      </c>
      <c r="H96" s="10" t="s">
        <v>5552</v>
      </c>
      <c r="I96" s="9"/>
      <c r="J96" s="9" t="s">
        <v>1956</v>
      </c>
      <c r="K96" s="9" t="s">
        <v>1956</v>
      </c>
    </row>
    <row r="97" customFormat="false" ht="26.85" hidden="false" customHeight="false" outlineLevel="0" collapsed="false">
      <c r="A97" s="9" t="s">
        <v>110</v>
      </c>
      <c r="B97" s="10" t="s">
        <v>121</v>
      </c>
      <c r="C97" s="9" t="s">
        <v>122</v>
      </c>
      <c r="D97" s="10" t="s">
        <v>28</v>
      </c>
      <c r="E97" s="9" t="s">
        <v>5553</v>
      </c>
      <c r="F97" s="10" t="s">
        <v>3920</v>
      </c>
      <c r="G97" s="9" t="s">
        <v>5419</v>
      </c>
      <c r="H97" s="10" t="s">
        <v>3921</v>
      </c>
      <c r="I97" s="9"/>
      <c r="J97" s="9" t="s">
        <v>1956</v>
      </c>
      <c r="K97" s="9" t="s">
        <v>1956</v>
      </c>
    </row>
    <row r="98" customFormat="false" ht="26.85" hidden="false" customHeight="false" outlineLevel="0" collapsed="false">
      <c r="A98" s="9" t="s">
        <v>110</v>
      </c>
      <c r="B98" s="10" t="s">
        <v>121</v>
      </c>
      <c r="C98" s="9" t="s">
        <v>122</v>
      </c>
      <c r="D98" s="10" t="s">
        <v>28</v>
      </c>
      <c r="E98" s="9" t="s">
        <v>3909</v>
      </c>
      <c r="F98" s="10" t="s">
        <v>3910</v>
      </c>
      <c r="G98" s="9" t="s">
        <v>5419</v>
      </c>
      <c r="H98" s="10" t="s">
        <v>3911</v>
      </c>
      <c r="I98" s="9"/>
      <c r="J98" s="9" t="s">
        <v>1956</v>
      </c>
      <c r="K98" s="9" t="s">
        <v>1956</v>
      </c>
    </row>
    <row r="99" customFormat="false" ht="26.85" hidden="false" customHeight="false" outlineLevel="0" collapsed="false">
      <c r="A99" s="9" t="s">
        <v>110</v>
      </c>
      <c r="B99" s="10" t="s">
        <v>121</v>
      </c>
      <c r="C99" s="9" t="s">
        <v>122</v>
      </c>
      <c r="D99" s="10" t="s">
        <v>28</v>
      </c>
      <c r="E99" s="9" t="s">
        <v>3934</v>
      </c>
      <c r="F99" s="10" t="s">
        <v>3935</v>
      </c>
      <c r="G99" s="9" t="s">
        <v>5419</v>
      </c>
      <c r="H99" s="10" t="s">
        <v>3936</v>
      </c>
      <c r="I99" s="9"/>
      <c r="J99" s="10" t="s">
        <v>3247</v>
      </c>
      <c r="K99" s="10" t="s">
        <v>3247</v>
      </c>
    </row>
    <row r="100" customFormat="false" ht="26.85" hidden="false" customHeight="false" outlineLevel="0" collapsed="false">
      <c r="A100" s="9" t="s">
        <v>110</v>
      </c>
      <c r="B100" s="10" t="s">
        <v>121</v>
      </c>
      <c r="C100" s="9" t="s">
        <v>122</v>
      </c>
      <c r="D100" s="10" t="s">
        <v>28</v>
      </c>
      <c r="E100" s="9" t="s">
        <v>3937</v>
      </c>
      <c r="F100" s="10" t="s">
        <v>3938</v>
      </c>
      <c r="G100" s="9" t="s">
        <v>5419</v>
      </c>
      <c r="H100" s="10" t="s">
        <v>3939</v>
      </c>
      <c r="I100" s="9"/>
      <c r="J100" s="10" t="s">
        <v>3247</v>
      </c>
      <c r="K100" s="10" t="s">
        <v>3247</v>
      </c>
    </row>
    <row r="101" customFormat="false" ht="26.85" hidden="false" customHeight="false" outlineLevel="0" collapsed="false">
      <c r="A101" s="9" t="s">
        <v>110</v>
      </c>
      <c r="B101" s="10" t="s">
        <v>123</v>
      </c>
      <c r="C101" s="9" t="s">
        <v>124</v>
      </c>
      <c r="D101" s="10" t="s">
        <v>28</v>
      </c>
      <c r="E101" s="9" t="s">
        <v>3263</v>
      </c>
      <c r="F101" s="10" t="s">
        <v>3264</v>
      </c>
      <c r="G101" s="9" t="s">
        <v>5419</v>
      </c>
      <c r="H101" s="10" t="s">
        <v>3265</v>
      </c>
      <c r="I101" s="9"/>
      <c r="J101" s="9" t="s">
        <v>1956</v>
      </c>
      <c r="K101" s="9" t="s">
        <v>1956</v>
      </c>
    </row>
    <row r="102" customFormat="false" ht="26.85" hidden="false" customHeight="false" outlineLevel="0" collapsed="false">
      <c r="A102" s="9" t="s">
        <v>110</v>
      </c>
      <c r="B102" s="10" t="s">
        <v>123</v>
      </c>
      <c r="C102" s="9" t="s">
        <v>124</v>
      </c>
      <c r="D102" s="10" t="s">
        <v>28</v>
      </c>
      <c r="E102" s="9" t="s">
        <v>3266</v>
      </c>
      <c r="F102" s="10" t="s">
        <v>3267</v>
      </c>
      <c r="G102" s="9" t="s">
        <v>5419</v>
      </c>
      <c r="H102" s="10" t="s">
        <v>3268</v>
      </c>
      <c r="I102" s="9"/>
      <c r="J102" s="9" t="s">
        <v>1956</v>
      </c>
      <c r="K102" s="9" t="s">
        <v>1956</v>
      </c>
    </row>
    <row r="103" customFormat="false" ht="26.85" hidden="false" customHeight="false" outlineLevel="0" collapsed="false">
      <c r="A103" s="9" t="s">
        <v>110</v>
      </c>
      <c r="B103" s="10" t="s">
        <v>123</v>
      </c>
      <c r="C103" s="9" t="s">
        <v>124</v>
      </c>
      <c r="D103" s="10" t="s">
        <v>28</v>
      </c>
      <c r="E103" s="9" t="s">
        <v>5554</v>
      </c>
      <c r="F103" s="10" t="s">
        <v>3270</v>
      </c>
      <c r="G103" s="9" t="s">
        <v>5419</v>
      </c>
      <c r="H103" s="10" t="s">
        <v>3271</v>
      </c>
      <c r="I103" s="9"/>
      <c r="J103" s="9" t="s">
        <v>1956</v>
      </c>
      <c r="K103" s="9" t="s">
        <v>1956</v>
      </c>
    </row>
    <row r="104" customFormat="false" ht="26.85" hidden="false" customHeight="false" outlineLevel="0" collapsed="false">
      <c r="A104" s="9" t="s">
        <v>110</v>
      </c>
      <c r="B104" s="10" t="s">
        <v>125</v>
      </c>
      <c r="C104" s="9" t="s">
        <v>126</v>
      </c>
      <c r="D104" s="10" t="s">
        <v>26</v>
      </c>
      <c r="E104" s="9" t="s">
        <v>5555</v>
      </c>
      <c r="F104" s="10" t="s">
        <v>4057</v>
      </c>
      <c r="G104" s="9" t="s">
        <v>5419</v>
      </c>
      <c r="H104" s="10" t="s">
        <v>4058</v>
      </c>
      <c r="I104" s="9"/>
      <c r="J104" s="9" t="s">
        <v>1956</v>
      </c>
      <c r="K104" s="9" t="s">
        <v>1956</v>
      </c>
    </row>
    <row r="105" customFormat="false" ht="26.85" hidden="false" customHeight="false" outlineLevel="0" collapsed="false">
      <c r="A105" s="9" t="s">
        <v>110</v>
      </c>
      <c r="B105" s="10" t="s">
        <v>125</v>
      </c>
      <c r="C105" s="9" t="s">
        <v>126</v>
      </c>
      <c r="D105" s="10" t="s">
        <v>26</v>
      </c>
      <c r="E105" s="9" t="s">
        <v>5556</v>
      </c>
      <c r="F105" s="10" t="s">
        <v>4060</v>
      </c>
      <c r="G105" s="9" t="s">
        <v>5419</v>
      </c>
      <c r="H105" s="10" t="s">
        <v>4061</v>
      </c>
      <c r="I105" s="9"/>
      <c r="J105" s="9" t="s">
        <v>1956</v>
      </c>
      <c r="K105" s="9" t="s">
        <v>1956</v>
      </c>
    </row>
    <row r="106" customFormat="false" ht="26.85" hidden="false" customHeight="false" outlineLevel="0" collapsed="false">
      <c r="A106" s="9" t="s">
        <v>110</v>
      </c>
      <c r="B106" s="10" t="s">
        <v>125</v>
      </c>
      <c r="C106" s="9" t="s">
        <v>126</v>
      </c>
      <c r="D106" s="10" t="s">
        <v>26</v>
      </c>
      <c r="E106" s="9" t="s">
        <v>5557</v>
      </c>
      <c r="F106" s="10" t="s">
        <v>5558</v>
      </c>
      <c r="G106" s="9" t="s">
        <v>5419</v>
      </c>
      <c r="H106" s="10" t="s">
        <v>5559</v>
      </c>
      <c r="I106" s="9"/>
      <c r="J106" s="10" t="s">
        <v>3247</v>
      </c>
      <c r="K106" s="10" t="s">
        <v>3247</v>
      </c>
    </row>
    <row r="107" customFormat="false" ht="26.85" hidden="false" customHeight="false" outlineLevel="0" collapsed="false">
      <c r="A107" s="9" t="s">
        <v>110</v>
      </c>
      <c r="B107" s="10" t="s">
        <v>127</v>
      </c>
      <c r="C107" s="9" t="s">
        <v>128</v>
      </c>
      <c r="D107" s="10" t="s">
        <v>26</v>
      </c>
      <c r="E107" s="9" t="s">
        <v>5560</v>
      </c>
      <c r="F107" s="10" t="s">
        <v>5300</v>
      </c>
      <c r="G107" s="9" t="s">
        <v>5418</v>
      </c>
      <c r="H107" s="10" t="s">
        <v>5301</v>
      </c>
      <c r="I107" s="9"/>
      <c r="J107" s="10" t="s">
        <v>3247</v>
      </c>
      <c r="K107" s="10" t="s">
        <v>3247</v>
      </c>
    </row>
    <row r="108" customFormat="false" ht="26.85" hidden="false" customHeight="false" outlineLevel="0" collapsed="false">
      <c r="A108" s="9" t="s">
        <v>110</v>
      </c>
      <c r="B108" s="10" t="s">
        <v>127</v>
      </c>
      <c r="C108" s="9" t="s">
        <v>128</v>
      </c>
      <c r="D108" s="10" t="s">
        <v>26</v>
      </c>
      <c r="E108" s="9" t="s">
        <v>5561</v>
      </c>
      <c r="F108" s="10" t="s">
        <v>5297</v>
      </c>
      <c r="G108" s="9" t="s">
        <v>5419</v>
      </c>
      <c r="H108" s="10" t="s">
        <v>5298</v>
      </c>
      <c r="I108" s="9"/>
      <c r="J108" s="10" t="s">
        <v>3247</v>
      </c>
      <c r="K108" s="10" t="s">
        <v>3247</v>
      </c>
    </row>
    <row r="109" customFormat="false" ht="26.85" hidden="false" customHeight="false" outlineLevel="0" collapsed="false">
      <c r="A109" s="9" t="s">
        <v>110</v>
      </c>
      <c r="B109" s="10" t="s">
        <v>127</v>
      </c>
      <c r="C109" s="9" t="s">
        <v>128</v>
      </c>
      <c r="D109" s="10" t="s">
        <v>26</v>
      </c>
      <c r="E109" s="9" t="s">
        <v>5302</v>
      </c>
      <c r="F109" s="10" t="s">
        <v>5303</v>
      </c>
      <c r="G109" s="9" t="s">
        <v>5419</v>
      </c>
      <c r="H109" s="10" t="s">
        <v>5304</v>
      </c>
      <c r="I109" s="9"/>
      <c r="J109" s="10" t="s">
        <v>3247</v>
      </c>
      <c r="K109" s="10" t="s">
        <v>3247</v>
      </c>
    </row>
    <row r="110" customFormat="false" ht="26.85" hidden="false" customHeight="false" outlineLevel="0" collapsed="false">
      <c r="A110" s="9" t="s">
        <v>110</v>
      </c>
      <c r="B110" s="10" t="s">
        <v>127</v>
      </c>
      <c r="C110" s="9" t="s">
        <v>128</v>
      </c>
      <c r="D110" s="10" t="s">
        <v>26</v>
      </c>
      <c r="E110" s="9" t="s">
        <v>5562</v>
      </c>
      <c r="F110" s="10" t="s">
        <v>5563</v>
      </c>
      <c r="G110" s="9" t="s">
        <v>5419</v>
      </c>
      <c r="H110" s="10" t="s">
        <v>5564</v>
      </c>
      <c r="I110" s="9"/>
      <c r="J110" s="9" t="s">
        <v>2232</v>
      </c>
      <c r="K110" s="9" t="s">
        <v>3284</v>
      </c>
    </row>
    <row r="111" customFormat="false" ht="26.85" hidden="false" customHeight="false" outlineLevel="0" collapsed="false">
      <c r="A111" s="9" t="s">
        <v>129</v>
      </c>
      <c r="B111" s="10" t="s">
        <v>130</v>
      </c>
      <c r="C111" s="9" t="s">
        <v>131</v>
      </c>
      <c r="D111" s="10" t="s">
        <v>26</v>
      </c>
      <c r="E111" s="9" t="s">
        <v>5565</v>
      </c>
      <c r="F111" s="10" t="s">
        <v>3809</v>
      </c>
      <c r="G111" s="9" t="s">
        <v>5419</v>
      </c>
      <c r="H111" s="10" t="s">
        <v>3810</v>
      </c>
      <c r="I111" s="9"/>
      <c r="J111" s="9" t="s">
        <v>2232</v>
      </c>
      <c r="K111" s="9" t="s">
        <v>3284</v>
      </c>
    </row>
    <row r="112" customFormat="false" ht="26.85" hidden="false" customHeight="false" outlineLevel="0" collapsed="false">
      <c r="A112" s="9" t="s">
        <v>129</v>
      </c>
      <c r="B112" s="10" t="s">
        <v>130</v>
      </c>
      <c r="C112" s="9" t="s">
        <v>131</v>
      </c>
      <c r="D112" s="10" t="s">
        <v>26</v>
      </c>
      <c r="E112" s="9" t="s">
        <v>3758</v>
      </c>
      <c r="F112" s="10" t="s">
        <v>3759</v>
      </c>
      <c r="G112" s="9" t="s">
        <v>5419</v>
      </c>
      <c r="H112" s="10" t="s">
        <v>3760</v>
      </c>
      <c r="I112" s="9"/>
      <c r="J112" s="10" t="s">
        <v>3247</v>
      </c>
      <c r="K112" s="10" t="s">
        <v>3247</v>
      </c>
    </row>
    <row r="113" customFormat="false" ht="26.85" hidden="false" customHeight="false" outlineLevel="0" collapsed="false">
      <c r="A113" s="9" t="s">
        <v>129</v>
      </c>
      <c r="B113" s="10" t="s">
        <v>130</v>
      </c>
      <c r="C113" s="9" t="s">
        <v>131</v>
      </c>
      <c r="D113" s="10" t="s">
        <v>26</v>
      </c>
      <c r="E113" s="9" t="s">
        <v>5566</v>
      </c>
      <c r="F113" s="10" t="s">
        <v>3815</v>
      </c>
      <c r="G113" s="9" t="s">
        <v>5419</v>
      </c>
      <c r="H113" s="10" t="s">
        <v>3816</v>
      </c>
      <c r="I113" s="9"/>
      <c r="J113" s="9" t="s">
        <v>2232</v>
      </c>
      <c r="K113" s="9" t="s">
        <v>3284</v>
      </c>
    </row>
    <row r="114" customFormat="false" ht="26.85" hidden="false" customHeight="false" outlineLevel="0" collapsed="false">
      <c r="A114" s="9" t="s">
        <v>129</v>
      </c>
      <c r="B114" s="10" t="s">
        <v>132</v>
      </c>
      <c r="C114" s="9" t="s">
        <v>133</v>
      </c>
      <c r="D114" s="10" t="s">
        <v>25</v>
      </c>
      <c r="E114" s="9" t="s">
        <v>5567</v>
      </c>
      <c r="F114" s="10" t="s">
        <v>5568</v>
      </c>
      <c r="G114" s="9" t="s">
        <v>5419</v>
      </c>
      <c r="H114" s="10" t="s">
        <v>5569</v>
      </c>
      <c r="I114" s="9"/>
      <c r="J114" s="9" t="s">
        <v>2232</v>
      </c>
      <c r="K114" s="9" t="s">
        <v>3284</v>
      </c>
    </row>
    <row r="115" customFormat="false" ht="26.85" hidden="false" customHeight="false" outlineLevel="0" collapsed="false">
      <c r="A115" s="9" t="s">
        <v>129</v>
      </c>
      <c r="B115" s="10" t="s">
        <v>132</v>
      </c>
      <c r="C115" s="9" t="s">
        <v>133</v>
      </c>
      <c r="D115" s="10" t="s">
        <v>25</v>
      </c>
      <c r="E115" s="9" t="s">
        <v>5570</v>
      </c>
      <c r="F115" s="10" t="s">
        <v>5571</v>
      </c>
      <c r="G115" s="9" t="s">
        <v>5419</v>
      </c>
      <c r="H115" s="10" t="s">
        <v>5572</v>
      </c>
      <c r="I115" s="9"/>
      <c r="J115" s="10" t="s">
        <v>3247</v>
      </c>
      <c r="K115" s="10" t="s">
        <v>3247</v>
      </c>
    </row>
    <row r="116" customFormat="false" ht="26.85" hidden="false" customHeight="false" outlineLevel="0" collapsed="false">
      <c r="A116" s="9" t="s">
        <v>129</v>
      </c>
      <c r="B116" s="10" t="s">
        <v>132</v>
      </c>
      <c r="C116" s="9" t="s">
        <v>133</v>
      </c>
      <c r="D116" s="10" t="s">
        <v>25</v>
      </c>
      <c r="E116" s="9" t="s">
        <v>5573</v>
      </c>
      <c r="F116" s="10" t="s">
        <v>3812</v>
      </c>
      <c r="G116" s="9" t="s">
        <v>5419</v>
      </c>
      <c r="H116" s="10" t="s">
        <v>3813</v>
      </c>
      <c r="I116" s="9" t="s">
        <v>5574</v>
      </c>
      <c r="J116" s="9" t="s">
        <v>2232</v>
      </c>
      <c r="K116" s="9" t="s">
        <v>3284</v>
      </c>
    </row>
    <row r="117" customFormat="false" ht="26.85" hidden="false" customHeight="false" outlineLevel="0" collapsed="false">
      <c r="A117" s="9" t="s">
        <v>129</v>
      </c>
      <c r="B117" s="10" t="s">
        <v>134</v>
      </c>
      <c r="C117" s="9" t="s">
        <v>135</v>
      </c>
      <c r="D117" s="10" t="s">
        <v>24</v>
      </c>
      <c r="E117" s="9" t="s">
        <v>5575</v>
      </c>
      <c r="F117" s="10" t="s">
        <v>3852</v>
      </c>
      <c r="G117" s="9" t="s">
        <v>5419</v>
      </c>
      <c r="H117" s="10" t="s">
        <v>3853</v>
      </c>
      <c r="I117" s="9"/>
      <c r="J117" s="9" t="s">
        <v>2232</v>
      </c>
      <c r="K117" s="9" t="s">
        <v>3284</v>
      </c>
    </row>
    <row r="118" customFormat="false" ht="26.85" hidden="false" customHeight="false" outlineLevel="0" collapsed="false">
      <c r="A118" s="9" t="s">
        <v>129</v>
      </c>
      <c r="B118" s="10" t="s">
        <v>134</v>
      </c>
      <c r="C118" s="9" t="s">
        <v>135</v>
      </c>
      <c r="D118" s="10" t="s">
        <v>24</v>
      </c>
      <c r="E118" s="9" t="s">
        <v>5576</v>
      </c>
      <c r="F118" s="10" t="s">
        <v>5577</v>
      </c>
      <c r="G118" s="9" t="s">
        <v>5419</v>
      </c>
      <c r="H118" s="10" t="s">
        <v>5578</v>
      </c>
      <c r="I118" s="9"/>
      <c r="J118" s="10" t="s">
        <v>3247</v>
      </c>
      <c r="K118" s="10" t="s">
        <v>3247</v>
      </c>
    </row>
    <row r="119" customFormat="false" ht="26.85" hidden="false" customHeight="false" outlineLevel="0" collapsed="false">
      <c r="A119" s="9" t="s">
        <v>129</v>
      </c>
      <c r="B119" s="10" t="s">
        <v>134</v>
      </c>
      <c r="C119" s="9" t="s">
        <v>135</v>
      </c>
      <c r="D119" s="10" t="s">
        <v>24</v>
      </c>
      <c r="E119" s="9" t="s">
        <v>5573</v>
      </c>
      <c r="F119" s="10" t="s">
        <v>3812</v>
      </c>
      <c r="G119" s="9" t="s">
        <v>5419</v>
      </c>
      <c r="H119" s="10" t="s">
        <v>3813</v>
      </c>
      <c r="I119" s="9" t="s">
        <v>136</v>
      </c>
      <c r="J119" s="9" t="s">
        <v>2232</v>
      </c>
      <c r="K119" s="9" t="s">
        <v>3284</v>
      </c>
    </row>
    <row r="120" customFormat="false" ht="26.85" hidden="false" customHeight="false" outlineLevel="0" collapsed="false">
      <c r="A120" s="9" t="s">
        <v>129</v>
      </c>
      <c r="B120" s="10" t="s">
        <v>137</v>
      </c>
      <c r="C120" s="9" t="s">
        <v>138</v>
      </c>
      <c r="D120" s="10" t="s">
        <v>27</v>
      </c>
      <c r="E120" s="9" t="s">
        <v>5579</v>
      </c>
      <c r="F120" s="10" t="s">
        <v>4099</v>
      </c>
      <c r="G120" s="9" t="s">
        <v>5419</v>
      </c>
      <c r="H120" s="10" t="s">
        <v>4100</v>
      </c>
      <c r="I120" s="9"/>
      <c r="J120" s="10" t="s">
        <v>3247</v>
      </c>
      <c r="K120" s="10" t="s">
        <v>3247</v>
      </c>
    </row>
    <row r="121" customFormat="false" ht="26.85" hidden="false" customHeight="false" outlineLevel="0" collapsed="false">
      <c r="A121" s="9" t="s">
        <v>129</v>
      </c>
      <c r="B121" s="10" t="s">
        <v>137</v>
      </c>
      <c r="C121" s="9" t="s">
        <v>138</v>
      </c>
      <c r="D121" s="10" t="s">
        <v>27</v>
      </c>
      <c r="E121" s="9" t="s">
        <v>5580</v>
      </c>
      <c r="F121" s="10" t="s">
        <v>4105</v>
      </c>
      <c r="G121" s="9" t="s">
        <v>5419</v>
      </c>
      <c r="H121" s="10" t="s">
        <v>4106</v>
      </c>
      <c r="I121" s="9"/>
      <c r="J121" s="9" t="s">
        <v>2232</v>
      </c>
      <c r="K121" s="9" t="s">
        <v>3284</v>
      </c>
    </row>
    <row r="122" customFormat="false" ht="26.85" hidden="false" customHeight="false" outlineLevel="0" collapsed="false">
      <c r="A122" s="9" t="s">
        <v>129</v>
      </c>
      <c r="B122" s="10" t="s">
        <v>137</v>
      </c>
      <c r="C122" s="9" t="s">
        <v>138</v>
      </c>
      <c r="D122" s="10" t="s">
        <v>27</v>
      </c>
      <c r="E122" s="9" t="s">
        <v>5581</v>
      </c>
      <c r="F122" s="10" t="s">
        <v>5582</v>
      </c>
      <c r="G122" s="9" t="s">
        <v>5419</v>
      </c>
      <c r="H122" s="10" t="s">
        <v>5583</v>
      </c>
      <c r="I122" s="9"/>
      <c r="J122" s="9" t="s">
        <v>2232</v>
      </c>
      <c r="K122" s="9" t="s">
        <v>3284</v>
      </c>
    </row>
    <row r="123" customFormat="false" ht="26.85" hidden="false" customHeight="false" outlineLevel="0" collapsed="false">
      <c r="A123" s="9" t="s">
        <v>129</v>
      </c>
      <c r="B123" s="10" t="s">
        <v>139</v>
      </c>
      <c r="C123" s="9" t="s">
        <v>140</v>
      </c>
      <c r="D123" s="10" t="s">
        <v>27</v>
      </c>
      <c r="E123" s="9" t="s">
        <v>5584</v>
      </c>
      <c r="F123" s="10" t="s">
        <v>4156</v>
      </c>
      <c r="G123" s="9" t="s">
        <v>5419</v>
      </c>
      <c r="H123" s="10" t="s">
        <v>4157</v>
      </c>
      <c r="I123" s="9"/>
      <c r="J123" s="10" t="s">
        <v>3247</v>
      </c>
      <c r="K123" s="10" t="s">
        <v>3247</v>
      </c>
    </row>
    <row r="124" customFormat="false" ht="26.85" hidden="false" customHeight="false" outlineLevel="0" collapsed="false">
      <c r="A124" s="9" t="s">
        <v>129</v>
      </c>
      <c r="B124" s="10" t="s">
        <v>139</v>
      </c>
      <c r="C124" s="9" t="s">
        <v>140</v>
      </c>
      <c r="D124" s="10" t="s">
        <v>27</v>
      </c>
      <c r="E124" s="9" t="s">
        <v>5585</v>
      </c>
      <c r="F124" s="10" t="s">
        <v>5586</v>
      </c>
      <c r="G124" s="9" t="s">
        <v>5419</v>
      </c>
      <c r="H124" s="10" t="s">
        <v>5587</v>
      </c>
      <c r="I124" s="9"/>
      <c r="J124" s="9" t="s">
        <v>2773</v>
      </c>
      <c r="K124" s="9" t="s">
        <v>2773</v>
      </c>
    </row>
    <row r="125" customFormat="false" ht="26.85" hidden="false" customHeight="false" outlineLevel="0" collapsed="false">
      <c r="A125" s="9" t="s">
        <v>129</v>
      </c>
      <c r="B125" s="10" t="s">
        <v>139</v>
      </c>
      <c r="C125" s="9" t="s">
        <v>140</v>
      </c>
      <c r="D125" s="10" t="s">
        <v>27</v>
      </c>
      <c r="E125" s="9" t="s">
        <v>5588</v>
      </c>
      <c r="F125" s="10" t="s">
        <v>4167</v>
      </c>
      <c r="G125" s="9" t="s">
        <v>5419</v>
      </c>
      <c r="H125" s="10" t="s">
        <v>4168</v>
      </c>
      <c r="I125" s="9"/>
      <c r="J125" s="10" t="s">
        <v>3247</v>
      </c>
      <c r="K125" s="10" t="s">
        <v>3247</v>
      </c>
    </row>
    <row r="126" customFormat="false" ht="26.85" hidden="false" customHeight="false" outlineLevel="0" collapsed="false">
      <c r="A126" s="9" t="s">
        <v>129</v>
      </c>
      <c r="B126" s="10" t="s">
        <v>142</v>
      </c>
      <c r="C126" s="9" t="s">
        <v>143</v>
      </c>
      <c r="D126" s="10" t="s">
        <v>26</v>
      </c>
      <c r="E126" s="9" t="s">
        <v>4177</v>
      </c>
      <c r="F126" s="10" t="s">
        <v>4178</v>
      </c>
      <c r="G126" s="9" t="s">
        <v>5419</v>
      </c>
      <c r="H126" s="10" t="s">
        <v>4179</v>
      </c>
      <c r="I126" s="9"/>
      <c r="J126" s="9" t="s">
        <v>2773</v>
      </c>
      <c r="K126" s="9" t="s">
        <v>2773</v>
      </c>
    </row>
    <row r="127" customFormat="false" ht="26.85" hidden="false" customHeight="false" outlineLevel="0" collapsed="false">
      <c r="A127" s="9" t="s">
        <v>129</v>
      </c>
      <c r="B127" s="10" t="s">
        <v>142</v>
      </c>
      <c r="C127" s="9" t="s">
        <v>143</v>
      </c>
      <c r="D127" s="10" t="s">
        <v>26</v>
      </c>
      <c r="E127" s="9" t="s">
        <v>4174</v>
      </c>
      <c r="F127" s="10" t="s">
        <v>4175</v>
      </c>
      <c r="G127" s="9" t="s">
        <v>5419</v>
      </c>
      <c r="H127" s="10" t="s">
        <v>4176</v>
      </c>
      <c r="I127" s="9"/>
      <c r="J127" s="9" t="s">
        <v>2773</v>
      </c>
      <c r="K127" s="9" t="s">
        <v>2773</v>
      </c>
    </row>
    <row r="128" customFormat="false" ht="26.85" hidden="false" customHeight="false" outlineLevel="0" collapsed="false">
      <c r="A128" s="9" t="s">
        <v>129</v>
      </c>
      <c r="B128" s="10" t="s">
        <v>142</v>
      </c>
      <c r="C128" s="9" t="s">
        <v>143</v>
      </c>
      <c r="D128" s="10" t="s">
        <v>26</v>
      </c>
      <c r="E128" s="9" t="s">
        <v>5589</v>
      </c>
      <c r="F128" s="10" t="s">
        <v>4102</v>
      </c>
      <c r="G128" s="9" t="s">
        <v>5419</v>
      </c>
      <c r="H128" s="10" t="s">
        <v>4103</v>
      </c>
      <c r="I128" s="9"/>
      <c r="J128" s="9" t="s">
        <v>2232</v>
      </c>
      <c r="K128" s="9" t="s">
        <v>3284</v>
      </c>
    </row>
    <row r="129" customFormat="false" ht="26.85" hidden="false" customHeight="false" outlineLevel="0" collapsed="false">
      <c r="A129" s="9" t="s">
        <v>129</v>
      </c>
      <c r="B129" s="10" t="s">
        <v>142</v>
      </c>
      <c r="C129" s="9" t="s">
        <v>143</v>
      </c>
      <c r="D129" s="10" t="s">
        <v>26</v>
      </c>
      <c r="E129" s="9" t="s">
        <v>5590</v>
      </c>
      <c r="F129" s="10" t="s">
        <v>4253</v>
      </c>
      <c r="G129" s="9" t="s">
        <v>5419</v>
      </c>
      <c r="H129" s="10" t="s">
        <v>4254</v>
      </c>
      <c r="I129" s="9"/>
      <c r="J129" s="9" t="s">
        <v>2232</v>
      </c>
      <c r="K129" s="9" t="s">
        <v>3284</v>
      </c>
    </row>
    <row r="130" customFormat="false" ht="26.85" hidden="false" customHeight="false" outlineLevel="0" collapsed="false">
      <c r="A130" s="9" t="s">
        <v>129</v>
      </c>
      <c r="B130" s="10" t="s">
        <v>144</v>
      </c>
      <c r="C130" s="9" t="s">
        <v>145</v>
      </c>
      <c r="D130" s="10" t="s">
        <v>27</v>
      </c>
      <c r="E130" s="9" t="s">
        <v>5591</v>
      </c>
      <c r="F130" s="10" t="s">
        <v>3245</v>
      </c>
      <c r="G130" s="9" t="s">
        <v>5419</v>
      </c>
      <c r="H130" s="10" t="s">
        <v>3246</v>
      </c>
      <c r="I130" s="9"/>
      <c r="J130" s="10" t="s">
        <v>3247</v>
      </c>
      <c r="K130" s="10" t="s">
        <v>3247</v>
      </c>
    </row>
    <row r="131" customFormat="false" ht="26.85" hidden="false" customHeight="false" outlineLevel="0" collapsed="false">
      <c r="A131" s="9" t="s">
        <v>129</v>
      </c>
      <c r="B131" s="10" t="s">
        <v>144</v>
      </c>
      <c r="C131" s="9" t="s">
        <v>145</v>
      </c>
      <c r="D131" s="10" t="s">
        <v>27</v>
      </c>
      <c r="E131" s="9" t="s">
        <v>5592</v>
      </c>
      <c r="F131" s="10" t="s">
        <v>5593</v>
      </c>
      <c r="G131" s="9" t="s">
        <v>5419</v>
      </c>
      <c r="H131" s="10" t="s">
        <v>5594</v>
      </c>
      <c r="I131" s="9"/>
      <c r="J131" s="10" t="s">
        <v>3247</v>
      </c>
      <c r="K131" s="10" t="s">
        <v>3247</v>
      </c>
    </row>
    <row r="132" customFormat="false" ht="26.85" hidden="false" customHeight="false" outlineLevel="0" collapsed="false">
      <c r="A132" s="9" t="s">
        <v>129</v>
      </c>
      <c r="B132" s="10" t="s">
        <v>144</v>
      </c>
      <c r="C132" s="9" t="s">
        <v>145</v>
      </c>
      <c r="D132" s="10" t="s">
        <v>27</v>
      </c>
      <c r="E132" s="9" t="s">
        <v>4431</v>
      </c>
      <c r="F132" s="10" t="s">
        <v>4432</v>
      </c>
      <c r="G132" s="9" t="s">
        <v>5419</v>
      </c>
      <c r="H132" s="10" t="s">
        <v>4433</v>
      </c>
      <c r="I132" s="9"/>
      <c r="J132" s="9" t="s">
        <v>2773</v>
      </c>
      <c r="K132" s="9" t="s">
        <v>2773</v>
      </c>
    </row>
    <row r="133" customFormat="false" ht="26.85" hidden="false" customHeight="false" outlineLevel="0" collapsed="false">
      <c r="A133" s="9" t="s">
        <v>129</v>
      </c>
      <c r="B133" s="10" t="s">
        <v>144</v>
      </c>
      <c r="C133" s="9" t="s">
        <v>145</v>
      </c>
      <c r="D133" s="10" t="s">
        <v>27</v>
      </c>
      <c r="E133" s="9" t="s">
        <v>5595</v>
      </c>
      <c r="F133" s="10" t="s">
        <v>4487</v>
      </c>
      <c r="G133" s="9" t="s">
        <v>5419</v>
      </c>
      <c r="H133" s="10" t="s">
        <v>4488</v>
      </c>
      <c r="I133" s="9"/>
      <c r="J133" s="9" t="s">
        <v>2773</v>
      </c>
      <c r="K133" s="9" t="s">
        <v>2773</v>
      </c>
    </row>
    <row r="134" customFormat="false" ht="26.85" hidden="false" customHeight="false" outlineLevel="0" collapsed="false">
      <c r="A134" s="9" t="s">
        <v>129</v>
      </c>
      <c r="B134" s="10" t="s">
        <v>146</v>
      </c>
      <c r="C134" s="9" t="s">
        <v>147</v>
      </c>
      <c r="D134" s="10" t="s">
        <v>26</v>
      </c>
      <c r="E134" s="9" t="s">
        <v>5596</v>
      </c>
      <c r="F134" s="10" t="s">
        <v>4466</v>
      </c>
      <c r="G134" s="9" t="s">
        <v>5419</v>
      </c>
      <c r="H134" s="10" t="s">
        <v>4467</v>
      </c>
      <c r="I134" s="9" t="s">
        <v>148</v>
      </c>
      <c r="J134" s="9" t="s">
        <v>2232</v>
      </c>
      <c r="K134" s="9" t="s">
        <v>3284</v>
      </c>
    </row>
    <row r="135" customFormat="false" ht="26.85" hidden="false" customHeight="false" outlineLevel="0" collapsed="false">
      <c r="A135" s="9" t="s">
        <v>129</v>
      </c>
      <c r="B135" s="10" t="s">
        <v>146</v>
      </c>
      <c r="C135" s="9" t="s">
        <v>147</v>
      </c>
      <c r="D135" s="10" t="s">
        <v>26</v>
      </c>
      <c r="E135" s="9" t="s">
        <v>5597</v>
      </c>
      <c r="F135" s="10" t="s">
        <v>4463</v>
      </c>
      <c r="G135" s="9" t="s">
        <v>5419</v>
      </c>
      <c r="H135" s="10" t="s">
        <v>4464</v>
      </c>
      <c r="I135" s="9" t="s">
        <v>148</v>
      </c>
      <c r="J135" s="9" t="s">
        <v>2232</v>
      </c>
      <c r="K135" s="9" t="s">
        <v>3284</v>
      </c>
    </row>
    <row r="136" customFormat="false" ht="39.55" hidden="false" customHeight="false" outlineLevel="0" collapsed="false">
      <c r="A136" s="9" t="s">
        <v>129</v>
      </c>
      <c r="B136" s="10" t="s">
        <v>146</v>
      </c>
      <c r="C136" s="9" t="s">
        <v>147</v>
      </c>
      <c r="D136" s="10" t="s">
        <v>26</v>
      </c>
      <c r="E136" s="9" t="s">
        <v>5598</v>
      </c>
      <c r="F136" s="10" t="s">
        <v>4472</v>
      </c>
      <c r="G136" s="9" t="s">
        <v>5419</v>
      </c>
      <c r="H136" s="10" t="s">
        <v>4473</v>
      </c>
      <c r="I136" s="9" t="s">
        <v>4474</v>
      </c>
      <c r="J136" s="9" t="s">
        <v>2232</v>
      </c>
      <c r="K136" s="9" t="s">
        <v>3284</v>
      </c>
    </row>
    <row r="137" customFormat="false" ht="26.85" hidden="false" customHeight="false" outlineLevel="0" collapsed="false">
      <c r="A137" s="9" t="s">
        <v>129</v>
      </c>
      <c r="B137" s="10" t="s">
        <v>146</v>
      </c>
      <c r="C137" s="9" t="s">
        <v>147</v>
      </c>
      <c r="D137" s="10" t="s">
        <v>26</v>
      </c>
      <c r="E137" s="9" t="s">
        <v>5599</v>
      </c>
      <c r="F137" s="10" t="s">
        <v>4403</v>
      </c>
      <c r="G137" s="9" t="s">
        <v>5419</v>
      </c>
      <c r="H137" s="10" t="s">
        <v>4404</v>
      </c>
      <c r="I137" s="9"/>
      <c r="J137" s="10" t="s">
        <v>3247</v>
      </c>
      <c r="K137" s="10" t="s">
        <v>3247</v>
      </c>
    </row>
    <row r="138" customFormat="false" ht="26.85" hidden="false" customHeight="false" outlineLevel="0" collapsed="false">
      <c r="A138" s="9" t="s">
        <v>129</v>
      </c>
      <c r="B138" s="10" t="s">
        <v>149</v>
      </c>
      <c r="C138" s="9" t="s">
        <v>150</v>
      </c>
      <c r="D138" s="10" t="s">
        <v>28</v>
      </c>
      <c r="E138" s="9" t="s">
        <v>5600</v>
      </c>
      <c r="F138" s="10" t="s">
        <v>3249</v>
      </c>
      <c r="G138" s="9" t="s">
        <v>5419</v>
      </c>
      <c r="H138" s="10" t="s">
        <v>3250</v>
      </c>
      <c r="I138" s="9"/>
      <c r="J138" s="9" t="s">
        <v>2773</v>
      </c>
      <c r="K138" s="9" t="s">
        <v>2773</v>
      </c>
    </row>
    <row r="139" customFormat="false" ht="26.85" hidden="false" customHeight="false" outlineLevel="0" collapsed="false">
      <c r="A139" s="9" t="s">
        <v>129</v>
      </c>
      <c r="B139" s="10" t="s">
        <v>149</v>
      </c>
      <c r="C139" s="9" t="s">
        <v>150</v>
      </c>
      <c r="D139" s="10" t="s">
        <v>28</v>
      </c>
      <c r="E139" s="9" t="s">
        <v>5601</v>
      </c>
      <c r="F139" s="10" t="s">
        <v>3241</v>
      </c>
      <c r="G139" s="9" t="s">
        <v>5419</v>
      </c>
      <c r="H139" s="10" t="s">
        <v>3243</v>
      </c>
      <c r="I139" s="9"/>
      <c r="J139" s="9" t="s">
        <v>2773</v>
      </c>
      <c r="K139" s="9" t="s">
        <v>2773</v>
      </c>
    </row>
    <row r="140" customFormat="false" ht="26.85" hidden="false" customHeight="false" outlineLevel="0" collapsed="false">
      <c r="A140" s="9" t="s">
        <v>129</v>
      </c>
      <c r="B140" s="10" t="s">
        <v>149</v>
      </c>
      <c r="C140" s="9" t="s">
        <v>150</v>
      </c>
      <c r="D140" s="10" t="s">
        <v>28</v>
      </c>
      <c r="E140" s="9" t="s">
        <v>5591</v>
      </c>
      <c r="F140" s="10" t="s">
        <v>3245</v>
      </c>
      <c r="G140" s="9" t="s">
        <v>5419</v>
      </c>
      <c r="H140" s="10" t="s">
        <v>3246</v>
      </c>
      <c r="I140" s="9"/>
      <c r="J140" s="10" t="s">
        <v>3247</v>
      </c>
      <c r="K140" s="10" t="s">
        <v>3247</v>
      </c>
    </row>
    <row r="141" customFormat="false" ht="26.85" hidden="false" customHeight="false" outlineLevel="0" collapsed="false">
      <c r="A141" s="9" t="s">
        <v>129</v>
      </c>
      <c r="B141" s="10" t="s">
        <v>149</v>
      </c>
      <c r="C141" s="9" t="s">
        <v>150</v>
      </c>
      <c r="D141" s="10" t="s">
        <v>28</v>
      </c>
      <c r="E141" s="9" t="s">
        <v>5602</v>
      </c>
      <c r="F141" s="10" t="s">
        <v>3252</v>
      </c>
      <c r="G141" s="9" t="s">
        <v>5419</v>
      </c>
      <c r="H141" s="10" t="s">
        <v>3253</v>
      </c>
      <c r="I141" s="9"/>
      <c r="J141" s="9" t="s">
        <v>2773</v>
      </c>
      <c r="K141" s="9" t="s">
        <v>2773</v>
      </c>
    </row>
    <row r="142" customFormat="false" ht="26.85" hidden="false" customHeight="false" outlineLevel="0" collapsed="false">
      <c r="A142" s="9" t="s">
        <v>129</v>
      </c>
      <c r="B142" s="10" t="s">
        <v>152</v>
      </c>
      <c r="C142" s="9" t="s">
        <v>153</v>
      </c>
      <c r="D142" s="10" t="s">
        <v>28</v>
      </c>
      <c r="E142" s="10" t="s">
        <v>5603</v>
      </c>
      <c r="F142" s="10" t="s">
        <v>3273</v>
      </c>
      <c r="G142" s="9" t="s">
        <v>5419</v>
      </c>
      <c r="H142" s="10" t="s">
        <v>3274</v>
      </c>
      <c r="I142" s="9"/>
      <c r="J142" s="9" t="s">
        <v>2773</v>
      </c>
      <c r="K142" s="9" t="s">
        <v>2773</v>
      </c>
    </row>
    <row r="143" customFormat="false" ht="26.85" hidden="false" customHeight="false" outlineLevel="0" collapsed="false">
      <c r="A143" s="9" t="s">
        <v>129</v>
      </c>
      <c r="B143" s="10" t="s">
        <v>152</v>
      </c>
      <c r="C143" s="9" t="s">
        <v>153</v>
      </c>
      <c r="D143" s="10" t="s">
        <v>28</v>
      </c>
      <c r="E143" s="10" t="s">
        <v>5604</v>
      </c>
      <c r="F143" s="10" t="s">
        <v>5605</v>
      </c>
      <c r="G143" s="9" t="s">
        <v>5419</v>
      </c>
      <c r="H143" s="10" t="s">
        <v>5606</v>
      </c>
      <c r="I143" s="9"/>
      <c r="J143" s="9" t="s">
        <v>2773</v>
      </c>
      <c r="K143" s="9" t="s">
        <v>2773</v>
      </c>
    </row>
    <row r="144" customFormat="false" ht="26.85" hidden="false" customHeight="false" outlineLevel="0" collapsed="false">
      <c r="A144" s="9" t="s">
        <v>129</v>
      </c>
      <c r="B144" s="10" t="s">
        <v>155</v>
      </c>
      <c r="C144" s="9" t="s">
        <v>156</v>
      </c>
      <c r="D144" s="10" t="s">
        <v>24</v>
      </c>
      <c r="E144" s="9" t="s">
        <v>5607</v>
      </c>
      <c r="F144" s="10" t="s">
        <v>4285</v>
      </c>
      <c r="G144" s="9" t="s">
        <v>5419</v>
      </c>
      <c r="H144" s="10" t="s">
        <v>4286</v>
      </c>
      <c r="I144" s="9"/>
      <c r="J144" s="9" t="s">
        <v>2232</v>
      </c>
      <c r="K144" s="9" t="s">
        <v>3284</v>
      </c>
    </row>
    <row r="145" customFormat="false" ht="26.85" hidden="false" customHeight="false" outlineLevel="0" collapsed="false">
      <c r="A145" s="9" t="s">
        <v>129</v>
      </c>
      <c r="B145" s="10" t="s">
        <v>155</v>
      </c>
      <c r="C145" s="9" t="s">
        <v>156</v>
      </c>
      <c r="D145" s="10" t="s">
        <v>24</v>
      </c>
      <c r="E145" s="9" t="s">
        <v>4265</v>
      </c>
      <c r="F145" s="10" t="s">
        <v>4266</v>
      </c>
      <c r="G145" s="9" t="s">
        <v>5419</v>
      </c>
      <c r="H145" s="10" t="s">
        <v>4267</v>
      </c>
      <c r="I145" s="9"/>
      <c r="J145" s="9" t="s">
        <v>2232</v>
      </c>
      <c r="K145" s="9" t="s">
        <v>3284</v>
      </c>
    </row>
    <row r="146" customFormat="false" ht="26.85" hidden="false" customHeight="false" outlineLevel="0" collapsed="false">
      <c r="A146" s="9" t="s">
        <v>129</v>
      </c>
      <c r="B146" s="10" t="s">
        <v>155</v>
      </c>
      <c r="C146" s="9" t="s">
        <v>156</v>
      </c>
      <c r="D146" s="10" t="s">
        <v>24</v>
      </c>
      <c r="E146" s="9" t="s">
        <v>5608</v>
      </c>
      <c r="F146" s="10" t="s">
        <v>5609</v>
      </c>
      <c r="G146" s="9" t="s">
        <v>5419</v>
      </c>
      <c r="H146" s="10" t="s">
        <v>5610</v>
      </c>
      <c r="I146" s="9"/>
      <c r="J146" s="9" t="s">
        <v>2232</v>
      </c>
      <c r="K146" s="9" t="s">
        <v>3284</v>
      </c>
    </row>
    <row r="147" customFormat="false" ht="26.85" hidden="false" customHeight="false" outlineLevel="0" collapsed="false">
      <c r="A147" s="9" t="s">
        <v>129</v>
      </c>
      <c r="B147" s="10" t="s">
        <v>155</v>
      </c>
      <c r="C147" s="9" t="s">
        <v>156</v>
      </c>
      <c r="D147" s="10" t="s">
        <v>24</v>
      </c>
      <c r="E147" s="9" t="s">
        <v>4291</v>
      </c>
      <c r="F147" s="10" t="s">
        <v>4292</v>
      </c>
      <c r="G147" s="9" t="s">
        <v>5419</v>
      </c>
      <c r="H147" s="10" t="s">
        <v>4293</v>
      </c>
      <c r="I147" s="9"/>
      <c r="J147" s="9" t="s">
        <v>2232</v>
      </c>
      <c r="K147" s="9" t="s">
        <v>3284</v>
      </c>
    </row>
    <row r="148" customFormat="false" ht="26.85" hidden="false" customHeight="false" outlineLevel="0" collapsed="false">
      <c r="A148" s="9" t="s">
        <v>129</v>
      </c>
      <c r="B148" s="10" t="s">
        <v>157</v>
      </c>
      <c r="C148" s="9" t="s">
        <v>158</v>
      </c>
      <c r="D148" s="10" t="s">
        <v>25</v>
      </c>
      <c r="E148" s="9" t="s">
        <v>5611</v>
      </c>
      <c r="F148" s="10" t="s">
        <v>4354</v>
      </c>
      <c r="G148" s="9" t="s">
        <v>5419</v>
      </c>
      <c r="H148" s="10" t="s">
        <v>4355</v>
      </c>
      <c r="I148" s="9"/>
      <c r="J148" s="9" t="s">
        <v>2232</v>
      </c>
      <c r="K148" s="9" t="s">
        <v>3284</v>
      </c>
    </row>
    <row r="149" customFormat="false" ht="26.85" hidden="false" customHeight="false" outlineLevel="0" collapsed="false">
      <c r="A149" s="9" t="s">
        <v>129</v>
      </c>
      <c r="B149" s="10" t="s">
        <v>157</v>
      </c>
      <c r="C149" s="9" t="s">
        <v>158</v>
      </c>
      <c r="D149" s="10" t="s">
        <v>25</v>
      </c>
      <c r="E149" s="9" t="s">
        <v>5612</v>
      </c>
      <c r="F149" s="10" t="s">
        <v>4281</v>
      </c>
      <c r="G149" s="9" t="s">
        <v>5419</v>
      </c>
      <c r="H149" s="10" t="s">
        <v>4282</v>
      </c>
      <c r="I149" s="9"/>
      <c r="J149" s="10" t="s">
        <v>3247</v>
      </c>
      <c r="K149" s="10" t="s">
        <v>3247</v>
      </c>
    </row>
    <row r="150" customFormat="false" ht="26.85" hidden="false" customHeight="false" outlineLevel="0" collapsed="false">
      <c r="A150" s="9" t="s">
        <v>129</v>
      </c>
      <c r="B150" s="10" t="s">
        <v>157</v>
      </c>
      <c r="C150" s="9" t="s">
        <v>158</v>
      </c>
      <c r="D150" s="10" t="s">
        <v>25</v>
      </c>
      <c r="E150" s="9" t="s">
        <v>4222</v>
      </c>
      <c r="F150" s="10" t="s">
        <v>4223</v>
      </c>
      <c r="G150" s="9" t="s">
        <v>5419</v>
      </c>
      <c r="H150" s="10" t="s">
        <v>4224</v>
      </c>
      <c r="I150" s="9"/>
      <c r="J150" s="10" t="s">
        <v>3247</v>
      </c>
      <c r="K150" s="10" t="s">
        <v>3247</v>
      </c>
    </row>
    <row r="151" customFormat="false" ht="26.85" hidden="false" customHeight="false" outlineLevel="0" collapsed="false">
      <c r="A151" s="9" t="s">
        <v>129</v>
      </c>
      <c r="B151" s="10" t="s">
        <v>159</v>
      </c>
      <c r="C151" s="9" t="s">
        <v>160</v>
      </c>
      <c r="D151" s="10" t="s">
        <v>25</v>
      </c>
      <c r="E151" s="9" t="s">
        <v>5613</v>
      </c>
      <c r="F151" s="10" t="s">
        <v>4274</v>
      </c>
      <c r="G151" s="9" t="s">
        <v>5419</v>
      </c>
      <c r="H151" s="10" t="s">
        <v>4275</v>
      </c>
      <c r="I151" s="9"/>
      <c r="J151" s="10" t="s">
        <v>3247</v>
      </c>
      <c r="K151" s="10" t="s">
        <v>3247</v>
      </c>
    </row>
    <row r="152" customFormat="false" ht="26.85" hidden="false" customHeight="false" outlineLevel="0" collapsed="false">
      <c r="A152" s="9" t="s">
        <v>129</v>
      </c>
      <c r="B152" s="10" t="s">
        <v>159</v>
      </c>
      <c r="C152" s="9" t="s">
        <v>160</v>
      </c>
      <c r="D152" s="10" t="s">
        <v>25</v>
      </c>
      <c r="E152" s="9" t="s">
        <v>5612</v>
      </c>
      <c r="F152" s="10" t="s">
        <v>4281</v>
      </c>
      <c r="G152" s="9" t="s">
        <v>5419</v>
      </c>
      <c r="H152" s="10" t="s">
        <v>4282</v>
      </c>
      <c r="I152" s="9"/>
      <c r="J152" s="10" t="s">
        <v>3247</v>
      </c>
      <c r="K152" s="10" t="s">
        <v>3247</v>
      </c>
    </row>
    <row r="153" customFormat="false" ht="26.85" hidden="false" customHeight="false" outlineLevel="0" collapsed="false">
      <c r="A153" s="9" t="s">
        <v>129</v>
      </c>
      <c r="B153" s="10" t="s">
        <v>159</v>
      </c>
      <c r="C153" s="9" t="s">
        <v>160</v>
      </c>
      <c r="D153" s="10" t="s">
        <v>25</v>
      </c>
      <c r="E153" s="9" t="s">
        <v>5614</v>
      </c>
      <c r="F153" s="10" t="s">
        <v>4277</v>
      </c>
      <c r="G153" s="9" t="s">
        <v>5419</v>
      </c>
      <c r="H153" s="10" t="s">
        <v>4278</v>
      </c>
      <c r="I153" s="9" t="s">
        <v>161</v>
      </c>
      <c r="J153" s="10" t="s">
        <v>3247</v>
      </c>
      <c r="K153" s="10" t="s">
        <v>3247</v>
      </c>
    </row>
    <row r="154" customFormat="false" ht="26.85" hidden="false" customHeight="false" outlineLevel="0" collapsed="false">
      <c r="A154" s="9" t="s">
        <v>129</v>
      </c>
      <c r="B154" s="10" t="s">
        <v>162</v>
      </c>
      <c r="C154" s="9" t="s">
        <v>163</v>
      </c>
      <c r="D154" s="10" t="s">
        <v>24</v>
      </c>
      <c r="E154" s="9" t="s">
        <v>5615</v>
      </c>
      <c r="F154" s="10" t="s">
        <v>4125</v>
      </c>
      <c r="G154" s="9" t="s">
        <v>5419</v>
      </c>
      <c r="H154" s="10" t="s">
        <v>4126</v>
      </c>
      <c r="I154" s="9"/>
      <c r="J154" s="10" t="s">
        <v>3247</v>
      </c>
      <c r="K154" s="10" t="s">
        <v>3247</v>
      </c>
    </row>
    <row r="155" customFormat="false" ht="26.85" hidden="false" customHeight="false" outlineLevel="0" collapsed="false">
      <c r="A155" s="9" t="s">
        <v>129</v>
      </c>
      <c r="B155" s="10" t="s">
        <v>162</v>
      </c>
      <c r="C155" s="9" t="s">
        <v>163</v>
      </c>
      <c r="D155" s="10" t="s">
        <v>24</v>
      </c>
      <c r="E155" s="9" t="s">
        <v>5616</v>
      </c>
      <c r="F155" s="10" t="s">
        <v>5617</v>
      </c>
      <c r="G155" s="9" t="s">
        <v>5419</v>
      </c>
      <c r="H155" s="10" t="s">
        <v>5618</v>
      </c>
      <c r="I155" s="9"/>
      <c r="J155" s="10" t="s">
        <v>3247</v>
      </c>
      <c r="K155" s="10" t="s">
        <v>3247</v>
      </c>
    </row>
    <row r="156" customFormat="false" ht="26.85" hidden="false" customHeight="false" outlineLevel="0" collapsed="false">
      <c r="A156" s="9" t="s">
        <v>129</v>
      </c>
      <c r="B156" s="10" t="s">
        <v>164</v>
      </c>
      <c r="C156" s="9" t="s">
        <v>165</v>
      </c>
      <c r="D156" s="10" t="s">
        <v>27</v>
      </c>
      <c r="E156" s="9" t="s">
        <v>5619</v>
      </c>
      <c r="F156" s="10" t="s">
        <v>4198</v>
      </c>
      <c r="G156" s="9" t="s">
        <v>5419</v>
      </c>
      <c r="H156" s="10" t="s">
        <v>4199</v>
      </c>
      <c r="I156" s="9"/>
      <c r="J156" s="10" t="s">
        <v>3247</v>
      </c>
      <c r="K156" s="10" t="s">
        <v>3247</v>
      </c>
    </row>
    <row r="157" customFormat="false" ht="26.85" hidden="false" customHeight="false" outlineLevel="0" collapsed="false">
      <c r="A157" s="9" t="s">
        <v>129</v>
      </c>
      <c r="B157" s="10" t="s">
        <v>164</v>
      </c>
      <c r="C157" s="9" t="s">
        <v>165</v>
      </c>
      <c r="D157" s="10" t="s">
        <v>27</v>
      </c>
      <c r="E157" s="9" t="s">
        <v>5043</v>
      </c>
      <c r="F157" s="10" t="s">
        <v>4112</v>
      </c>
      <c r="G157" s="9" t="s">
        <v>5419</v>
      </c>
      <c r="H157" s="10" t="s">
        <v>4113</v>
      </c>
      <c r="I157" s="9"/>
      <c r="J157" s="10" t="s">
        <v>3247</v>
      </c>
      <c r="K157" s="10" t="s">
        <v>3247</v>
      </c>
    </row>
    <row r="158" customFormat="false" ht="26.85" hidden="false" customHeight="false" outlineLevel="0" collapsed="false">
      <c r="A158" s="9" t="s">
        <v>129</v>
      </c>
      <c r="B158" s="10" t="s">
        <v>164</v>
      </c>
      <c r="C158" s="9" t="s">
        <v>165</v>
      </c>
      <c r="D158" s="10" t="s">
        <v>27</v>
      </c>
      <c r="E158" s="9" t="s">
        <v>5620</v>
      </c>
      <c r="F158" s="10" t="s">
        <v>4234</v>
      </c>
      <c r="G158" s="9" t="s">
        <v>5419</v>
      </c>
      <c r="H158" s="10" t="s">
        <v>4235</v>
      </c>
      <c r="I158" s="9"/>
      <c r="J158" s="9" t="s">
        <v>2232</v>
      </c>
      <c r="K158" s="9" t="s">
        <v>3284</v>
      </c>
    </row>
    <row r="159" customFormat="false" ht="26.85" hidden="false" customHeight="false" outlineLevel="0" collapsed="false">
      <c r="A159" s="9" t="s">
        <v>129</v>
      </c>
      <c r="B159" s="10" t="s">
        <v>164</v>
      </c>
      <c r="C159" s="9" t="s">
        <v>165</v>
      </c>
      <c r="D159" s="10" t="s">
        <v>27</v>
      </c>
      <c r="E159" s="9" t="s">
        <v>5621</v>
      </c>
      <c r="F159" s="10" t="s">
        <v>4212</v>
      </c>
      <c r="G159" s="9" t="s">
        <v>5419</v>
      </c>
      <c r="H159" s="10" t="s">
        <v>4213</v>
      </c>
      <c r="I159" s="9"/>
      <c r="J159" s="9" t="s">
        <v>2232</v>
      </c>
      <c r="K159" s="9" t="s">
        <v>3284</v>
      </c>
    </row>
    <row r="160" customFormat="false" ht="26.85" hidden="false" customHeight="false" outlineLevel="0" collapsed="false">
      <c r="A160" s="9" t="s">
        <v>129</v>
      </c>
      <c r="B160" s="10" t="s">
        <v>167</v>
      </c>
      <c r="C160" s="9" t="s">
        <v>168</v>
      </c>
      <c r="D160" s="10" t="s">
        <v>24</v>
      </c>
      <c r="E160" s="9" t="s">
        <v>5622</v>
      </c>
      <c r="F160" s="10" t="s">
        <v>5623</v>
      </c>
      <c r="G160" s="9" t="s">
        <v>5419</v>
      </c>
      <c r="H160" s="10" t="s">
        <v>5624</v>
      </c>
      <c r="I160" s="9"/>
      <c r="J160" s="9" t="s">
        <v>2662</v>
      </c>
      <c r="K160" s="9" t="s">
        <v>2662</v>
      </c>
    </row>
    <row r="161" customFormat="false" ht="26.85" hidden="false" customHeight="false" outlineLevel="0" collapsed="false">
      <c r="A161" s="9" t="s">
        <v>129</v>
      </c>
      <c r="B161" s="10" t="s">
        <v>167</v>
      </c>
      <c r="C161" s="9" t="s">
        <v>168</v>
      </c>
      <c r="D161" s="10" t="s">
        <v>24</v>
      </c>
      <c r="E161" s="9" t="s">
        <v>4313</v>
      </c>
      <c r="F161" s="10" t="s">
        <v>4314</v>
      </c>
      <c r="G161" s="9" t="s">
        <v>5419</v>
      </c>
      <c r="H161" s="10" t="s">
        <v>4315</v>
      </c>
      <c r="I161" s="9"/>
      <c r="J161" s="9" t="s">
        <v>3039</v>
      </c>
      <c r="K161" s="9" t="s">
        <v>3039</v>
      </c>
    </row>
    <row r="162" customFormat="false" ht="26.85" hidden="false" customHeight="false" outlineLevel="0" collapsed="false">
      <c r="A162" s="9" t="s">
        <v>129</v>
      </c>
      <c r="B162" s="10" t="s">
        <v>167</v>
      </c>
      <c r="C162" s="9" t="s">
        <v>168</v>
      </c>
      <c r="D162" s="10" t="s">
        <v>24</v>
      </c>
      <c r="E162" s="9" t="s">
        <v>5625</v>
      </c>
      <c r="F162" s="10" t="s">
        <v>4317</v>
      </c>
      <c r="G162" s="9" t="s">
        <v>5419</v>
      </c>
      <c r="H162" s="10" t="s">
        <v>4318</v>
      </c>
      <c r="I162" s="9"/>
      <c r="J162" s="9" t="s">
        <v>3039</v>
      </c>
      <c r="K162" s="9" t="s">
        <v>3039</v>
      </c>
    </row>
    <row r="163" customFormat="false" ht="26.85" hidden="false" customHeight="false" outlineLevel="0" collapsed="false">
      <c r="A163" s="9" t="s">
        <v>129</v>
      </c>
      <c r="B163" s="10" t="s">
        <v>167</v>
      </c>
      <c r="C163" s="9" t="s">
        <v>168</v>
      </c>
      <c r="D163" s="10" t="s">
        <v>24</v>
      </c>
      <c r="E163" s="9" t="s">
        <v>5626</v>
      </c>
      <c r="F163" s="10" t="s">
        <v>5617</v>
      </c>
      <c r="G163" s="9" t="s">
        <v>5419</v>
      </c>
      <c r="H163" s="10" t="s">
        <v>5618</v>
      </c>
      <c r="I163" s="9"/>
      <c r="J163" s="10" t="s">
        <v>3247</v>
      </c>
      <c r="K163" s="10" t="s">
        <v>3247</v>
      </c>
    </row>
    <row r="164" customFormat="false" ht="26.85" hidden="false" customHeight="false" outlineLevel="0" collapsed="false">
      <c r="A164" s="9" t="s">
        <v>170</v>
      </c>
      <c r="B164" s="10" t="s">
        <v>171</v>
      </c>
      <c r="C164" s="9" t="s">
        <v>172</v>
      </c>
      <c r="D164" s="10" t="s">
        <v>27</v>
      </c>
      <c r="E164" s="9" t="s">
        <v>5627</v>
      </c>
      <c r="F164" s="10" t="s">
        <v>4942</v>
      </c>
      <c r="G164" s="9" t="s">
        <v>5419</v>
      </c>
      <c r="H164" s="10" t="s">
        <v>4943</v>
      </c>
      <c r="I164" s="9"/>
      <c r="J164" s="10" t="s">
        <v>3247</v>
      </c>
      <c r="K164" s="10" t="s">
        <v>3247</v>
      </c>
    </row>
    <row r="165" customFormat="false" ht="26.85" hidden="false" customHeight="false" outlineLevel="0" collapsed="false">
      <c r="A165" s="9" t="s">
        <v>170</v>
      </c>
      <c r="B165" s="10" t="s">
        <v>171</v>
      </c>
      <c r="C165" s="9" t="s">
        <v>172</v>
      </c>
      <c r="D165" s="10" t="s">
        <v>27</v>
      </c>
      <c r="E165" s="9" t="s">
        <v>4944</v>
      </c>
      <c r="F165" s="10" t="s">
        <v>4945</v>
      </c>
      <c r="G165" s="9" t="s">
        <v>5419</v>
      </c>
      <c r="H165" s="10" t="s">
        <v>4946</v>
      </c>
      <c r="I165" s="9"/>
      <c r="J165" s="10" t="s">
        <v>3247</v>
      </c>
      <c r="K165" s="10" t="s">
        <v>3247</v>
      </c>
    </row>
    <row r="166" customFormat="false" ht="26.85" hidden="false" customHeight="false" outlineLevel="0" collapsed="false">
      <c r="A166" s="9" t="s">
        <v>170</v>
      </c>
      <c r="B166" s="10" t="s">
        <v>171</v>
      </c>
      <c r="C166" s="9" t="s">
        <v>172</v>
      </c>
      <c r="D166" s="10" t="s">
        <v>27</v>
      </c>
      <c r="E166" s="9" t="s">
        <v>5628</v>
      </c>
      <c r="F166" s="10" t="s">
        <v>4955</v>
      </c>
      <c r="G166" s="9" t="s">
        <v>5419</v>
      </c>
      <c r="H166" s="10" t="s">
        <v>4956</v>
      </c>
      <c r="I166" s="9"/>
      <c r="J166" s="9" t="s">
        <v>2232</v>
      </c>
      <c r="K166" s="9" t="s">
        <v>3284</v>
      </c>
    </row>
    <row r="167" customFormat="false" ht="26.85" hidden="false" customHeight="false" outlineLevel="0" collapsed="false">
      <c r="A167" s="9" t="s">
        <v>170</v>
      </c>
      <c r="B167" s="10" t="s">
        <v>171</v>
      </c>
      <c r="C167" s="9" t="s">
        <v>172</v>
      </c>
      <c r="D167" s="10" t="s">
        <v>27</v>
      </c>
      <c r="E167" s="9" t="s">
        <v>5629</v>
      </c>
      <c r="F167" s="10" t="s">
        <v>4967</v>
      </c>
      <c r="G167" s="9" t="s">
        <v>5419</v>
      </c>
      <c r="H167" s="10" t="s">
        <v>4968</v>
      </c>
      <c r="I167" s="9"/>
      <c r="J167" s="10" t="s">
        <v>3247</v>
      </c>
      <c r="K167" s="10" t="s">
        <v>3247</v>
      </c>
    </row>
    <row r="168" customFormat="false" ht="26.85" hidden="false" customHeight="false" outlineLevel="0" collapsed="false">
      <c r="A168" s="9" t="s">
        <v>170</v>
      </c>
      <c r="B168" s="10" t="s">
        <v>174</v>
      </c>
      <c r="C168" s="9" t="s">
        <v>175</v>
      </c>
      <c r="D168" s="10" t="s">
        <v>25</v>
      </c>
      <c r="E168" s="9" t="s">
        <v>2434</v>
      </c>
      <c r="F168" s="10" t="s">
        <v>4990</v>
      </c>
      <c r="G168" s="9" t="s">
        <v>5419</v>
      </c>
      <c r="H168" s="10" t="s">
        <v>4991</v>
      </c>
      <c r="I168" s="9"/>
      <c r="J168" s="9" t="s">
        <v>2232</v>
      </c>
      <c r="K168" s="9" t="s">
        <v>3284</v>
      </c>
    </row>
    <row r="169" customFormat="false" ht="26.85" hidden="false" customHeight="false" outlineLevel="0" collapsed="false">
      <c r="A169" s="9" t="s">
        <v>170</v>
      </c>
      <c r="B169" s="10" t="s">
        <v>174</v>
      </c>
      <c r="C169" s="9" t="s">
        <v>175</v>
      </c>
      <c r="D169" s="10" t="s">
        <v>25</v>
      </c>
      <c r="E169" s="9" t="s">
        <v>5630</v>
      </c>
      <c r="F169" s="10" t="s">
        <v>5060</v>
      </c>
      <c r="G169" s="9" t="s">
        <v>5419</v>
      </c>
      <c r="H169" s="10" t="s">
        <v>5061</v>
      </c>
      <c r="I169" s="9"/>
      <c r="J169" s="10" t="s">
        <v>3247</v>
      </c>
      <c r="K169" s="10" t="s">
        <v>3247</v>
      </c>
    </row>
    <row r="170" customFormat="false" ht="26.85" hidden="false" customHeight="false" outlineLevel="0" collapsed="false">
      <c r="A170" s="9" t="s">
        <v>170</v>
      </c>
      <c r="B170" s="10" t="s">
        <v>174</v>
      </c>
      <c r="C170" s="9" t="s">
        <v>175</v>
      </c>
      <c r="D170" s="10" t="s">
        <v>25</v>
      </c>
      <c r="E170" s="9" t="s">
        <v>5631</v>
      </c>
      <c r="F170" s="10" t="s">
        <v>4995</v>
      </c>
      <c r="G170" s="9" t="s">
        <v>5419</v>
      </c>
      <c r="H170" s="10" t="s">
        <v>4996</v>
      </c>
      <c r="I170" s="9"/>
      <c r="J170" s="9" t="s">
        <v>2232</v>
      </c>
      <c r="K170" s="9" t="s">
        <v>3284</v>
      </c>
    </row>
    <row r="171" customFormat="false" ht="26.85" hidden="false" customHeight="false" outlineLevel="0" collapsed="false">
      <c r="A171" s="9" t="s">
        <v>170</v>
      </c>
      <c r="B171" s="10" t="s">
        <v>177</v>
      </c>
      <c r="C171" s="9" t="s">
        <v>178</v>
      </c>
      <c r="D171" s="10" t="s">
        <v>24</v>
      </c>
      <c r="E171" s="9" t="s">
        <v>4992</v>
      </c>
      <c r="F171" s="10" t="s">
        <v>3027</v>
      </c>
      <c r="G171" s="9" t="s">
        <v>5419</v>
      </c>
      <c r="H171" s="10" t="s">
        <v>4993</v>
      </c>
      <c r="I171" s="9"/>
      <c r="J171" s="10" t="s">
        <v>3247</v>
      </c>
      <c r="K171" s="10" t="s">
        <v>3247</v>
      </c>
    </row>
    <row r="172" customFormat="false" ht="26.85" hidden="false" customHeight="false" outlineLevel="0" collapsed="false">
      <c r="A172" s="9" t="s">
        <v>170</v>
      </c>
      <c r="B172" s="10" t="s">
        <v>177</v>
      </c>
      <c r="C172" s="9" t="s">
        <v>178</v>
      </c>
      <c r="D172" s="10" t="s">
        <v>24</v>
      </c>
      <c r="E172" s="9" t="s">
        <v>5632</v>
      </c>
      <c r="F172" s="10" t="s">
        <v>5194</v>
      </c>
      <c r="G172" s="9" t="s">
        <v>5419</v>
      </c>
      <c r="H172" s="10" t="s">
        <v>5195</v>
      </c>
      <c r="I172" s="9"/>
      <c r="J172" s="9" t="s">
        <v>3062</v>
      </c>
      <c r="K172" s="9" t="s">
        <v>3062</v>
      </c>
    </row>
    <row r="173" customFormat="false" ht="26.85" hidden="false" customHeight="false" outlineLevel="0" collapsed="false">
      <c r="A173" s="9" t="s">
        <v>170</v>
      </c>
      <c r="B173" s="10" t="s">
        <v>179</v>
      </c>
      <c r="C173" s="9" t="s">
        <v>180</v>
      </c>
      <c r="D173" s="10" t="s">
        <v>28</v>
      </c>
      <c r="E173" s="9" t="s">
        <v>5633</v>
      </c>
      <c r="F173" s="10" t="s">
        <v>3299</v>
      </c>
      <c r="G173" s="9" t="s">
        <v>5419</v>
      </c>
      <c r="H173" s="10" t="s">
        <v>3300</v>
      </c>
      <c r="I173" s="9"/>
      <c r="J173" s="9" t="s">
        <v>2773</v>
      </c>
      <c r="K173" s="9" t="s">
        <v>2773</v>
      </c>
    </row>
    <row r="174" customFormat="false" ht="26.85" hidden="false" customHeight="false" outlineLevel="0" collapsed="false">
      <c r="A174" s="9" t="s">
        <v>170</v>
      </c>
      <c r="B174" s="10" t="s">
        <v>179</v>
      </c>
      <c r="C174" s="9" t="s">
        <v>180</v>
      </c>
      <c r="D174" s="10" t="s">
        <v>28</v>
      </c>
      <c r="E174" s="9" t="s">
        <v>5634</v>
      </c>
      <c r="F174" s="10" t="s">
        <v>3302</v>
      </c>
      <c r="G174" s="9" t="s">
        <v>5419</v>
      </c>
      <c r="H174" s="10" t="s">
        <v>3303</v>
      </c>
      <c r="I174" s="9"/>
      <c r="J174" s="9" t="s">
        <v>2773</v>
      </c>
      <c r="K174" s="9" t="s">
        <v>2773</v>
      </c>
    </row>
    <row r="175" customFormat="false" ht="26.85" hidden="false" customHeight="false" outlineLevel="0" collapsed="false">
      <c r="A175" s="9" t="s">
        <v>170</v>
      </c>
      <c r="B175" s="10" t="s">
        <v>179</v>
      </c>
      <c r="C175" s="9" t="s">
        <v>180</v>
      </c>
      <c r="D175" s="10" t="s">
        <v>28</v>
      </c>
      <c r="E175" s="9" t="s">
        <v>5635</v>
      </c>
      <c r="F175" s="10" t="s">
        <v>4938</v>
      </c>
      <c r="G175" s="9" t="s">
        <v>5419</v>
      </c>
      <c r="H175" s="10" t="s">
        <v>4939</v>
      </c>
      <c r="I175" s="9"/>
      <c r="J175" s="9" t="s">
        <v>2773</v>
      </c>
      <c r="K175" s="9" t="s">
        <v>2773</v>
      </c>
    </row>
    <row r="176" customFormat="false" ht="26.85" hidden="false" customHeight="false" outlineLevel="0" collapsed="false">
      <c r="A176" s="9" t="s">
        <v>170</v>
      </c>
      <c r="B176" s="10" t="s">
        <v>181</v>
      </c>
      <c r="C176" s="9" t="s">
        <v>182</v>
      </c>
      <c r="D176" s="10" t="s">
        <v>26</v>
      </c>
      <c r="E176" s="9" t="s">
        <v>5636</v>
      </c>
      <c r="F176" s="10" t="s">
        <v>5057</v>
      </c>
      <c r="G176" s="9" t="s">
        <v>5419</v>
      </c>
      <c r="H176" s="10" t="s">
        <v>5058</v>
      </c>
      <c r="I176" s="9"/>
      <c r="J176" s="10" t="s">
        <v>3247</v>
      </c>
      <c r="K176" s="10" t="s">
        <v>3247</v>
      </c>
    </row>
    <row r="177" customFormat="false" ht="26.85" hidden="false" customHeight="false" outlineLevel="0" collapsed="false">
      <c r="A177" s="9" t="s">
        <v>170</v>
      </c>
      <c r="B177" s="10" t="s">
        <v>181</v>
      </c>
      <c r="C177" s="9" t="s">
        <v>182</v>
      </c>
      <c r="D177" s="10" t="s">
        <v>26</v>
      </c>
      <c r="E177" s="9" t="s">
        <v>5637</v>
      </c>
      <c r="F177" s="10" t="s">
        <v>5638</v>
      </c>
      <c r="G177" s="9" t="s">
        <v>5419</v>
      </c>
      <c r="H177" s="10" t="s">
        <v>5639</v>
      </c>
      <c r="I177" s="9"/>
      <c r="J177" s="10" t="s">
        <v>3247</v>
      </c>
      <c r="K177" s="10" t="s">
        <v>3247</v>
      </c>
    </row>
    <row r="178" customFormat="false" ht="26.85" hidden="false" customHeight="false" outlineLevel="0" collapsed="false">
      <c r="A178" s="9" t="s">
        <v>170</v>
      </c>
      <c r="B178" s="10" t="s">
        <v>184</v>
      </c>
      <c r="C178" s="9" t="s">
        <v>185</v>
      </c>
      <c r="D178" s="10" t="s">
        <v>25</v>
      </c>
      <c r="E178" s="9" t="s">
        <v>5640</v>
      </c>
      <c r="F178" s="10" t="s">
        <v>3099</v>
      </c>
      <c r="G178" s="9" t="s">
        <v>5419</v>
      </c>
      <c r="H178" s="10" t="s">
        <v>4984</v>
      </c>
      <c r="I178" s="9" t="s">
        <v>5641</v>
      </c>
      <c r="J178" s="9" t="s">
        <v>3062</v>
      </c>
      <c r="K178" s="9" t="s">
        <v>3062</v>
      </c>
    </row>
    <row r="179" customFormat="false" ht="26.85" hidden="false" customHeight="false" outlineLevel="0" collapsed="false">
      <c r="A179" s="9" t="s">
        <v>170</v>
      </c>
      <c r="B179" s="10" t="s">
        <v>184</v>
      </c>
      <c r="C179" s="9" t="s">
        <v>185</v>
      </c>
      <c r="D179" s="10" t="s">
        <v>25</v>
      </c>
      <c r="E179" s="9" t="s">
        <v>5642</v>
      </c>
      <c r="F179" s="10" t="s">
        <v>3105</v>
      </c>
      <c r="G179" s="9" t="s">
        <v>5419</v>
      </c>
      <c r="H179" s="10" t="s">
        <v>5086</v>
      </c>
      <c r="I179" s="9"/>
      <c r="J179" s="9" t="s">
        <v>3062</v>
      </c>
      <c r="K179" s="9" t="s">
        <v>3062</v>
      </c>
    </row>
    <row r="180" customFormat="false" ht="26.85" hidden="false" customHeight="false" outlineLevel="0" collapsed="false">
      <c r="A180" s="9" t="s">
        <v>170</v>
      </c>
      <c r="B180" s="10" t="s">
        <v>184</v>
      </c>
      <c r="C180" s="9" t="s">
        <v>185</v>
      </c>
      <c r="D180" s="10" t="s">
        <v>25</v>
      </c>
      <c r="E180" s="9" t="s">
        <v>5643</v>
      </c>
      <c r="F180" s="10" t="s">
        <v>5644</v>
      </c>
      <c r="G180" s="9" t="s">
        <v>5419</v>
      </c>
      <c r="H180" s="10" t="s">
        <v>5645</v>
      </c>
      <c r="I180" s="9"/>
      <c r="J180" s="10" t="s">
        <v>3247</v>
      </c>
      <c r="K180" s="10" t="s">
        <v>3247</v>
      </c>
    </row>
    <row r="181" customFormat="false" ht="26.85" hidden="false" customHeight="false" outlineLevel="0" collapsed="false">
      <c r="A181" s="9" t="s">
        <v>170</v>
      </c>
      <c r="B181" s="10" t="s">
        <v>184</v>
      </c>
      <c r="C181" s="9" t="s">
        <v>185</v>
      </c>
      <c r="D181" s="10" t="s">
        <v>25</v>
      </c>
      <c r="E181" s="9" t="s">
        <v>5646</v>
      </c>
      <c r="F181" s="10" t="s">
        <v>2581</v>
      </c>
      <c r="G181" s="9" t="s">
        <v>5419</v>
      </c>
      <c r="H181" s="10" t="s">
        <v>5092</v>
      </c>
      <c r="I181" s="9"/>
      <c r="J181" s="9" t="s">
        <v>3039</v>
      </c>
      <c r="K181" s="9" t="s">
        <v>3039</v>
      </c>
    </row>
    <row r="182" customFormat="false" ht="26.85" hidden="false" customHeight="false" outlineLevel="0" collapsed="false">
      <c r="A182" s="9" t="s">
        <v>170</v>
      </c>
      <c r="B182" s="10" t="s">
        <v>186</v>
      </c>
      <c r="C182" s="9" t="s">
        <v>187</v>
      </c>
      <c r="D182" s="10" t="s">
        <v>24</v>
      </c>
      <c r="E182" s="9" t="s">
        <v>5647</v>
      </c>
      <c r="F182" s="10" t="s">
        <v>5071</v>
      </c>
      <c r="G182" s="9" t="s">
        <v>5419</v>
      </c>
      <c r="H182" s="10" t="s">
        <v>5072</v>
      </c>
      <c r="I182" s="9"/>
      <c r="J182" s="9" t="s">
        <v>3062</v>
      </c>
      <c r="K182" s="9" t="s">
        <v>3062</v>
      </c>
    </row>
    <row r="183" customFormat="false" ht="26.85" hidden="false" customHeight="false" outlineLevel="0" collapsed="false">
      <c r="A183" s="9" t="s">
        <v>170</v>
      </c>
      <c r="B183" s="10" t="s">
        <v>186</v>
      </c>
      <c r="C183" s="9" t="s">
        <v>187</v>
      </c>
      <c r="D183" s="10" t="s">
        <v>24</v>
      </c>
      <c r="E183" s="9" t="s">
        <v>5648</v>
      </c>
      <c r="F183" s="10" t="s">
        <v>5649</v>
      </c>
      <c r="G183" s="9" t="s">
        <v>5419</v>
      </c>
      <c r="H183" s="10" t="s">
        <v>5650</v>
      </c>
      <c r="I183" s="9"/>
      <c r="J183" s="9" t="s">
        <v>3062</v>
      </c>
      <c r="K183" s="9" t="s">
        <v>3062</v>
      </c>
    </row>
    <row r="184" customFormat="false" ht="26.85" hidden="false" customHeight="false" outlineLevel="0" collapsed="false">
      <c r="A184" s="9" t="s">
        <v>170</v>
      </c>
      <c r="B184" s="10" t="s">
        <v>186</v>
      </c>
      <c r="C184" s="9" t="s">
        <v>187</v>
      </c>
      <c r="D184" s="10" t="s">
        <v>24</v>
      </c>
      <c r="E184" s="9" t="s">
        <v>5651</v>
      </c>
      <c r="F184" s="10" t="s">
        <v>4802</v>
      </c>
      <c r="G184" s="9" t="s">
        <v>5419</v>
      </c>
      <c r="H184" s="10" t="s">
        <v>4803</v>
      </c>
      <c r="I184" s="9"/>
      <c r="J184" s="10" t="s">
        <v>3247</v>
      </c>
      <c r="K184" s="10" t="s">
        <v>3247</v>
      </c>
    </row>
    <row r="185" customFormat="false" ht="26.85" hidden="false" customHeight="false" outlineLevel="0" collapsed="false">
      <c r="A185" s="9" t="s">
        <v>170</v>
      </c>
      <c r="B185" s="10" t="s">
        <v>188</v>
      </c>
      <c r="C185" s="9" t="s">
        <v>189</v>
      </c>
      <c r="D185" s="10" t="s">
        <v>25</v>
      </c>
      <c r="E185" s="9" t="s">
        <v>5652</v>
      </c>
      <c r="F185" s="10" t="s">
        <v>5111</v>
      </c>
      <c r="G185" s="9" t="s">
        <v>5419</v>
      </c>
      <c r="H185" s="10" t="s">
        <v>5112</v>
      </c>
      <c r="I185" s="9"/>
      <c r="J185" s="9" t="s">
        <v>2232</v>
      </c>
      <c r="K185" s="9" t="s">
        <v>3284</v>
      </c>
    </row>
    <row r="186" customFormat="false" ht="26.85" hidden="false" customHeight="false" outlineLevel="0" collapsed="false">
      <c r="A186" s="9" t="s">
        <v>170</v>
      </c>
      <c r="B186" s="10" t="s">
        <v>188</v>
      </c>
      <c r="C186" s="9" t="s">
        <v>189</v>
      </c>
      <c r="D186" s="10" t="s">
        <v>25</v>
      </c>
      <c r="E186" s="9" t="s">
        <v>5653</v>
      </c>
      <c r="F186" s="10" t="s">
        <v>5144</v>
      </c>
      <c r="G186" s="9" t="s">
        <v>5419</v>
      </c>
      <c r="H186" s="10" t="s">
        <v>5145</v>
      </c>
      <c r="I186" s="9"/>
      <c r="J186" s="9" t="s">
        <v>3062</v>
      </c>
      <c r="K186" s="9" t="s">
        <v>3062</v>
      </c>
    </row>
    <row r="187" customFormat="false" ht="26.85" hidden="false" customHeight="false" outlineLevel="0" collapsed="false">
      <c r="A187" s="9" t="s">
        <v>170</v>
      </c>
      <c r="B187" s="10" t="s">
        <v>188</v>
      </c>
      <c r="C187" s="9" t="s">
        <v>189</v>
      </c>
      <c r="D187" s="10" t="s">
        <v>25</v>
      </c>
      <c r="E187" s="9" t="s">
        <v>5654</v>
      </c>
      <c r="F187" s="10" t="s">
        <v>5141</v>
      </c>
      <c r="G187" s="9" t="s">
        <v>5419</v>
      </c>
      <c r="H187" s="10" t="s">
        <v>5142</v>
      </c>
      <c r="I187" s="9"/>
      <c r="J187" s="9" t="s">
        <v>3062</v>
      </c>
      <c r="K187" s="9" t="s">
        <v>3062</v>
      </c>
    </row>
    <row r="188" customFormat="false" ht="26.85" hidden="false" customHeight="false" outlineLevel="0" collapsed="false">
      <c r="A188" s="9" t="s">
        <v>170</v>
      </c>
      <c r="B188" s="10" t="s">
        <v>188</v>
      </c>
      <c r="C188" s="9" t="s">
        <v>189</v>
      </c>
      <c r="D188" s="10" t="s">
        <v>25</v>
      </c>
      <c r="E188" s="9" t="s">
        <v>5655</v>
      </c>
      <c r="F188" s="10" t="s">
        <v>5252</v>
      </c>
      <c r="G188" s="9" t="s">
        <v>5419</v>
      </c>
      <c r="H188" s="10" t="s">
        <v>5253</v>
      </c>
      <c r="I188" s="9"/>
      <c r="J188" s="10" t="s">
        <v>3247</v>
      </c>
      <c r="K188" s="10" t="s">
        <v>3247</v>
      </c>
    </row>
    <row r="189" customFormat="false" ht="26.85" hidden="false" customHeight="false" outlineLevel="0" collapsed="false">
      <c r="A189" s="9" t="s">
        <v>170</v>
      </c>
      <c r="B189" s="10" t="s">
        <v>191</v>
      </c>
      <c r="C189" s="9" t="s">
        <v>192</v>
      </c>
      <c r="D189" s="10" t="s">
        <v>24</v>
      </c>
      <c r="E189" s="9" t="s">
        <v>5127</v>
      </c>
      <c r="F189" s="10" t="s">
        <v>5128</v>
      </c>
      <c r="G189" s="9" t="s">
        <v>5419</v>
      </c>
      <c r="H189" s="10" t="s">
        <v>5129</v>
      </c>
      <c r="I189" s="9"/>
      <c r="J189" s="9" t="s">
        <v>3062</v>
      </c>
      <c r="K189" s="9" t="s">
        <v>3062</v>
      </c>
    </row>
    <row r="190" customFormat="false" ht="26.85" hidden="false" customHeight="false" outlineLevel="0" collapsed="false">
      <c r="A190" s="9" t="s">
        <v>170</v>
      </c>
      <c r="B190" s="10" t="s">
        <v>191</v>
      </c>
      <c r="C190" s="9" t="s">
        <v>192</v>
      </c>
      <c r="D190" s="10" t="s">
        <v>24</v>
      </c>
      <c r="E190" s="9" t="s">
        <v>5656</v>
      </c>
      <c r="F190" s="10" t="s">
        <v>5657</v>
      </c>
      <c r="G190" s="9" t="s">
        <v>5419</v>
      </c>
      <c r="H190" s="10" t="s">
        <v>5658</v>
      </c>
      <c r="I190" s="9"/>
      <c r="J190" s="9" t="s">
        <v>3062</v>
      </c>
      <c r="K190" s="9" t="s">
        <v>3062</v>
      </c>
    </row>
    <row r="191" customFormat="false" ht="26.85" hidden="false" customHeight="false" outlineLevel="0" collapsed="false">
      <c r="A191" s="9" t="s">
        <v>170</v>
      </c>
      <c r="B191" s="10" t="s">
        <v>191</v>
      </c>
      <c r="C191" s="9" t="s">
        <v>192</v>
      </c>
      <c r="D191" s="10" t="s">
        <v>24</v>
      </c>
      <c r="E191" s="9" t="s">
        <v>5659</v>
      </c>
      <c r="F191" s="10" t="s">
        <v>5201</v>
      </c>
      <c r="G191" s="9" t="s">
        <v>5419</v>
      </c>
      <c r="H191" s="10" t="s">
        <v>5202</v>
      </c>
      <c r="I191" s="9"/>
      <c r="J191" s="9" t="s">
        <v>2232</v>
      </c>
      <c r="K191" s="9" t="s">
        <v>3284</v>
      </c>
    </row>
    <row r="192" customFormat="false" ht="26.85" hidden="false" customHeight="false" outlineLevel="0" collapsed="false">
      <c r="A192" s="9" t="s">
        <v>170</v>
      </c>
      <c r="B192" s="10" t="s">
        <v>191</v>
      </c>
      <c r="C192" s="9" t="s">
        <v>192</v>
      </c>
      <c r="D192" s="10" t="s">
        <v>24</v>
      </c>
      <c r="E192" s="9" t="s">
        <v>5173</v>
      </c>
      <c r="F192" s="10" t="s">
        <v>5174</v>
      </c>
      <c r="G192" s="9" t="s">
        <v>5419</v>
      </c>
      <c r="H192" s="10" t="s">
        <v>5175</v>
      </c>
      <c r="I192" s="9"/>
      <c r="J192" s="9" t="s">
        <v>3062</v>
      </c>
      <c r="K192" s="9" t="s">
        <v>3062</v>
      </c>
    </row>
    <row r="193" customFormat="false" ht="26.85" hidden="false" customHeight="false" outlineLevel="0" collapsed="false">
      <c r="A193" s="9" t="s">
        <v>170</v>
      </c>
      <c r="B193" s="10" t="s">
        <v>194</v>
      </c>
      <c r="C193" s="9" t="s">
        <v>195</v>
      </c>
      <c r="D193" s="10" t="s">
        <v>24</v>
      </c>
      <c r="E193" s="9" t="s">
        <v>5660</v>
      </c>
      <c r="F193" s="10" t="s">
        <v>5226</v>
      </c>
      <c r="G193" s="9" t="s">
        <v>5419</v>
      </c>
      <c r="H193" s="10" t="s">
        <v>5227</v>
      </c>
      <c r="I193" s="9"/>
      <c r="J193" s="10" t="s">
        <v>3247</v>
      </c>
      <c r="K193" s="10" t="s">
        <v>3247</v>
      </c>
    </row>
    <row r="194" customFormat="false" ht="26.85" hidden="false" customHeight="false" outlineLevel="0" collapsed="false">
      <c r="A194" s="9" t="s">
        <v>170</v>
      </c>
      <c r="B194" s="10" t="s">
        <v>194</v>
      </c>
      <c r="C194" s="9" t="s">
        <v>195</v>
      </c>
      <c r="D194" s="10" t="s">
        <v>24</v>
      </c>
      <c r="E194" s="9" t="s">
        <v>5661</v>
      </c>
      <c r="F194" s="10" t="s">
        <v>5229</v>
      </c>
      <c r="G194" s="9" t="s">
        <v>5419</v>
      </c>
      <c r="H194" s="10" t="s">
        <v>5230</v>
      </c>
      <c r="I194" s="9"/>
      <c r="J194" s="10" t="s">
        <v>3247</v>
      </c>
      <c r="K194" s="10" t="s">
        <v>3247</v>
      </c>
    </row>
    <row r="195" customFormat="false" ht="26.85" hidden="false" customHeight="false" outlineLevel="0" collapsed="false">
      <c r="A195" s="9" t="s">
        <v>170</v>
      </c>
      <c r="B195" s="10" t="s">
        <v>194</v>
      </c>
      <c r="C195" s="9" t="s">
        <v>195</v>
      </c>
      <c r="D195" s="10" t="s">
        <v>24</v>
      </c>
      <c r="E195" s="9" t="s">
        <v>5662</v>
      </c>
      <c r="F195" s="10" t="s">
        <v>5663</v>
      </c>
      <c r="G195" s="9" t="s">
        <v>5419</v>
      </c>
      <c r="H195" s="10" t="s">
        <v>5664</v>
      </c>
      <c r="I195" s="9"/>
      <c r="J195" s="10" t="s">
        <v>3247</v>
      </c>
      <c r="K195" s="10" t="s">
        <v>3247</v>
      </c>
    </row>
    <row r="196" customFormat="false" ht="26.85" hidden="false" customHeight="false" outlineLevel="0" collapsed="false">
      <c r="A196" s="9" t="s">
        <v>170</v>
      </c>
      <c r="B196" s="10" t="s">
        <v>194</v>
      </c>
      <c r="C196" s="9" t="s">
        <v>195</v>
      </c>
      <c r="D196" s="10" t="s">
        <v>24</v>
      </c>
      <c r="E196" s="9" t="s">
        <v>5665</v>
      </c>
      <c r="F196" s="10" t="s">
        <v>5666</v>
      </c>
      <c r="G196" s="9" t="s">
        <v>5419</v>
      </c>
      <c r="H196" s="10" t="s">
        <v>5667</v>
      </c>
      <c r="I196" s="9"/>
      <c r="J196" s="10" t="s">
        <v>3247</v>
      </c>
      <c r="K196" s="10" t="s">
        <v>3247</v>
      </c>
    </row>
    <row r="197" customFormat="false" ht="26.85" hidden="false" customHeight="false" outlineLevel="0" collapsed="false">
      <c r="A197" s="9" t="s">
        <v>170</v>
      </c>
      <c r="B197" s="10" t="s">
        <v>196</v>
      </c>
      <c r="C197" s="9" t="s">
        <v>197</v>
      </c>
      <c r="D197" s="10" t="s">
        <v>24</v>
      </c>
      <c r="E197" s="9" t="s">
        <v>5187</v>
      </c>
      <c r="F197" s="10" t="s">
        <v>5188</v>
      </c>
      <c r="G197" s="9" t="s">
        <v>5419</v>
      </c>
      <c r="H197" s="10" t="s">
        <v>5189</v>
      </c>
      <c r="I197" s="9"/>
      <c r="J197" s="9" t="s">
        <v>3062</v>
      </c>
      <c r="K197" s="9" t="s">
        <v>3062</v>
      </c>
    </row>
    <row r="198" customFormat="false" ht="26.85" hidden="false" customHeight="false" outlineLevel="0" collapsed="false">
      <c r="A198" s="9" t="s">
        <v>170</v>
      </c>
      <c r="B198" s="10" t="s">
        <v>196</v>
      </c>
      <c r="C198" s="9" t="s">
        <v>197</v>
      </c>
      <c r="D198" s="10" t="s">
        <v>24</v>
      </c>
      <c r="E198" s="9" t="s">
        <v>5116</v>
      </c>
      <c r="F198" s="10" t="s">
        <v>5117</v>
      </c>
      <c r="G198" s="9" t="s">
        <v>5419</v>
      </c>
      <c r="H198" s="10" t="s">
        <v>5118</v>
      </c>
      <c r="I198" s="9"/>
      <c r="J198" s="9" t="s">
        <v>3062</v>
      </c>
      <c r="K198" s="9" t="s">
        <v>3062</v>
      </c>
    </row>
    <row r="199" customFormat="false" ht="26.85" hidden="false" customHeight="false" outlineLevel="0" collapsed="false">
      <c r="A199" s="9" t="s">
        <v>170</v>
      </c>
      <c r="B199" s="10" t="s">
        <v>196</v>
      </c>
      <c r="C199" s="9" t="s">
        <v>197</v>
      </c>
      <c r="D199" s="10" t="s">
        <v>24</v>
      </c>
      <c r="E199" s="9" t="s">
        <v>5668</v>
      </c>
      <c r="F199" s="10" t="s">
        <v>4348</v>
      </c>
      <c r="G199" s="9" t="s">
        <v>5419</v>
      </c>
      <c r="H199" s="10" t="s">
        <v>4349</v>
      </c>
      <c r="I199" s="9"/>
      <c r="J199" s="9" t="s">
        <v>3062</v>
      </c>
      <c r="K199" s="9" t="s">
        <v>3062</v>
      </c>
    </row>
    <row r="200" customFormat="false" ht="26.85" hidden="false" customHeight="false" outlineLevel="0" collapsed="false">
      <c r="A200" s="9" t="s">
        <v>198</v>
      </c>
      <c r="B200" s="10" t="s">
        <v>199</v>
      </c>
      <c r="C200" s="9" t="s">
        <v>200</v>
      </c>
      <c r="D200" s="10" t="s">
        <v>28</v>
      </c>
      <c r="E200" s="9" t="s">
        <v>4867</v>
      </c>
      <c r="F200" s="10" t="s">
        <v>3382</v>
      </c>
      <c r="G200" s="9" t="s">
        <v>5419</v>
      </c>
      <c r="H200" s="10" t="s">
        <v>3383</v>
      </c>
      <c r="I200" s="9"/>
      <c r="J200" s="9" t="s">
        <v>2232</v>
      </c>
      <c r="K200" s="9" t="s">
        <v>3284</v>
      </c>
    </row>
    <row r="201" customFormat="false" ht="26.85" hidden="false" customHeight="false" outlineLevel="0" collapsed="false">
      <c r="A201" s="9" t="s">
        <v>198</v>
      </c>
      <c r="B201" s="10" t="s">
        <v>199</v>
      </c>
      <c r="C201" s="9" t="s">
        <v>200</v>
      </c>
      <c r="D201" s="10" t="s">
        <v>28</v>
      </c>
      <c r="E201" s="9" t="s">
        <v>4868</v>
      </c>
      <c r="F201" s="10" t="s">
        <v>4869</v>
      </c>
      <c r="G201" s="9" t="s">
        <v>5419</v>
      </c>
      <c r="H201" s="10" t="s">
        <v>4870</v>
      </c>
      <c r="I201" s="9"/>
      <c r="J201" s="9" t="s">
        <v>2232</v>
      </c>
      <c r="K201" s="9" t="s">
        <v>3284</v>
      </c>
    </row>
    <row r="202" customFormat="false" ht="26.85" hidden="false" customHeight="false" outlineLevel="0" collapsed="false">
      <c r="A202" s="9" t="s">
        <v>198</v>
      </c>
      <c r="B202" s="10" t="s">
        <v>199</v>
      </c>
      <c r="C202" s="9" t="s">
        <v>200</v>
      </c>
      <c r="D202" s="10" t="s">
        <v>28</v>
      </c>
      <c r="E202" s="9" t="s">
        <v>5669</v>
      </c>
      <c r="F202" s="10" t="s">
        <v>5670</v>
      </c>
      <c r="G202" s="9" t="s">
        <v>5419</v>
      </c>
      <c r="H202" s="10" t="s">
        <v>5671</v>
      </c>
      <c r="I202" s="9"/>
      <c r="J202" s="9" t="s">
        <v>2232</v>
      </c>
      <c r="K202" s="9" t="s">
        <v>3284</v>
      </c>
    </row>
    <row r="203" customFormat="false" ht="26.85" hidden="false" customHeight="false" outlineLevel="0" collapsed="false">
      <c r="A203" s="9" t="s">
        <v>198</v>
      </c>
      <c r="B203" s="10" t="s">
        <v>199</v>
      </c>
      <c r="C203" s="9" t="s">
        <v>200</v>
      </c>
      <c r="D203" s="10" t="s">
        <v>28</v>
      </c>
      <c r="E203" s="9" t="s">
        <v>5672</v>
      </c>
      <c r="F203" s="10" t="s">
        <v>4875</v>
      </c>
      <c r="G203" s="9" t="s">
        <v>5419</v>
      </c>
      <c r="H203" s="10" t="s">
        <v>4876</v>
      </c>
      <c r="I203" s="9"/>
      <c r="J203" s="10" t="s">
        <v>3247</v>
      </c>
      <c r="K203" s="10" t="s">
        <v>3247</v>
      </c>
    </row>
    <row r="204" customFormat="false" ht="26.85" hidden="false" customHeight="false" outlineLevel="0" collapsed="false">
      <c r="A204" s="9" t="s">
        <v>198</v>
      </c>
      <c r="B204" s="10" t="s">
        <v>201</v>
      </c>
      <c r="C204" s="9" t="s">
        <v>202</v>
      </c>
      <c r="D204" s="10" t="s">
        <v>26</v>
      </c>
      <c r="E204" s="9" t="s">
        <v>4907</v>
      </c>
      <c r="F204" s="10" t="s">
        <v>3782</v>
      </c>
      <c r="G204" s="9" t="s">
        <v>5419</v>
      </c>
      <c r="H204" s="10" t="s">
        <v>3783</v>
      </c>
      <c r="I204" s="9"/>
      <c r="J204" s="10" t="s">
        <v>3247</v>
      </c>
      <c r="K204" s="10" t="s">
        <v>3247</v>
      </c>
    </row>
    <row r="205" customFormat="false" ht="26.85" hidden="false" customHeight="false" outlineLevel="0" collapsed="false">
      <c r="A205" s="9" t="s">
        <v>198</v>
      </c>
      <c r="B205" s="10" t="s">
        <v>201</v>
      </c>
      <c r="C205" s="9" t="s">
        <v>202</v>
      </c>
      <c r="D205" s="10" t="s">
        <v>26</v>
      </c>
      <c r="E205" s="9" t="s">
        <v>4911</v>
      </c>
      <c r="F205" s="10" t="s">
        <v>4912</v>
      </c>
      <c r="G205" s="9" t="s">
        <v>5419</v>
      </c>
      <c r="H205" s="10" t="s">
        <v>4913</v>
      </c>
      <c r="I205" s="9"/>
      <c r="J205" s="9" t="s">
        <v>2232</v>
      </c>
      <c r="K205" s="9" t="s">
        <v>3284</v>
      </c>
    </row>
    <row r="206" customFormat="false" ht="26.85" hidden="false" customHeight="false" outlineLevel="0" collapsed="false">
      <c r="A206" s="9" t="s">
        <v>198</v>
      </c>
      <c r="B206" s="10" t="s">
        <v>201</v>
      </c>
      <c r="C206" s="9" t="s">
        <v>202</v>
      </c>
      <c r="D206" s="10" t="s">
        <v>26</v>
      </c>
      <c r="E206" s="9" t="s">
        <v>5673</v>
      </c>
      <c r="F206" s="10" t="s">
        <v>4898</v>
      </c>
      <c r="G206" s="9" t="s">
        <v>5419</v>
      </c>
      <c r="H206" s="10" t="s">
        <v>4899</v>
      </c>
      <c r="I206" s="9"/>
      <c r="J206" s="9" t="s">
        <v>2232</v>
      </c>
      <c r="K206" s="9" t="s">
        <v>3284</v>
      </c>
    </row>
    <row r="207" customFormat="false" ht="26.85" hidden="false" customHeight="false" outlineLevel="0" collapsed="false">
      <c r="A207" s="9" t="s">
        <v>198</v>
      </c>
      <c r="B207" s="10" t="s">
        <v>201</v>
      </c>
      <c r="C207" s="9" t="s">
        <v>202</v>
      </c>
      <c r="D207" s="10" t="s">
        <v>26</v>
      </c>
      <c r="E207" s="9" t="s">
        <v>5674</v>
      </c>
      <c r="F207" s="10" t="s">
        <v>4919</v>
      </c>
      <c r="G207" s="9" t="s">
        <v>5419</v>
      </c>
      <c r="H207" s="10" t="s">
        <v>4920</v>
      </c>
      <c r="I207" s="9"/>
      <c r="J207" s="9" t="s">
        <v>2232</v>
      </c>
      <c r="K207" s="9" t="s">
        <v>3284</v>
      </c>
    </row>
    <row r="208" customFormat="false" ht="26.85" hidden="false" customHeight="false" outlineLevel="0" collapsed="false">
      <c r="A208" s="9" t="s">
        <v>198</v>
      </c>
      <c r="B208" s="10" t="s">
        <v>203</v>
      </c>
      <c r="C208" s="9" t="s">
        <v>204</v>
      </c>
      <c r="D208" s="10" t="s">
        <v>27</v>
      </c>
      <c r="E208" s="9" t="s">
        <v>5675</v>
      </c>
      <c r="F208" s="10" t="s">
        <v>4879</v>
      </c>
      <c r="G208" s="9" t="s">
        <v>5419</v>
      </c>
      <c r="H208" s="10" t="s">
        <v>4880</v>
      </c>
      <c r="I208" s="9"/>
      <c r="J208" s="9" t="s">
        <v>2232</v>
      </c>
      <c r="K208" s="9" t="s">
        <v>3284</v>
      </c>
    </row>
    <row r="209" customFormat="false" ht="26.85" hidden="false" customHeight="false" outlineLevel="0" collapsed="false">
      <c r="A209" s="9" t="s">
        <v>198</v>
      </c>
      <c r="B209" s="10" t="s">
        <v>203</v>
      </c>
      <c r="C209" s="9" t="s">
        <v>204</v>
      </c>
      <c r="D209" s="10" t="s">
        <v>27</v>
      </c>
      <c r="E209" s="9" t="s">
        <v>4881</v>
      </c>
      <c r="F209" s="10" t="s">
        <v>4882</v>
      </c>
      <c r="G209" s="9" t="s">
        <v>5419</v>
      </c>
      <c r="H209" s="10" t="s">
        <v>4883</v>
      </c>
      <c r="I209" s="9"/>
      <c r="J209" s="9" t="s">
        <v>2232</v>
      </c>
      <c r="K209" s="9" t="s">
        <v>3284</v>
      </c>
    </row>
    <row r="210" customFormat="false" ht="26.85" hidden="false" customHeight="false" outlineLevel="0" collapsed="false">
      <c r="A210" s="9" t="s">
        <v>198</v>
      </c>
      <c r="B210" s="10" t="s">
        <v>203</v>
      </c>
      <c r="C210" s="9" t="s">
        <v>204</v>
      </c>
      <c r="D210" s="10" t="s">
        <v>27</v>
      </c>
      <c r="E210" s="9" t="s">
        <v>5676</v>
      </c>
      <c r="F210" s="10" t="s">
        <v>4885</v>
      </c>
      <c r="G210" s="9" t="s">
        <v>5419</v>
      </c>
      <c r="H210" s="10" t="s">
        <v>4886</v>
      </c>
      <c r="I210" s="9"/>
      <c r="J210" s="9" t="s">
        <v>2232</v>
      </c>
      <c r="K210" s="9" t="s">
        <v>3284</v>
      </c>
    </row>
    <row r="211" customFormat="false" ht="26.85" hidden="false" customHeight="false" outlineLevel="0" collapsed="false">
      <c r="A211" s="9" t="s">
        <v>198</v>
      </c>
      <c r="B211" s="10" t="s">
        <v>203</v>
      </c>
      <c r="C211" s="9" t="s">
        <v>204</v>
      </c>
      <c r="D211" s="10" t="s">
        <v>27</v>
      </c>
      <c r="E211" s="9" t="s">
        <v>2290</v>
      </c>
      <c r="F211" s="10" t="s">
        <v>5677</v>
      </c>
      <c r="G211" s="9" t="s">
        <v>5419</v>
      </c>
      <c r="H211" s="10" t="s">
        <v>5678</v>
      </c>
      <c r="I211" s="9"/>
      <c r="J211" s="9" t="s">
        <v>2232</v>
      </c>
      <c r="K211" s="9" t="s">
        <v>3284</v>
      </c>
    </row>
    <row r="212" customFormat="false" ht="26.85" hidden="false" customHeight="false" outlineLevel="0" collapsed="false">
      <c r="A212" s="9" t="s">
        <v>205</v>
      </c>
      <c r="B212" s="10" t="s">
        <v>206</v>
      </c>
      <c r="C212" s="9" t="s">
        <v>207</v>
      </c>
      <c r="D212" s="10" t="s">
        <v>28</v>
      </c>
      <c r="E212" s="9" t="s">
        <v>3378</v>
      </c>
      <c r="F212" s="10" t="s">
        <v>3379</v>
      </c>
      <c r="G212" s="9" t="s">
        <v>5419</v>
      </c>
      <c r="H212" s="10" t="s">
        <v>3380</v>
      </c>
      <c r="I212" s="9"/>
      <c r="J212" s="9" t="s">
        <v>2232</v>
      </c>
      <c r="K212" s="9" t="s">
        <v>3284</v>
      </c>
    </row>
    <row r="213" customFormat="false" ht="26.85" hidden="false" customHeight="false" outlineLevel="0" collapsed="false">
      <c r="A213" s="9" t="s">
        <v>205</v>
      </c>
      <c r="B213" s="10" t="s">
        <v>206</v>
      </c>
      <c r="C213" s="9" t="s">
        <v>207</v>
      </c>
      <c r="D213" s="10" t="s">
        <v>28</v>
      </c>
      <c r="E213" s="9" t="s">
        <v>5679</v>
      </c>
      <c r="F213" s="10" t="s">
        <v>3392</v>
      </c>
      <c r="G213" s="9" t="s">
        <v>5419</v>
      </c>
      <c r="H213" s="10" t="s">
        <v>3393</v>
      </c>
      <c r="I213" s="9"/>
      <c r="J213" s="10" t="s">
        <v>3247</v>
      </c>
      <c r="K213" s="10" t="s">
        <v>3247</v>
      </c>
    </row>
    <row r="214" customFormat="false" ht="26.85" hidden="false" customHeight="false" outlineLevel="0" collapsed="false">
      <c r="A214" s="9" t="s">
        <v>205</v>
      </c>
      <c r="B214" s="10" t="s">
        <v>206</v>
      </c>
      <c r="C214" s="9" t="s">
        <v>207</v>
      </c>
      <c r="D214" s="10" t="s">
        <v>28</v>
      </c>
      <c r="E214" s="9" t="s">
        <v>5680</v>
      </c>
      <c r="F214" s="10" t="s">
        <v>3359</v>
      </c>
      <c r="G214" s="9" t="s">
        <v>5419</v>
      </c>
      <c r="H214" s="10" t="s">
        <v>3360</v>
      </c>
      <c r="I214" s="9"/>
      <c r="J214" s="9" t="s">
        <v>1975</v>
      </c>
      <c r="K214" s="9" t="s">
        <v>1975</v>
      </c>
    </row>
    <row r="215" customFormat="false" ht="26.85" hidden="false" customHeight="false" outlineLevel="0" collapsed="false">
      <c r="A215" s="9" t="s">
        <v>205</v>
      </c>
      <c r="B215" s="10" t="s">
        <v>206</v>
      </c>
      <c r="C215" s="9" t="s">
        <v>207</v>
      </c>
      <c r="D215" s="10" t="s">
        <v>28</v>
      </c>
      <c r="E215" s="9" t="s">
        <v>5681</v>
      </c>
      <c r="F215" s="10" t="s">
        <v>3344</v>
      </c>
      <c r="G215" s="9" t="s">
        <v>5419</v>
      </c>
      <c r="H215" s="10" t="s">
        <v>3345</v>
      </c>
      <c r="I215" s="9"/>
      <c r="J215" s="9" t="s">
        <v>1975</v>
      </c>
      <c r="K215" s="9" t="s">
        <v>1975</v>
      </c>
    </row>
    <row r="216" customFormat="false" ht="26.85" hidden="false" customHeight="false" outlineLevel="0" collapsed="false">
      <c r="A216" s="9" t="s">
        <v>205</v>
      </c>
      <c r="B216" s="10" t="s">
        <v>209</v>
      </c>
      <c r="C216" s="9" t="s">
        <v>210</v>
      </c>
      <c r="D216" s="10" t="s">
        <v>25</v>
      </c>
      <c r="E216" s="9" t="s">
        <v>5682</v>
      </c>
      <c r="F216" s="10" t="s">
        <v>3516</v>
      </c>
      <c r="G216" s="9" t="s">
        <v>5419</v>
      </c>
      <c r="H216" s="10" t="s">
        <v>3517</v>
      </c>
      <c r="I216" s="9"/>
      <c r="J216" s="9" t="s">
        <v>2232</v>
      </c>
      <c r="K216" s="9" t="s">
        <v>3284</v>
      </c>
    </row>
    <row r="217" customFormat="false" ht="26.85" hidden="false" customHeight="false" outlineLevel="0" collapsed="false">
      <c r="A217" s="9" t="s">
        <v>205</v>
      </c>
      <c r="B217" s="10" t="s">
        <v>209</v>
      </c>
      <c r="C217" s="9" t="s">
        <v>210</v>
      </c>
      <c r="D217" s="10" t="s">
        <v>25</v>
      </c>
      <c r="E217" s="9" t="s">
        <v>5683</v>
      </c>
      <c r="F217" s="10" t="s">
        <v>3519</v>
      </c>
      <c r="G217" s="9" t="s">
        <v>5419</v>
      </c>
      <c r="H217" s="10" t="s">
        <v>3520</v>
      </c>
      <c r="I217" s="9"/>
      <c r="J217" s="9" t="s">
        <v>2232</v>
      </c>
      <c r="K217" s="9" t="s">
        <v>3284</v>
      </c>
    </row>
    <row r="218" customFormat="false" ht="26.85" hidden="false" customHeight="false" outlineLevel="0" collapsed="false">
      <c r="A218" s="9" t="s">
        <v>205</v>
      </c>
      <c r="B218" s="10" t="s">
        <v>209</v>
      </c>
      <c r="C218" s="9" t="s">
        <v>210</v>
      </c>
      <c r="D218" s="10" t="s">
        <v>25</v>
      </c>
      <c r="E218" s="9" t="s">
        <v>5684</v>
      </c>
      <c r="F218" s="10" t="s">
        <v>5685</v>
      </c>
      <c r="G218" s="9" t="s">
        <v>5419</v>
      </c>
      <c r="H218" s="10" t="s">
        <v>5686</v>
      </c>
      <c r="I218" s="9"/>
      <c r="J218" s="10" t="s">
        <v>3247</v>
      </c>
      <c r="K218" s="10" t="s">
        <v>3247</v>
      </c>
    </row>
    <row r="219" customFormat="false" ht="26.85" hidden="false" customHeight="false" outlineLevel="0" collapsed="false">
      <c r="A219" s="9" t="s">
        <v>205</v>
      </c>
      <c r="B219" s="10" t="s">
        <v>209</v>
      </c>
      <c r="C219" s="9" t="s">
        <v>210</v>
      </c>
      <c r="D219" s="10" t="s">
        <v>25</v>
      </c>
      <c r="E219" s="9" t="s">
        <v>5687</v>
      </c>
      <c r="F219" s="10" t="s">
        <v>5688</v>
      </c>
      <c r="G219" s="9" t="s">
        <v>5418</v>
      </c>
      <c r="H219" s="10" t="s">
        <v>5689</v>
      </c>
      <c r="I219" s="9"/>
      <c r="J219" s="10" t="s">
        <v>3247</v>
      </c>
      <c r="K219" s="10" t="s">
        <v>3247</v>
      </c>
    </row>
    <row r="220" customFormat="false" ht="26.85" hidden="false" customHeight="false" outlineLevel="0" collapsed="false">
      <c r="A220" s="9" t="s">
        <v>205</v>
      </c>
      <c r="B220" s="10" t="s">
        <v>211</v>
      </c>
      <c r="C220" s="9" t="s">
        <v>212</v>
      </c>
      <c r="D220" s="10" t="s">
        <v>27</v>
      </c>
      <c r="E220" s="9" t="s">
        <v>5690</v>
      </c>
      <c r="F220" s="10" t="s">
        <v>3460</v>
      </c>
      <c r="G220" s="9" t="s">
        <v>5419</v>
      </c>
      <c r="H220" s="10" t="s">
        <v>3461</v>
      </c>
      <c r="I220" s="9"/>
      <c r="J220" s="9" t="s">
        <v>2232</v>
      </c>
      <c r="K220" s="9" t="s">
        <v>3284</v>
      </c>
    </row>
    <row r="221" customFormat="false" ht="26.85" hidden="false" customHeight="false" outlineLevel="0" collapsed="false">
      <c r="A221" s="9" t="s">
        <v>205</v>
      </c>
      <c r="B221" s="10" t="s">
        <v>211</v>
      </c>
      <c r="C221" s="9" t="s">
        <v>212</v>
      </c>
      <c r="D221" s="10" t="s">
        <v>27</v>
      </c>
      <c r="E221" s="9" t="s">
        <v>3465</v>
      </c>
      <c r="F221" s="10" t="s">
        <v>3466</v>
      </c>
      <c r="G221" s="9" t="s">
        <v>5419</v>
      </c>
      <c r="H221" s="10" t="s">
        <v>3467</v>
      </c>
      <c r="I221" s="9"/>
      <c r="J221" s="10" t="s">
        <v>3247</v>
      </c>
      <c r="K221" s="10" t="s">
        <v>3247</v>
      </c>
    </row>
    <row r="222" customFormat="false" ht="26.85" hidden="false" customHeight="false" outlineLevel="0" collapsed="false">
      <c r="A222" s="9" t="s">
        <v>205</v>
      </c>
      <c r="B222" s="10" t="s">
        <v>211</v>
      </c>
      <c r="C222" s="9" t="s">
        <v>212</v>
      </c>
      <c r="D222" s="10" t="s">
        <v>27</v>
      </c>
      <c r="E222" s="9" t="s">
        <v>5691</v>
      </c>
      <c r="F222" s="10" t="s">
        <v>5685</v>
      </c>
      <c r="G222" s="9" t="s">
        <v>5419</v>
      </c>
      <c r="H222" s="10" t="s">
        <v>5686</v>
      </c>
      <c r="I222" s="9"/>
      <c r="J222" s="10" t="s">
        <v>3247</v>
      </c>
      <c r="K222" s="10" t="s">
        <v>3247</v>
      </c>
    </row>
    <row r="223" customFormat="false" ht="26.85" hidden="false" customHeight="false" outlineLevel="0" collapsed="false">
      <c r="A223" s="9" t="s">
        <v>205</v>
      </c>
      <c r="B223" s="10" t="s">
        <v>213</v>
      </c>
      <c r="C223" s="9" t="s">
        <v>214</v>
      </c>
      <c r="D223" s="10" t="s">
        <v>26</v>
      </c>
      <c r="E223" s="9" t="s">
        <v>5692</v>
      </c>
      <c r="F223" s="10" t="s">
        <v>4567</v>
      </c>
      <c r="G223" s="9" t="s">
        <v>5419</v>
      </c>
      <c r="H223" s="10" t="s">
        <v>4568</v>
      </c>
      <c r="I223" s="9"/>
      <c r="J223" s="9" t="s">
        <v>2773</v>
      </c>
      <c r="K223" s="9" t="s">
        <v>2773</v>
      </c>
    </row>
    <row r="224" customFormat="false" ht="26.85" hidden="false" customHeight="false" outlineLevel="0" collapsed="false">
      <c r="A224" s="9" t="s">
        <v>205</v>
      </c>
      <c r="B224" s="10" t="s">
        <v>213</v>
      </c>
      <c r="C224" s="9" t="s">
        <v>214</v>
      </c>
      <c r="D224" s="10" t="s">
        <v>26</v>
      </c>
      <c r="E224" s="9" t="s">
        <v>5693</v>
      </c>
      <c r="F224" s="10" t="s">
        <v>5694</v>
      </c>
      <c r="G224" s="9" t="s">
        <v>5419</v>
      </c>
      <c r="H224" s="10" t="s">
        <v>5695</v>
      </c>
      <c r="I224" s="9"/>
      <c r="J224" s="10" t="s">
        <v>3247</v>
      </c>
      <c r="K224" s="10" t="s">
        <v>3247</v>
      </c>
    </row>
    <row r="225" customFormat="false" ht="26.85" hidden="false" customHeight="false" outlineLevel="0" collapsed="false">
      <c r="A225" s="9" t="s">
        <v>205</v>
      </c>
      <c r="B225" s="10" t="s">
        <v>213</v>
      </c>
      <c r="C225" s="9" t="s">
        <v>214</v>
      </c>
      <c r="D225" s="10" t="s">
        <v>26</v>
      </c>
      <c r="E225" s="9" t="s">
        <v>5696</v>
      </c>
      <c r="F225" s="10" t="s">
        <v>5697</v>
      </c>
      <c r="G225" s="9" t="s">
        <v>5419</v>
      </c>
      <c r="H225" s="10" t="s">
        <v>5698</v>
      </c>
      <c r="I225" s="9"/>
      <c r="J225" s="10" t="s">
        <v>3247</v>
      </c>
      <c r="K225" s="10" t="s">
        <v>3247</v>
      </c>
    </row>
    <row r="226" customFormat="false" ht="26.85" hidden="false" customHeight="false" outlineLevel="0" collapsed="false">
      <c r="A226" s="9" t="s">
        <v>205</v>
      </c>
      <c r="B226" s="10" t="s">
        <v>213</v>
      </c>
      <c r="C226" s="9" t="s">
        <v>214</v>
      </c>
      <c r="D226" s="10" t="s">
        <v>26</v>
      </c>
      <c r="E226" s="9" t="s">
        <v>5699</v>
      </c>
      <c r="F226" s="10" t="s">
        <v>5685</v>
      </c>
      <c r="G226" s="9" t="s">
        <v>5419</v>
      </c>
      <c r="H226" s="10" t="s">
        <v>5686</v>
      </c>
      <c r="I226" s="9"/>
      <c r="J226" s="10" t="s">
        <v>3247</v>
      </c>
      <c r="K226" s="10" t="s">
        <v>3247</v>
      </c>
    </row>
    <row r="227" customFormat="false" ht="26.85" hidden="false" customHeight="false" outlineLevel="0" collapsed="false">
      <c r="A227" s="9" t="s">
        <v>215</v>
      </c>
      <c r="B227" s="10" t="s">
        <v>216</v>
      </c>
      <c r="C227" s="9" t="s">
        <v>217</v>
      </c>
      <c r="D227" s="10" t="s">
        <v>24</v>
      </c>
      <c r="E227" s="9" t="s">
        <v>5700</v>
      </c>
      <c r="F227" s="10" t="s">
        <v>3639</v>
      </c>
      <c r="G227" s="9" t="s">
        <v>5419</v>
      </c>
      <c r="H227" s="10" t="s">
        <v>3640</v>
      </c>
      <c r="I227" s="9"/>
      <c r="J227" s="10" t="s">
        <v>3247</v>
      </c>
      <c r="K227" s="10" t="s">
        <v>3247</v>
      </c>
    </row>
    <row r="228" customFormat="false" ht="26.85" hidden="false" customHeight="false" outlineLevel="0" collapsed="false">
      <c r="A228" s="9" t="s">
        <v>215</v>
      </c>
      <c r="B228" s="10" t="s">
        <v>216</v>
      </c>
      <c r="C228" s="9" t="s">
        <v>217</v>
      </c>
      <c r="D228" s="10" t="s">
        <v>24</v>
      </c>
      <c r="E228" s="9" t="s">
        <v>5701</v>
      </c>
      <c r="F228" s="10" t="s">
        <v>5702</v>
      </c>
      <c r="G228" s="9" t="s">
        <v>5419</v>
      </c>
      <c r="H228" s="10" t="s">
        <v>5703</v>
      </c>
      <c r="I228" s="9"/>
      <c r="J228" s="10" t="s">
        <v>3247</v>
      </c>
      <c r="K228" s="10" t="s">
        <v>3247</v>
      </c>
    </row>
    <row r="229" customFormat="false" ht="26.85" hidden="false" customHeight="false" outlineLevel="0" collapsed="false">
      <c r="A229" s="9" t="s">
        <v>215</v>
      </c>
      <c r="B229" s="10" t="s">
        <v>219</v>
      </c>
      <c r="C229" s="9" t="s">
        <v>220</v>
      </c>
      <c r="D229" s="10" t="s">
        <v>24</v>
      </c>
      <c r="E229" s="9" t="s">
        <v>5704</v>
      </c>
      <c r="F229" s="10" t="s">
        <v>3655</v>
      </c>
      <c r="G229" s="9" t="s">
        <v>5419</v>
      </c>
      <c r="H229" s="10" t="s">
        <v>3656</v>
      </c>
      <c r="I229" s="9"/>
      <c r="J229" s="10" t="s">
        <v>3247</v>
      </c>
      <c r="K229" s="10" t="s">
        <v>3247</v>
      </c>
    </row>
    <row r="230" customFormat="false" ht="26.85" hidden="false" customHeight="false" outlineLevel="0" collapsed="false">
      <c r="A230" s="9" t="s">
        <v>215</v>
      </c>
      <c r="B230" s="10" t="s">
        <v>219</v>
      </c>
      <c r="C230" s="9" t="s">
        <v>220</v>
      </c>
      <c r="D230" s="10" t="s">
        <v>24</v>
      </c>
      <c r="E230" s="9" t="s">
        <v>5705</v>
      </c>
      <c r="F230" s="10" t="s">
        <v>3658</v>
      </c>
      <c r="G230" s="9" t="s">
        <v>5419</v>
      </c>
      <c r="H230" s="10" t="s">
        <v>3659</v>
      </c>
      <c r="I230" s="9"/>
      <c r="J230" s="10" t="s">
        <v>3247</v>
      </c>
      <c r="K230" s="10" t="s">
        <v>3247</v>
      </c>
    </row>
    <row r="231" customFormat="false" ht="26.85" hidden="false" customHeight="false" outlineLevel="0" collapsed="false">
      <c r="A231" s="9" t="s">
        <v>215</v>
      </c>
      <c r="B231" s="10" t="s">
        <v>222</v>
      </c>
      <c r="C231" s="9" t="s">
        <v>223</v>
      </c>
      <c r="D231" s="10" t="s">
        <v>25</v>
      </c>
      <c r="E231" s="9" t="s">
        <v>5706</v>
      </c>
      <c r="F231" s="10" t="s">
        <v>3655</v>
      </c>
      <c r="G231" s="9" t="s">
        <v>5419</v>
      </c>
      <c r="H231" s="10" t="s">
        <v>3656</v>
      </c>
      <c r="I231" s="9"/>
      <c r="J231" s="10" t="s">
        <v>3247</v>
      </c>
      <c r="K231" s="10" t="s">
        <v>3247</v>
      </c>
    </row>
    <row r="232" customFormat="false" ht="26.85" hidden="false" customHeight="false" outlineLevel="0" collapsed="false">
      <c r="A232" s="9" t="s">
        <v>215</v>
      </c>
      <c r="B232" s="10" t="s">
        <v>222</v>
      </c>
      <c r="C232" s="9" t="s">
        <v>223</v>
      </c>
      <c r="D232" s="10" t="s">
        <v>25</v>
      </c>
      <c r="E232" s="9" t="s">
        <v>3651</v>
      </c>
      <c r="F232" s="10" t="s">
        <v>3652</v>
      </c>
      <c r="G232" s="9" t="s">
        <v>5419</v>
      </c>
      <c r="H232" s="10" t="s">
        <v>3653</v>
      </c>
      <c r="I232" s="9"/>
      <c r="J232" s="10" t="s">
        <v>3247</v>
      </c>
      <c r="K232" s="10" t="s">
        <v>3247</v>
      </c>
    </row>
    <row r="233" customFormat="false" ht="26.85" hidden="false" customHeight="false" outlineLevel="0" collapsed="false">
      <c r="A233" s="9" t="s">
        <v>215</v>
      </c>
      <c r="B233" s="10" t="s">
        <v>224</v>
      </c>
      <c r="C233" s="9" t="s">
        <v>225</v>
      </c>
      <c r="D233" s="10" t="s">
        <v>25</v>
      </c>
      <c r="E233" s="9" t="s">
        <v>5707</v>
      </c>
      <c r="F233" s="10" t="s">
        <v>5708</v>
      </c>
      <c r="G233" s="9" t="s">
        <v>5419</v>
      </c>
      <c r="H233" s="10" t="s">
        <v>5709</v>
      </c>
      <c r="I233" s="9"/>
      <c r="J233" s="9" t="s">
        <v>3039</v>
      </c>
      <c r="K233" s="9" t="s">
        <v>3039</v>
      </c>
    </row>
    <row r="234" customFormat="false" ht="26.85" hidden="false" customHeight="false" outlineLevel="0" collapsed="false">
      <c r="A234" s="9" t="s">
        <v>215</v>
      </c>
      <c r="B234" s="10" t="s">
        <v>224</v>
      </c>
      <c r="C234" s="9" t="s">
        <v>225</v>
      </c>
      <c r="D234" s="10" t="s">
        <v>25</v>
      </c>
      <c r="E234" s="9" t="s">
        <v>5710</v>
      </c>
      <c r="F234" s="10" t="s">
        <v>5711</v>
      </c>
      <c r="G234" s="9" t="s">
        <v>5419</v>
      </c>
      <c r="H234" s="10" t="s">
        <v>5712</v>
      </c>
      <c r="I234" s="9"/>
      <c r="J234" s="10" t="s">
        <v>3247</v>
      </c>
      <c r="K234" s="10" t="s">
        <v>3247</v>
      </c>
    </row>
    <row r="235" customFormat="false" ht="26.85" hidden="false" customHeight="false" outlineLevel="0" collapsed="false">
      <c r="A235" s="9" t="s">
        <v>215</v>
      </c>
      <c r="B235" s="10" t="s">
        <v>224</v>
      </c>
      <c r="C235" s="9" t="s">
        <v>225</v>
      </c>
      <c r="D235" s="10" t="s">
        <v>25</v>
      </c>
      <c r="E235" s="9" t="s">
        <v>5713</v>
      </c>
      <c r="F235" s="10" t="s">
        <v>5714</v>
      </c>
      <c r="G235" s="9" t="s">
        <v>5418</v>
      </c>
      <c r="H235" s="10" t="s">
        <v>5715</v>
      </c>
      <c r="I235" s="9"/>
      <c r="J235" s="10" t="s">
        <v>3247</v>
      </c>
      <c r="K235" s="10" t="s">
        <v>3247</v>
      </c>
    </row>
    <row r="236" customFormat="false" ht="26.85" hidden="false" customHeight="false" outlineLevel="0" collapsed="false">
      <c r="A236" s="9" t="s">
        <v>215</v>
      </c>
      <c r="B236" s="10" t="s">
        <v>226</v>
      </c>
      <c r="C236" s="9" t="s">
        <v>227</v>
      </c>
      <c r="D236" s="10" t="s">
        <v>24</v>
      </c>
      <c r="E236" s="9" t="s">
        <v>5716</v>
      </c>
      <c r="F236" s="10" t="s">
        <v>5717</v>
      </c>
      <c r="G236" s="9" t="s">
        <v>5418</v>
      </c>
      <c r="H236" s="10" t="s">
        <v>5718</v>
      </c>
      <c r="I236" s="9"/>
      <c r="J236" s="10" t="s">
        <v>3247</v>
      </c>
      <c r="K236" s="10" t="s">
        <v>3247</v>
      </c>
    </row>
    <row r="237" customFormat="false" ht="26.85" hidden="false" customHeight="false" outlineLevel="0" collapsed="false">
      <c r="A237" s="9" t="s">
        <v>215</v>
      </c>
      <c r="B237" s="10" t="s">
        <v>226</v>
      </c>
      <c r="C237" s="9" t="s">
        <v>227</v>
      </c>
      <c r="D237" s="10" t="s">
        <v>24</v>
      </c>
      <c r="E237" s="9" t="s">
        <v>5719</v>
      </c>
      <c r="F237" s="10" t="s">
        <v>3540</v>
      </c>
      <c r="G237" s="9" t="s">
        <v>5418</v>
      </c>
      <c r="H237" s="10" t="s">
        <v>3541</v>
      </c>
      <c r="I237" s="9"/>
      <c r="J237" s="10" t="s">
        <v>3247</v>
      </c>
      <c r="K237" s="10" t="s">
        <v>3247</v>
      </c>
    </row>
    <row r="238" customFormat="false" ht="26.85" hidden="false" customHeight="false" outlineLevel="0" collapsed="false">
      <c r="A238" s="9" t="s">
        <v>215</v>
      </c>
      <c r="B238" s="10" t="s">
        <v>226</v>
      </c>
      <c r="C238" s="9" t="s">
        <v>227</v>
      </c>
      <c r="D238" s="10" t="s">
        <v>24</v>
      </c>
      <c r="E238" s="9" t="s">
        <v>5720</v>
      </c>
      <c r="F238" s="10" t="s">
        <v>3543</v>
      </c>
      <c r="G238" s="9" t="s">
        <v>5418</v>
      </c>
      <c r="H238" s="10" t="s">
        <v>3544</v>
      </c>
      <c r="I238" s="9"/>
      <c r="J238" s="10" t="s">
        <v>3247</v>
      </c>
      <c r="K238" s="10" t="s">
        <v>3247</v>
      </c>
    </row>
    <row r="239" customFormat="false" ht="26.85" hidden="false" customHeight="false" outlineLevel="0" collapsed="false">
      <c r="A239" s="9" t="s">
        <v>215</v>
      </c>
      <c r="B239" s="10" t="s">
        <v>228</v>
      </c>
      <c r="C239" s="9" t="s">
        <v>229</v>
      </c>
      <c r="D239" s="10" t="s">
        <v>25</v>
      </c>
      <c r="E239" s="9" t="s">
        <v>3576</v>
      </c>
      <c r="F239" s="10" t="s">
        <v>3577</v>
      </c>
      <c r="G239" s="9" t="s">
        <v>5419</v>
      </c>
      <c r="H239" s="10" t="s">
        <v>3578</v>
      </c>
      <c r="I239" s="9"/>
      <c r="J239" s="9" t="s">
        <v>2232</v>
      </c>
      <c r="K239" s="9" t="s">
        <v>3284</v>
      </c>
    </row>
    <row r="240" customFormat="false" ht="26.85" hidden="false" customHeight="false" outlineLevel="0" collapsed="false">
      <c r="A240" s="9" t="s">
        <v>215</v>
      </c>
      <c r="B240" s="10" t="s">
        <v>228</v>
      </c>
      <c r="C240" s="9" t="s">
        <v>229</v>
      </c>
      <c r="D240" s="10" t="s">
        <v>25</v>
      </c>
      <c r="E240" s="9" t="s">
        <v>5721</v>
      </c>
      <c r="F240" s="10" t="s">
        <v>3580</v>
      </c>
      <c r="G240" s="9" t="s">
        <v>5419</v>
      </c>
      <c r="H240" s="10" t="s">
        <v>3581</v>
      </c>
      <c r="I240" s="9"/>
      <c r="J240" s="9" t="s">
        <v>2232</v>
      </c>
      <c r="K240" s="9" t="s">
        <v>3284</v>
      </c>
    </row>
    <row r="241" customFormat="false" ht="26.85" hidden="false" customHeight="false" outlineLevel="0" collapsed="false">
      <c r="A241" s="9" t="s">
        <v>215</v>
      </c>
      <c r="B241" s="10" t="s">
        <v>228</v>
      </c>
      <c r="C241" s="9" t="s">
        <v>229</v>
      </c>
      <c r="D241" s="10" t="s">
        <v>25</v>
      </c>
      <c r="E241" s="9" t="s">
        <v>3582</v>
      </c>
      <c r="F241" s="10" t="s">
        <v>3583</v>
      </c>
      <c r="G241" s="9" t="s">
        <v>5419</v>
      </c>
      <c r="H241" s="10" t="s">
        <v>3584</v>
      </c>
      <c r="I241" s="9"/>
      <c r="J241" s="9" t="s">
        <v>2232</v>
      </c>
      <c r="K241" s="9" t="s">
        <v>3284</v>
      </c>
    </row>
    <row r="242" customFormat="false" ht="26.85" hidden="false" customHeight="false" outlineLevel="0" collapsed="false">
      <c r="A242" s="9" t="s">
        <v>215</v>
      </c>
      <c r="B242" s="10" t="s">
        <v>230</v>
      </c>
      <c r="C242" s="9" t="s">
        <v>231</v>
      </c>
      <c r="D242" s="10" t="s">
        <v>25</v>
      </c>
      <c r="E242" s="9" t="s">
        <v>5722</v>
      </c>
      <c r="F242" s="10" t="s">
        <v>2351</v>
      </c>
      <c r="G242" s="9" t="s">
        <v>5419</v>
      </c>
      <c r="H242" s="10" t="s">
        <v>3571</v>
      </c>
      <c r="I242" s="9"/>
      <c r="J242" s="9" t="s">
        <v>2232</v>
      </c>
      <c r="K242" s="9" t="s">
        <v>3284</v>
      </c>
    </row>
    <row r="243" customFormat="false" ht="26.85" hidden="false" customHeight="false" outlineLevel="0" collapsed="false">
      <c r="A243" s="9" t="s">
        <v>215</v>
      </c>
      <c r="B243" s="10" t="s">
        <v>230</v>
      </c>
      <c r="C243" s="9" t="s">
        <v>231</v>
      </c>
      <c r="D243" s="10" t="s">
        <v>25</v>
      </c>
      <c r="E243" s="9" t="s">
        <v>5723</v>
      </c>
      <c r="F243" s="10" t="s">
        <v>3573</v>
      </c>
      <c r="G243" s="9" t="s">
        <v>5419</v>
      </c>
      <c r="H243" s="10" t="s">
        <v>3574</v>
      </c>
      <c r="I243" s="9"/>
      <c r="J243" s="10" t="s">
        <v>3247</v>
      </c>
      <c r="K243" s="10" t="s">
        <v>3247</v>
      </c>
    </row>
    <row r="244" customFormat="false" ht="26.85" hidden="false" customHeight="false" outlineLevel="0" collapsed="false">
      <c r="A244" s="9" t="s">
        <v>215</v>
      </c>
      <c r="B244" s="10" t="s">
        <v>230</v>
      </c>
      <c r="C244" s="9" t="s">
        <v>231</v>
      </c>
      <c r="D244" s="10" t="s">
        <v>25</v>
      </c>
      <c r="E244" s="9" t="s">
        <v>5724</v>
      </c>
      <c r="F244" s="10" t="s">
        <v>3568</v>
      </c>
      <c r="G244" s="9" t="s">
        <v>5419</v>
      </c>
      <c r="H244" s="10" t="s">
        <v>3569</v>
      </c>
      <c r="I244" s="9"/>
      <c r="J244" s="9" t="s">
        <v>2773</v>
      </c>
      <c r="K244" s="9" t="s">
        <v>2773</v>
      </c>
    </row>
    <row r="245" customFormat="false" ht="26.85" hidden="false" customHeight="false" outlineLevel="0" collapsed="false">
      <c r="A245" s="9" t="s">
        <v>215</v>
      </c>
      <c r="B245" s="10" t="s">
        <v>230</v>
      </c>
      <c r="C245" s="9" t="s">
        <v>231</v>
      </c>
      <c r="D245" s="10" t="s">
        <v>25</v>
      </c>
      <c r="E245" s="9" t="s">
        <v>5725</v>
      </c>
      <c r="F245" s="10" t="s">
        <v>5726</v>
      </c>
      <c r="G245" s="9" t="s">
        <v>5419</v>
      </c>
      <c r="H245" s="10" t="s">
        <v>5727</v>
      </c>
      <c r="I245" s="9"/>
      <c r="J245" s="10" t="s">
        <v>3247</v>
      </c>
      <c r="K245" s="10" t="s">
        <v>3247</v>
      </c>
    </row>
    <row r="246" customFormat="false" ht="26.85" hidden="false" customHeight="false" outlineLevel="0" collapsed="false">
      <c r="A246" s="9" t="s">
        <v>215</v>
      </c>
      <c r="B246" s="10" t="s">
        <v>232</v>
      </c>
      <c r="C246" s="9" t="s">
        <v>233</v>
      </c>
      <c r="D246" s="10" t="s">
        <v>26</v>
      </c>
      <c r="E246" s="9" t="s">
        <v>5728</v>
      </c>
      <c r="F246" s="10" t="s">
        <v>3612</v>
      </c>
      <c r="G246" s="9" t="s">
        <v>5419</v>
      </c>
      <c r="H246" s="10" t="s">
        <v>3613</v>
      </c>
      <c r="I246" s="9"/>
      <c r="J246" s="9" t="s">
        <v>2773</v>
      </c>
      <c r="K246" s="9" t="s">
        <v>2773</v>
      </c>
    </row>
    <row r="247" customFormat="false" ht="26.85" hidden="false" customHeight="false" outlineLevel="0" collapsed="false">
      <c r="A247" s="9" t="s">
        <v>215</v>
      </c>
      <c r="B247" s="10" t="s">
        <v>232</v>
      </c>
      <c r="C247" s="9" t="s">
        <v>233</v>
      </c>
      <c r="D247" s="10" t="s">
        <v>26</v>
      </c>
      <c r="E247" s="9" t="s">
        <v>5729</v>
      </c>
      <c r="F247" s="10" t="s">
        <v>3615</v>
      </c>
      <c r="G247" s="9" t="s">
        <v>5419</v>
      </c>
      <c r="H247" s="10" t="s">
        <v>3616</v>
      </c>
      <c r="I247" s="9"/>
      <c r="J247" s="9" t="s">
        <v>2773</v>
      </c>
      <c r="K247" s="9" t="s">
        <v>2773</v>
      </c>
    </row>
    <row r="248" customFormat="false" ht="26.85" hidden="false" customHeight="false" outlineLevel="0" collapsed="false">
      <c r="A248" s="9" t="s">
        <v>215</v>
      </c>
      <c r="B248" s="10" t="s">
        <v>232</v>
      </c>
      <c r="C248" s="9" t="s">
        <v>233</v>
      </c>
      <c r="D248" s="10" t="s">
        <v>26</v>
      </c>
      <c r="E248" s="9" t="s">
        <v>5730</v>
      </c>
      <c r="F248" s="10" t="s">
        <v>5731</v>
      </c>
      <c r="G248" s="9" t="s">
        <v>5419</v>
      </c>
      <c r="H248" s="10" t="s">
        <v>5732</v>
      </c>
      <c r="I248" s="9"/>
      <c r="J248" s="9" t="s">
        <v>2773</v>
      </c>
      <c r="K248" s="9" t="s">
        <v>2773</v>
      </c>
    </row>
    <row r="249" customFormat="false" ht="26.85" hidden="false" customHeight="false" outlineLevel="0" collapsed="false">
      <c r="A249" s="9" t="s">
        <v>215</v>
      </c>
      <c r="B249" s="10" t="s">
        <v>234</v>
      </c>
      <c r="C249" s="9" t="s">
        <v>235</v>
      </c>
      <c r="D249" s="10" t="s">
        <v>24</v>
      </c>
      <c r="E249" s="9" t="s">
        <v>2666</v>
      </c>
      <c r="F249" s="10" t="s">
        <v>3594</v>
      </c>
      <c r="G249" s="9" t="s">
        <v>5419</v>
      </c>
      <c r="H249" s="10" t="s">
        <v>3595</v>
      </c>
      <c r="I249" s="9"/>
      <c r="J249" s="9" t="s">
        <v>2665</v>
      </c>
      <c r="K249" s="9" t="s">
        <v>2665</v>
      </c>
    </row>
    <row r="250" customFormat="false" ht="26.85" hidden="false" customHeight="false" outlineLevel="0" collapsed="false">
      <c r="A250" s="9" t="s">
        <v>215</v>
      </c>
      <c r="B250" s="10" t="s">
        <v>234</v>
      </c>
      <c r="C250" s="9" t="s">
        <v>235</v>
      </c>
      <c r="D250" s="10" t="s">
        <v>24</v>
      </c>
      <c r="E250" s="9" t="s">
        <v>5733</v>
      </c>
      <c r="F250" s="10" t="s">
        <v>3591</v>
      </c>
      <c r="G250" s="9" t="s">
        <v>5419</v>
      </c>
      <c r="H250" s="10" t="s">
        <v>3592</v>
      </c>
      <c r="I250" s="9"/>
      <c r="J250" s="9" t="s">
        <v>2665</v>
      </c>
      <c r="K250" s="9" t="s">
        <v>2665</v>
      </c>
    </row>
    <row r="251" customFormat="false" ht="26.85" hidden="false" customHeight="false" outlineLevel="0" collapsed="false">
      <c r="A251" s="9" t="s">
        <v>215</v>
      </c>
      <c r="B251" s="10" t="s">
        <v>234</v>
      </c>
      <c r="C251" s="9" t="s">
        <v>235</v>
      </c>
      <c r="D251" s="10" t="s">
        <v>24</v>
      </c>
      <c r="E251" s="9" t="s">
        <v>3601</v>
      </c>
      <c r="F251" s="10" t="s">
        <v>3602</v>
      </c>
      <c r="G251" s="9" t="s">
        <v>5419</v>
      </c>
      <c r="H251" s="10" t="s">
        <v>3603</v>
      </c>
      <c r="I251" s="9"/>
      <c r="J251" s="9" t="s">
        <v>2665</v>
      </c>
      <c r="K251" s="9" t="s">
        <v>2665</v>
      </c>
    </row>
    <row r="252" customFormat="false" ht="26.85" hidden="false" customHeight="false" outlineLevel="0" collapsed="false">
      <c r="A252" s="9" t="s">
        <v>215</v>
      </c>
      <c r="B252" s="10" t="s">
        <v>234</v>
      </c>
      <c r="C252" s="9" t="s">
        <v>235</v>
      </c>
      <c r="D252" s="10" t="s">
        <v>24</v>
      </c>
      <c r="E252" s="9" t="s">
        <v>5734</v>
      </c>
      <c r="F252" s="10" t="s">
        <v>3605</v>
      </c>
      <c r="G252" s="9" t="s">
        <v>5419</v>
      </c>
      <c r="H252" s="10" t="s">
        <v>3606</v>
      </c>
      <c r="I252" s="9"/>
      <c r="J252" s="9" t="s">
        <v>2665</v>
      </c>
      <c r="K252" s="9" t="s">
        <v>2665</v>
      </c>
    </row>
    <row r="253" customFormat="false" ht="26.85" hidden="false" customHeight="false" outlineLevel="0" collapsed="false">
      <c r="A253" s="9" t="s">
        <v>215</v>
      </c>
      <c r="B253" s="10" t="s">
        <v>236</v>
      </c>
      <c r="C253" s="9" t="s">
        <v>237</v>
      </c>
      <c r="D253" s="10" t="s">
        <v>25</v>
      </c>
      <c r="E253" s="9" t="s">
        <v>5735</v>
      </c>
      <c r="F253" s="10" t="s">
        <v>3565</v>
      </c>
      <c r="G253" s="9" t="s">
        <v>5419</v>
      </c>
      <c r="H253" s="10" t="s">
        <v>3566</v>
      </c>
      <c r="I253" s="9"/>
      <c r="J253" s="9" t="s">
        <v>2232</v>
      </c>
      <c r="K253" s="9" t="s">
        <v>3284</v>
      </c>
    </row>
    <row r="254" customFormat="false" ht="26.85" hidden="false" customHeight="false" outlineLevel="0" collapsed="false">
      <c r="A254" s="9" t="s">
        <v>215</v>
      </c>
      <c r="B254" s="10" t="s">
        <v>236</v>
      </c>
      <c r="C254" s="9" t="s">
        <v>237</v>
      </c>
      <c r="D254" s="10" t="s">
        <v>25</v>
      </c>
      <c r="E254" s="9" t="s">
        <v>5736</v>
      </c>
      <c r="F254" s="10" t="s">
        <v>5737</v>
      </c>
      <c r="G254" s="9" t="s">
        <v>5419</v>
      </c>
      <c r="H254" s="10" t="s">
        <v>5738</v>
      </c>
      <c r="I254" s="9"/>
      <c r="J254" s="9" t="s">
        <v>2232</v>
      </c>
      <c r="K254" s="9" t="s">
        <v>3284</v>
      </c>
    </row>
    <row r="255" customFormat="false" ht="26.85" hidden="false" customHeight="false" outlineLevel="0" collapsed="false">
      <c r="A255" s="9" t="s">
        <v>215</v>
      </c>
      <c r="B255" s="10" t="s">
        <v>236</v>
      </c>
      <c r="C255" s="9" t="s">
        <v>237</v>
      </c>
      <c r="D255" s="10" t="s">
        <v>25</v>
      </c>
      <c r="E255" s="9" t="s">
        <v>5739</v>
      </c>
      <c r="F255" s="10" t="s">
        <v>5740</v>
      </c>
      <c r="G255" s="9" t="s">
        <v>5419</v>
      </c>
      <c r="H255" s="10" t="s">
        <v>5741</v>
      </c>
      <c r="I255" s="9"/>
      <c r="J255" s="9" t="s">
        <v>2232</v>
      </c>
      <c r="K255" s="9" t="s">
        <v>3284</v>
      </c>
    </row>
    <row r="256" customFormat="false" ht="26.85" hidden="false" customHeight="false" outlineLevel="0" collapsed="false">
      <c r="A256" s="9" t="s">
        <v>215</v>
      </c>
      <c r="B256" s="10" t="s">
        <v>238</v>
      </c>
      <c r="C256" s="9" t="s">
        <v>239</v>
      </c>
      <c r="D256" s="10" t="s">
        <v>24</v>
      </c>
      <c r="E256" s="9" t="s">
        <v>5742</v>
      </c>
      <c r="F256" s="10" t="s">
        <v>3568</v>
      </c>
      <c r="G256" s="9" t="s">
        <v>5419</v>
      </c>
      <c r="H256" s="10" t="s">
        <v>3569</v>
      </c>
      <c r="I256" s="9"/>
      <c r="J256" s="9" t="s">
        <v>2773</v>
      </c>
      <c r="K256" s="9" t="s">
        <v>2773</v>
      </c>
    </row>
    <row r="257" customFormat="false" ht="26.85" hidden="false" customHeight="false" outlineLevel="0" collapsed="false">
      <c r="A257" s="9" t="s">
        <v>215</v>
      </c>
      <c r="B257" s="10" t="s">
        <v>238</v>
      </c>
      <c r="C257" s="9" t="s">
        <v>239</v>
      </c>
      <c r="D257" s="10" t="s">
        <v>24</v>
      </c>
      <c r="E257" s="9" t="s">
        <v>5739</v>
      </c>
      <c r="F257" s="10" t="s">
        <v>5740</v>
      </c>
      <c r="G257" s="9" t="s">
        <v>5419</v>
      </c>
      <c r="H257" s="10" t="s">
        <v>5741</v>
      </c>
      <c r="I257" s="9"/>
      <c r="J257" s="9" t="s">
        <v>2232</v>
      </c>
      <c r="K257" s="9" t="s">
        <v>3284</v>
      </c>
    </row>
    <row r="258" customFormat="false" ht="26.85" hidden="false" customHeight="false" outlineLevel="0" collapsed="false">
      <c r="A258" s="9" t="s">
        <v>215</v>
      </c>
      <c r="B258" s="10" t="s">
        <v>238</v>
      </c>
      <c r="C258" s="9" t="s">
        <v>239</v>
      </c>
      <c r="D258" s="10" t="s">
        <v>24</v>
      </c>
      <c r="E258" s="9" t="s">
        <v>5743</v>
      </c>
      <c r="F258" s="10" t="s">
        <v>5744</v>
      </c>
      <c r="G258" s="9" t="s">
        <v>5419</v>
      </c>
      <c r="H258" s="10" t="s">
        <v>5745</v>
      </c>
      <c r="I258" s="9"/>
      <c r="J258" s="9" t="s">
        <v>2232</v>
      </c>
      <c r="K258" s="9" t="s">
        <v>3284</v>
      </c>
    </row>
    <row r="259" customFormat="false" ht="26.85" hidden="false" customHeight="false" outlineLevel="0" collapsed="false">
      <c r="A259" s="9" t="s">
        <v>215</v>
      </c>
      <c r="B259" s="10" t="s">
        <v>238</v>
      </c>
      <c r="C259" s="9" t="s">
        <v>239</v>
      </c>
      <c r="D259" s="10" t="s">
        <v>24</v>
      </c>
      <c r="E259" s="9" t="s">
        <v>5746</v>
      </c>
      <c r="F259" s="10" t="s">
        <v>3615</v>
      </c>
      <c r="G259" s="9" t="s">
        <v>5419</v>
      </c>
      <c r="H259" s="10" t="s">
        <v>3616</v>
      </c>
      <c r="I259" s="9"/>
      <c r="J259" s="9" t="s">
        <v>2773</v>
      </c>
      <c r="K259" s="9" t="s">
        <v>2773</v>
      </c>
    </row>
    <row r="260" customFormat="false" ht="26.85" hidden="false" customHeight="false" outlineLevel="0" collapsed="false">
      <c r="A260" s="9" t="s">
        <v>215</v>
      </c>
      <c r="B260" s="10" t="s">
        <v>241</v>
      </c>
      <c r="C260" s="9" t="s">
        <v>242</v>
      </c>
      <c r="D260" s="10" t="s">
        <v>25</v>
      </c>
      <c r="E260" s="9" t="s">
        <v>5739</v>
      </c>
      <c r="F260" s="10" t="s">
        <v>5740</v>
      </c>
      <c r="G260" s="9" t="s">
        <v>5419</v>
      </c>
      <c r="H260" s="10" t="s">
        <v>5741</v>
      </c>
      <c r="I260" s="9"/>
      <c r="J260" s="9" t="s">
        <v>2232</v>
      </c>
      <c r="K260" s="9" t="s">
        <v>3284</v>
      </c>
    </row>
    <row r="261" customFormat="false" ht="26.85" hidden="false" customHeight="false" outlineLevel="0" collapsed="false">
      <c r="A261" s="9" t="s">
        <v>215</v>
      </c>
      <c r="B261" s="10" t="s">
        <v>241</v>
      </c>
      <c r="C261" s="9" t="s">
        <v>242</v>
      </c>
      <c r="D261" s="10" t="s">
        <v>25</v>
      </c>
      <c r="E261" s="9" t="s">
        <v>5747</v>
      </c>
      <c r="F261" s="10" t="s">
        <v>5748</v>
      </c>
      <c r="G261" s="9" t="s">
        <v>5419</v>
      </c>
      <c r="H261" s="10" t="s">
        <v>5749</v>
      </c>
      <c r="I261" s="9"/>
      <c r="J261" s="9" t="s">
        <v>2232</v>
      </c>
      <c r="K261" s="9" t="s">
        <v>3284</v>
      </c>
    </row>
    <row r="262" customFormat="false" ht="26.85" hidden="false" customHeight="false" outlineLevel="0" collapsed="false">
      <c r="A262" s="9" t="s">
        <v>215</v>
      </c>
      <c r="B262" s="10" t="s">
        <v>241</v>
      </c>
      <c r="C262" s="9" t="s">
        <v>242</v>
      </c>
      <c r="D262" s="10" t="s">
        <v>25</v>
      </c>
      <c r="E262" s="9" t="s">
        <v>5750</v>
      </c>
      <c r="F262" s="10" t="s">
        <v>3555</v>
      </c>
      <c r="G262" s="9" t="s">
        <v>5419</v>
      </c>
      <c r="H262" s="10" t="s">
        <v>3556</v>
      </c>
      <c r="I262" s="9"/>
      <c r="J262" s="10" t="s">
        <v>3247</v>
      </c>
      <c r="K262" s="10" t="s">
        <v>3247</v>
      </c>
    </row>
    <row r="263" customFormat="false" ht="26.85" hidden="false" customHeight="false" outlineLevel="0" collapsed="false">
      <c r="A263" s="9" t="s">
        <v>215</v>
      </c>
      <c r="B263" s="10" t="s">
        <v>243</v>
      </c>
      <c r="C263" s="9" t="s">
        <v>244</v>
      </c>
      <c r="D263" s="10" t="s">
        <v>26</v>
      </c>
      <c r="E263" s="9" t="s">
        <v>5751</v>
      </c>
      <c r="F263" s="10" t="s">
        <v>3558</v>
      </c>
      <c r="G263" s="9" t="s">
        <v>5419</v>
      </c>
      <c r="H263" s="10" t="s">
        <v>3559</v>
      </c>
      <c r="I263" s="9"/>
      <c r="J263" s="10" t="s">
        <v>3247</v>
      </c>
      <c r="K263" s="10" t="s">
        <v>3247</v>
      </c>
    </row>
    <row r="264" customFormat="false" ht="26.85" hidden="false" customHeight="false" outlineLevel="0" collapsed="false">
      <c r="A264" s="9" t="s">
        <v>215</v>
      </c>
      <c r="B264" s="10" t="s">
        <v>243</v>
      </c>
      <c r="C264" s="9" t="s">
        <v>244</v>
      </c>
      <c r="D264" s="10" t="s">
        <v>26</v>
      </c>
      <c r="E264" s="9" t="s">
        <v>5752</v>
      </c>
      <c r="F264" s="10" t="s">
        <v>3543</v>
      </c>
      <c r="G264" s="9" t="s">
        <v>5418</v>
      </c>
      <c r="H264" s="10" t="s">
        <v>3544</v>
      </c>
      <c r="I264" s="9"/>
      <c r="J264" s="10" t="s">
        <v>3247</v>
      </c>
      <c r="K264" s="10" t="s">
        <v>3247</v>
      </c>
    </row>
    <row r="265" customFormat="false" ht="26.85" hidden="false" customHeight="false" outlineLevel="0" collapsed="false">
      <c r="A265" s="9" t="s">
        <v>215</v>
      </c>
      <c r="B265" s="10" t="s">
        <v>243</v>
      </c>
      <c r="C265" s="9" t="s">
        <v>244</v>
      </c>
      <c r="D265" s="10" t="s">
        <v>26</v>
      </c>
      <c r="E265" s="9" t="s">
        <v>5753</v>
      </c>
      <c r="F265" s="10" t="s">
        <v>5754</v>
      </c>
      <c r="G265" s="9" t="s">
        <v>5419</v>
      </c>
      <c r="H265" s="10" t="s">
        <v>5755</v>
      </c>
      <c r="I265" s="9"/>
      <c r="J265" s="9" t="s">
        <v>2773</v>
      </c>
      <c r="K265" s="9" t="s">
        <v>2773</v>
      </c>
    </row>
    <row r="266" customFormat="false" ht="26.85" hidden="false" customHeight="false" outlineLevel="0" collapsed="false">
      <c r="A266" s="9" t="s">
        <v>215</v>
      </c>
      <c r="B266" s="10" t="s">
        <v>243</v>
      </c>
      <c r="C266" s="9" t="s">
        <v>244</v>
      </c>
      <c r="D266" s="10" t="s">
        <v>26</v>
      </c>
      <c r="E266" s="9" t="s">
        <v>5756</v>
      </c>
      <c r="F266" s="10" t="s">
        <v>3561</v>
      </c>
      <c r="G266" s="9" t="s">
        <v>5419</v>
      </c>
      <c r="H266" s="10" t="s">
        <v>3562</v>
      </c>
      <c r="I266" s="9"/>
      <c r="J266" s="10" t="s">
        <v>3247</v>
      </c>
      <c r="K266" s="10" t="s">
        <v>3247</v>
      </c>
    </row>
    <row r="267" customFormat="false" ht="26.85" hidden="false" customHeight="false" outlineLevel="0" collapsed="false">
      <c r="A267" s="9" t="s">
        <v>215</v>
      </c>
      <c r="B267" s="10" t="s">
        <v>245</v>
      </c>
      <c r="C267" s="9" t="s">
        <v>246</v>
      </c>
      <c r="D267" s="10" t="s">
        <v>26</v>
      </c>
      <c r="E267" s="9" t="s">
        <v>3551</v>
      </c>
      <c r="F267" s="10" t="s">
        <v>3552</v>
      </c>
      <c r="G267" s="9" t="s">
        <v>5419</v>
      </c>
      <c r="H267" s="10" t="s">
        <v>3553</v>
      </c>
      <c r="I267" s="9"/>
      <c r="J267" s="9" t="s">
        <v>2232</v>
      </c>
      <c r="K267" s="9" t="s">
        <v>3284</v>
      </c>
    </row>
    <row r="268" customFormat="false" ht="26.85" hidden="false" customHeight="false" outlineLevel="0" collapsed="false">
      <c r="A268" s="9" t="s">
        <v>215</v>
      </c>
      <c r="B268" s="10" t="s">
        <v>245</v>
      </c>
      <c r="C268" s="9" t="s">
        <v>246</v>
      </c>
      <c r="D268" s="10" t="s">
        <v>26</v>
      </c>
      <c r="E268" s="9" t="s">
        <v>5757</v>
      </c>
      <c r="F268" s="10" t="s">
        <v>5758</v>
      </c>
      <c r="G268" s="9" t="s">
        <v>5419</v>
      </c>
      <c r="H268" s="10" t="s">
        <v>5759</v>
      </c>
      <c r="I268" s="9"/>
      <c r="J268" s="10" t="s">
        <v>3247</v>
      </c>
      <c r="K268" s="10" t="s">
        <v>3247</v>
      </c>
    </row>
    <row r="269" customFormat="false" ht="26.85" hidden="false" customHeight="false" outlineLevel="0" collapsed="false">
      <c r="A269" s="9" t="s">
        <v>215</v>
      </c>
      <c r="B269" s="10" t="s">
        <v>245</v>
      </c>
      <c r="C269" s="9" t="s">
        <v>246</v>
      </c>
      <c r="D269" s="10" t="s">
        <v>26</v>
      </c>
      <c r="E269" s="9" t="s">
        <v>5760</v>
      </c>
      <c r="F269" s="10" t="s">
        <v>2979</v>
      </c>
      <c r="G269" s="9" t="s">
        <v>5419</v>
      </c>
      <c r="H269" s="10" t="s">
        <v>3550</v>
      </c>
      <c r="I269" s="9"/>
      <c r="J269" s="9" t="s">
        <v>2232</v>
      </c>
      <c r="K269" s="9" t="s">
        <v>3284</v>
      </c>
    </row>
    <row r="270" customFormat="false" ht="26.85" hidden="false" customHeight="false" outlineLevel="0" collapsed="false">
      <c r="A270" s="9" t="s">
        <v>215</v>
      </c>
      <c r="B270" s="10" t="s">
        <v>247</v>
      </c>
      <c r="C270" s="9" t="s">
        <v>248</v>
      </c>
      <c r="D270" s="10" t="s">
        <v>24</v>
      </c>
      <c r="E270" s="9" t="s">
        <v>5761</v>
      </c>
      <c r="F270" s="10" t="s">
        <v>5762</v>
      </c>
      <c r="G270" s="9" t="s">
        <v>5419</v>
      </c>
      <c r="H270" s="10" t="s">
        <v>5763</v>
      </c>
      <c r="I270" s="9"/>
      <c r="J270" s="9" t="s">
        <v>3039</v>
      </c>
      <c r="K270" s="9" t="s">
        <v>3039</v>
      </c>
    </row>
    <row r="271" customFormat="false" ht="26.85" hidden="false" customHeight="false" outlineLevel="0" collapsed="false">
      <c r="A271" s="9" t="s">
        <v>215</v>
      </c>
      <c r="B271" s="10" t="s">
        <v>247</v>
      </c>
      <c r="C271" s="9" t="s">
        <v>248</v>
      </c>
      <c r="D271" s="10" t="s">
        <v>24</v>
      </c>
      <c r="E271" s="9" t="s">
        <v>5764</v>
      </c>
      <c r="F271" s="10" t="s">
        <v>5765</v>
      </c>
      <c r="G271" s="9" t="s">
        <v>5418</v>
      </c>
      <c r="H271" s="10" t="s">
        <v>5766</v>
      </c>
      <c r="I271" s="9"/>
      <c r="J271" s="10" t="s">
        <v>3247</v>
      </c>
      <c r="K271" s="10" t="s">
        <v>3247</v>
      </c>
    </row>
    <row r="272" customFormat="false" ht="26.85" hidden="false" customHeight="false" outlineLevel="0" collapsed="false">
      <c r="A272" s="9" t="s">
        <v>215</v>
      </c>
      <c r="B272" s="10" t="s">
        <v>249</v>
      </c>
      <c r="C272" s="9" t="s">
        <v>250</v>
      </c>
      <c r="D272" s="10" t="s">
        <v>24</v>
      </c>
      <c r="E272" s="9" t="s">
        <v>5767</v>
      </c>
      <c r="F272" s="10" t="s">
        <v>3629</v>
      </c>
      <c r="G272" s="9" t="s">
        <v>5419</v>
      </c>
      <c r="H272" s="10" t="s">
        <v>3630</v>
      </c>
      <c r="I272" s="9"/>
      <c r="J272" s="10" t="s">
        <v>3247</v>
      </c>
      <c r="K272" s="10" t="s">
        <v>3247</v>
      </c>
    </row>
    <row r="273" customFormat="false" ht="26.85" hidden="false" customHeight="false" outlineLevel="0" collapsed="false">
      <c r="A273" s="9" t="s">
        <v>215</v>
      </c>
      <c r="B273" s="10" t="s">
        <v>249</v>
      </c>
      <c r="C273" s="9" t="s">
        <v>250</v>
      </c>
      <c r="D273" s="10" t="s">
        <v>24</v>
      </c>
      <c r="E273" s="9" t="s">
        <v>5768</v>
      </c>
      <c r="F273" s="10" t="s">
        <v>3632</v>
      </c>
      <c r="G273" s="9" t="s">
        <v>5419</v>
      </c>
      <c r="H273" s="10" t="s">
        <v>3633</v>
      </c>
      <c r="I273" s="9"/>
      <c r="J273" s="10" t="s">
        <v>3247</v>
      </c>
      <c r="K273" s="10" t="s">
        <v>3247</v>
      </c>
    </row>
    <row r="274" customFormat="false" ht="26.85" hidden="false" customHeight="false" outlineLevel="0" collapsed="false">
      <c r="A274" s="9" t="s">
        <v>215</v>
      </c>
      <c r="B274" s="10" t="s">
        <v>249</v>
      </c>
      <c r="C274" s="9" t="s">
        <v>250</v>
      </c>
      <c r="D274" s="10" t="s">
        <v>24</v>
      </c>
      <c r="E274" s="9" t="s">
        <v>5769</v>
      </c>
      <c r="F274" s="10" t="s">
        <v>5770</v>
      </c>
      <c r="G274" s="9" t="s">
        <v>5419</v>
      </c>
      <c r="H274" s="10" t="s">
        <v>5771</v>
      </c>
      <c r="I274" s="9"/>
      <c r="J274" s="10" t="s">
        <v>3247</v>
      </c>
      <c r="K274" s="10" t="s">
        <v>3247</v>
      </c>
    </row>
    <row r="275" customFormat="false" ht="26.85" hidden="false" customHeight="false" outlineLevel="0" collapsed="false">
      <c r="A275" s="9" t="s">
        <v>215</v>
      </c>
      <c r="B275" s="10" t="s">
        <v>249</v>
      </c>
      <c r="C275" s="9" t="s">
        <v>250</v>
      </c>
      <c r="D275" s="10" t="s">
        <v>24</v>
      </c>
      <c r="E275" s="9" t="s">
        <v>5772</v>
      </c>
      <c r="F275" s="10" t="s">
        <v>5773</v>
      </c>
      <c r="G275" s="9" t="s">
        <v>5419</v>
      </c>
      <c r="H275" s="10" t="s">
        <v>5774</v>
      </c>
      <c r="I275" s="9"/>
      <c r="J275" s="10" t="s">
        <v>3247</v>
      </c>
      <c r="K275" s="10" t="s">
        <v>3247</v>
      </c>
    </row>
    <row r="276" customFormat="false" ht="26.85" hidden="false" customHeight="false" outlineLevel="0" collapsed="false">
      <c r="A276" s="9" t="s">
        <v>251</v>
      </c>
      <c r="B276" s="10" t="s">
        <v>252</v>
      </c>
      <c r="C276" s="9" t="s">
        <v>253</v>
      </c>
      <c r="D276" s="10" t="s">
        <v>25</v>
      </c>
      <c r="E276" s="9" t="s">
        <v>5775</v>
      </c>
      <c r="F276" s="10" t="s">
        <v>5776</v>
      </c>
      <c r="G276" s="9" t="s">
        <v>5419</v>
      </c>
      <c r="H276" s="10" t="s">
        <v>5777</v>
      </c>
      <c r="I276" s="9"/>
      <c r="J276" s="9" t="s">
        <v>2232</v>
      </c>
      <c r="K276" s="9" t="s">
        <v>3284</v>
      </c>
    </row>
    <row r="277" customFormat="false" ht="26.85" hidden="false" customHeight="false" outlineLevel="0" collapsed="false">
      <c r="A277" s="9" t="s">
        <v>251</v>
      </c>
      <c r="B277" s="10" t="s">
        <v>252</v>
      </c>
      <c r="C277" s="9" t="s">
        <v>253</v>
      </c>
      <c r="D277" s="10" t="s">
        <v>25</v>
      </c>
      <c r="E277" s="9" t="s">
        <v>5778</v>
      </c>
      <c r="F277" s="10" t="s">
        <v>5779</v>
      </c>
      <c r="G277" s="9" t="s">
        <v>5419</v>
      </c>
      <c r="H277" s="10" t="s">
        <v>5780</v>
      </c>
      <c r="I277" s="9"/>
      <c r="J277" s="9" t="s">
        <v>2232</v>
      </c>
      <c r="K277" s="9" t="s">
        <v>3284</v>
      </c>
    </row>
    <row r="278" customFormat="false" ht="26.85" hidden="false" customHeight="false" outlineLevel="0" collapsed="false">
      <c r="A278" s="9" t="s">
        <v>251</v>
      </c>
      <c r="B278" s="10" t="s">
        <v>255</v>
      </c>
      <c r="C278" s="9" t="s">
        <v>256</v>
      </c>
      <c r="D278" s="10" t="s">
        <v>25</v>
      </c>
      <c r="E278" s="9" t="s">
        <v>5781</v>
      </c>
      <c r="F278" s="10" t="s">
        <v>3690</v>
      </c>
      <c r="G278" s="9" t="s">
        <v>5419</v>
      </c>
      <c r="H278" s="10" t="s">
        <v>3691</v>
      </c>
      <c r="I278" s="9"/>
      <c r="J278" s="9" t="s">
        <v>2232</v>
      </c>
      <c r="K278" s="9" t="s">
        <v>3284</v>
      </c>
    </row>
    <row r="279" customFormat="false" ht="26.85" hidden="false" customHeight="false" outlineLevel="0" collapsed="false">
      <c r="A279" s="9" t="s">
        <v>251</v>
      </c>
      <c r="B279" s="10" t="s">
        <v>255</v>
      </c>
      <c r="C279" s="9" t="s">
        <v>256</v>
      </c>
      <c r="D279" s="10" t="s">
        <v>25</v>
      </c>
      <c r="E279" s="9" t="s">
        <v>5782</v>
      </c>
      <c r="F279" s="10" t="s">
        <v>5783</v>
      </c>
      <c r="G279" s="9" t="s">
        <v>5419</v>
      </c>
      <c r="H279" s="10" t="s">
        <v>5784</v>
      </c>
      <c r="I279" s="9"/>
      <c r="J279" s="9" t="s">
        <v>2232</v>
      </c>
      <c r="K279" s="9" t="s">
        <v>3284</v>
      </c>
    </row>
    <row r="280" customFormat="false" ht="26.85" hidden="false" customHeight="false" outlineLevel="0" collapsed="false">
      <c r="A280" s="9" t="s">
        <v>251</v>
      </c>
      <c r="B280" s="10" t="s">
        <v>255</v>
      </c>
      <c r="C280" s="9" t="s">
        <v>256</v>
      </c>
      <c r="D280" s="10" t="s">
        <v>25</v>
      </c>
      <c r="E280" s="9" t="s">
        <v>5785</v>
      </c>
      <c r="F280" s="10" t="s">
        <v>3693</v>
      </c>
      <c r="G280" s="9" t="s">
        <v>5419</v>
      </c>
      <c r="H280" s="10" t="s">
        <v>3694</v>
      </c>
      <c r="I280" s="9"/>
      <c r="J280" s="9" t="s">
        <v>2232</v>
      </c>
      <c r="K280" s="9" t="s">
        <v>3284</v>
      </c>
    </row>
    <row r="281" customFormat="false" ht="26.85" hidden="false" customHeight="false" outlineLevel="0" collapsed="false">
      <c r="A281" s="9" t="s">
        <v>251</v>
      </c>
      <c r="B281" s="10" t="s">
        <v>257</v>
      </c>
      <c r="C281" s="9" t="s">
        <v>258</v>
      </c>
      <c r="D281" s="10" t="s">
        <v>25</v>
      </c>
      <c r="E281" s="9" t="s">
        <v>5786</v>
      </c>
      <c r="F281" s="10" t="s">
        <v>5787</v>
      </c>
      <c r="G281" s="9" t="s">
        <v>5419</v>
      </c>
      <c r="H281" s="10" t="s">
        <v>5788</v>
      </c>
      <c r="I281" s="9"/>
      <c r="J281" s="9" t="s">
        <v>2232</v>
      </c>
      <c r="K281" s="9" t="s">
        <v>3284</v>
      </c>
    </row>
    <row r="282" customFormat="false" ht="26.85" hidden="false" customHeight="false" outlineLevel="0" collapsed="false">
      <c r="A282" s="9" t="s">
        <v>251</v>
      </c>
      <c r="B282" s="10" t="s">
        <v>257</v>
      </c>
      <c r="C282" s="9" t="s">
        <v>258</v>
      </c>
      <c r="D282" s="10" t="s">
        <v>25</v>
      </c>
      <c r="E282" s="9" t="s">
        <v>5785</v>
      </c>
      <c r="F282" s="10" t="s">
        <v>3693</v>
      </c>
      <c r="G282" s="9" t="s">
        <v>5419</v>
      </c>
      <c r="H282" s="10" t="s">
        <v>3694</v>
      </c>
      <c r="I282" s="9"/>
      <c r="J282" s="9" t="s">
        <v>2232</v>
      </c>
      <c r="K282" s="9" t="s">
        <v>3284</v>
      </c>
    </row>
    <row r="283" customFormat="false" ht="26.85" hidden="false" customHeight="false" outlineLevel="0" collapsed="false">
      <c r="A283" s="9" t="s">
        <v>251</v>
      </c>
      <c r="B283" s="10" t="s">
        <v>257</v>
      </c>
      <c r="C283" s="9" t="s">
        <v>258</v>
      </c>
      <c r="D283" s="10" t="s">
        <v>25</v>
      </c>
      <c r="E283" s="9" t="s">
        <v>3699</v>
      </c>
      <c r="F283" s="10" t="s">
        <v>3700</v>
      </c>
      <c r="G283" s="9" t="s">
        <v>5419</v>
      </c>
      <c r="H283" s="10" t="s">
        <v>3701</v>
      </c>
      <c r="I283" s="9"/>
      <c r="J283" s="9" t="s">
        <v>2232</v>
      </c>
      <c r="K283" s="9" t="s">
        <v>3284</v>
      </c>
    </row>
    <row r="284" customFormat="false" ht="26.85" hidden="false" customHeight="false" outlineLevel="0" collapsed="false">
      <c r="A284" s="9" t="s">
        <v>251</v>
      </c>
      <c r="B284" s="10" t="s">
        <v>260</v>
      </c>
      <c r="C284" s="9" t="s">
        <v>261</v>
      </c>
      <c r="D284" s="10" t="s">
        <v>24</v>
      </c>
      <c r="E284" s="9" t="s">
        <v>5789</v>
      </c>
      <c r="F284" s="10" t="s">
        <v>3696</v>
      </c>
      <c r="G284" s="9" t="s">
        <v>5419</v>
      </c>
      <c r="H284" s="10" t="s">
        <v>3697</v>
      </c>
      <c r="I284" s="9"/>
      <c r="J284" s="9" t="s">
        <v>2232</v>
      </c>
      <c r="K284" s="9" t="s">
        <v>3284</v>
      </c>
    </row>
    <row r="285" customFormat="false" ht="26.85" hidden="false" customHeight="false" outlineLevel="0" collapsed="false">
      <c r="A285" s="9" t="s">
        <v>251</v>
      </c>
      <c r="B285" s="10" t="s">
        <v>260</v>
      </c>
      <c r="C285" s="9" t="s">
        <v>261</v>
      </c>
      <c r="D285" s="10" t="s">
        <v>24</v>
      </c>
      <c r="E285" s="9" t="s">
        <v>5790</v>
      </c>
      <c r="F285" s="10" t="s">
        <v>5791</v>
      </c>
      <c r="G285" s="9" t="s">
        <v>5419</v>
      </c>
      <c r="H285" s="10" t="s">
        <v>5792</v>
      </c>
      <c r="I285" s="9"/>
      <c r="J285" s="9" t="s">
        <v>2232</v>
      </c>
      <c r="K285" s="9" t="s">
        <v>3284</v>
      </c>
    </row>
    <row r="286" customFormat="false" ht="26.85" hidden="false" customHeight="false" outlineLevel="0" collapsed="false">
      <c r="A286" s="9" t="s">
        <v>251</v>
      </c>
      <c r="B286" s="10" t="s">
        <v>260</v>
      </c>
      <c r="C286" s="9" t="s">
        <v>261</v>
      </c>
      <c r="D286" s="10" t="s">
        <v>24</v>
      </c>
      <c r="E286" s="9" t="s">
        <v>5793</v>
      </c>
      <c r="F286" s="10" t="s">
        <v>5794</v>
      </c>
      <c r="G286" s="9" t="s">
        <v>5419</v>
      </c>
      <c r="H286" s="10" t="s">
        <v>5795</v>
      </c>
      <c r="I286" s="9"/>
      <c r="J286" s="9" t="s">
        <v>2232</v>
      </c>
      <c r="K286" s="9" t="s">
        <v>3284</v>
      </c>
    </row>
    <row r="287" customFormat="false" ht="26.85" hidden="false" customHeight="false" outlineLevel="0" collapsed="false">
      <c r="A287" s="9" t="s">
        <v>251</v>
      </c>
      <c r="B287" s="10" t="s">
        <v>263</v>
      </c>
      <c r="C287" s="9" t="s">
        <v>264</v>
      </c>
      <c r="D287" s="10" t="s">
        <v>26</v>
      </c>
      <c r="E287" s="9" t="s">
        <v>3682</v>
      </c>
      <c r="F287" s="10" t="s">
        <v>3683</v>
      </c>
      <c r="G287" s="9" t="s">
        <v>5419</v>
      </c>
      <c r="H287" s="10" t="s">
        <v>3684</v>
      </c>
      <c r="I287" s="9"/>
      <c r="J287" s="9" t="s">
        <v>2232</v>
      </c>
      <c r="K287" s="9" t="s">
        <v>3284</v>
      </c>
    </row>
    <row r="288" customFormat="false" ht="26.85" hidden="false" customHeight="false" outlineLevel="0" collapsed="false">
      <c r="A288" s="9" t="s">
        <v>251</v>
      </c>
      <c r="B288" s="10" t="s">
        <v>263</v>
      </c>
      <c r="C288" s="9" t="s">
        <v>264</v>
      </c>
      <c r="D288" s="10" t="s">
        <v>26</v>
      </c>
      <c r="E288" s="9" t="s">
        <v>3679</v>
      </c>
      <c r="F288" s="10" t="s">
        <v>3680</v>
      </c>
      <c r="G288" s="9" t="s">
        <v>5419</v>
      </c>
      <c r="H288" s="10" t="s">
        <v>3681</v>
      </c>
      <c r="I288" s="9"/>
      <c r="J288" s="9" t="s">
        <v>2232</v>
      </c>
      <c r="K288" s="9" t="s">
        <v>3284</v>
      </c>
    </row>
    <row r="289" customFormat="false" ht="26.85" hidden="false" customHeight="false" outlineLevel="0" collapsed="false">
      <c r="A289" s="9" t="s">
        <v>251</v>
      </c>
      <c r="B289" s="10" t="s">
        <v>263</v>
      </c>
      <c r="C289" s="9" t="s">
        <v>264</v>
      </c>
      <c r="D289" s="10" t="s">
        <v>26</v>
      </c>
      <c r="E289" s="9" t="s">
        <v>5796</v>
      </c>
      <c r="F289" s="10" t="s">
        <v>3413</v>
      </c>
      <c r="G289" s="9" t="s">
        <v>5419</v>
      </c>
      <c r="H289" s="10" t="s">
        <v>3414</v>
      </c>
      <c r="I289" s="9"/>
      <c r="J289" s="9" t="s">
        <v>2232</v>
      </c>
      <c r="K289" s="9" t="s">
        <v>3284</v>
      </c>
    </row>
    <row r="290" customFormat="false" ht="26.85" hidden="false" customHeight="false" outlineLevel="0" collapsed="false">
      <c r="A290" s="9" t="s">
        <v>265</v>
      </c>
      <c r="B290" s="10" t="s">
        <v>266</v>
      </c>
      <c r="C290" s="9" t="s">
        <v>267</v>
      </c>
      <c r="D290" s="10" t="s">
        <v>26</v>
      </c>
      <c r="E290" s="9" t="s">
        <v>3438</v>
      </c>
      <c r="F290" s="10" t="s">
        <v>3439</v>
      </c>
      <c r="G290" s="9" t="s">
        <v>5418</v>
      </c>
      <c r="H290" s="10" t="s">
        <v>3440</v>
      </c>
      <c r="I290" s="9"/>
      <c r="J290" s="10" t="s">
        <v>3247</v>
      </c>
      <c r="K290" s="10" t="s">
        <v>3247</v>
      </c>
    </row>
    <row r="291" customFormat="false" ht="26.85" hidden="false" customHeight="false" outlineLevel="0" collapsed="false">
      <c r="A291" s="9" t="s">
        <v>265</v>
      </c>
      <c r="B291" s="10" t="s">
        <v>266</v>
      </c>
      <c r="C291" s="9" t="s">
        <v>267</v>
      </c>
      <c r="D291" s="10" t="s">
        <v>26</v>
      </c>
      <c r="E291" s="9" t="s">
        <v>3435</v>
      </c>
      <c r="F291" s="10" t="s">
        <v>3436</v>
      </c>
      <c r="G291" s="9" t="s">
        <v>5418</v>
      </c>
      <c r="H291" s="10" t="s">
        <v>3437</v>
      </c>
      <c r="I291" s="9"/>
      <c r="J291" s="10" t="s">
        <v>3247</v>
      </c>
      <c r="K291" s="10" t="s">
        <v>3247</v>
      </c>
    </row>
    <row r="292" customFormat="false" ht="26.85" hidden="false" customHeight="false" outlineLevel="0" collapsed="false">
      <c r="A292" s="9" t="s">
        <v>265</v>
      </c>
      <c r="B292" s="10" t="s">
        <v>266</v>
      </c>
      <c r="C292" s="9" t="s">
        <v>267</v>
      </c>
      <c r="D292" s="10" t="s">
        <v>26</v>
      </c>
      <c r="E292" s="9" t="s">
        <v>5797</v>
      </c>
      <c r="F292" s="10" t="s">
        <v>3422</v>
      </c>
      <c r="G292" s="9" t="s">
        <v>5419</v>
      </c>
      <c r="H292" s="10" t="s">
        <v>3423</v>
      </c>
      <c r="I292" s="9"/>
      <c r="J292" s="9" t="s">
        <v>2773</v>
      </c>
      <c r="K292" s="9" t="s">
        <v>2773</v>
      </c>
    </row>
    <row r="293" customFormat="false" ht="26.85" hidden="false" customHeight="false" outlineLevel="0" collapsed="false">
      <c r="A293" s="9" t="s">
        <v>265</v>
      </c>
      <c r="B293" s="10" t="s">
        <v>268</v>
      </c>
      <c r="C293" s="9" t="s">
        <v>269</v>
      </c>
      <c r="D293" s="10" t="s">
        <v>26</v>
      </c>
      <c r="E293" s="9" t="s">
        <v>5798</v>
      </c>
      <c r="F293" s="10" t="s">
        <v>5345</v>
      </c>
      <c r="G293" s="9" t="s">
        <v>5418</v>
      </c>
      <c r="H293" s="10" t="s">
        <v>5346</v>
      </c>
      <c r="I293" s="9"/>
      <c r="J293" s="10" t="s">
        <v>3247</v>
      </c>
      <c r="K293" s="10" t="s">
        <v>3247</v>
      </c>
    </row>
    <row r="294" customFormat="false" ht="26.85" hidden="false" customHeight="false" outlineLevel="0" collapsed="false">
      <c r="A294" s="9" t="s">
        <v>265</v>
      </c>
      <c r="B294" s="10" t="s">
        <v>268</v>
      </c>
      <c r="C294" s="9" t="s">
        <v>269</v>
      </c>
      <c r="D294" s="10" t="s">
        <v>26</v>
      </c>
      <c r="E294" s="9" t="s">
        <v>5799</v>
      </c>
      <c r="F294" s="10" t="s">
        <v>5800</v>
      </c>
      <c r="G294" s="9" t="s">
        <v>5418</v>
      </c>
      <c r="H294" s="10" t="s">
        <v>5801</v>
      </c>
      <c r="I294" s="9"/>
      <c r="J294" s="10" t="s">
        <v>3247</v>
      </c>
      <c r="K294" s="10" t="s">
        <v>3247</v>
      </c>
    </row>
    <row r="295" customFormat="false" ht="26.85" hidden="false" customHeight="false" outlineLevel="0" collapsed="false">
      <c r="A295" s="9" t="s">
        <v>265</v>
      </c>
      <c r="B295" s="10" t="s">
        <v>268</v>
      </c>
      <c r="C295" s="9" t="s">
        <v>269</v>
      </c>
      <c r="D295" s="10" t="s">
        <v>26</v>
      </c>
      <c r="E295" s="9" t="s">
        <v>5802</v>
      </c>
      <c r="F295" s="10" t="s">
        <v>5803</v>
      </c>
      <c r="G295" s="9" t="s">
        <v>5418</v>
      </c>
      <c r="H295" s="10" t="s">
        <v>5804</v>
      </c>
      <c r="I295" s="9"/>
      <c r="J295" s="10" t="s">
        <v>3247</v>
      </c>
      <c r="K295" s="10" t="s">
        <v>3247</v>
      </c>
    </row>
    <row r="296" customFormat="false" ht="26.85" hidden="false" customHeight="false" outlineLevel="0" collapsed="false">
      <c r="A296" s="9" t="s">
        <v>265</v>
      </c>
      <c r="B296" s="10" t="s">
        <v>270</v>
      </c>
      <c r="C296" s="9" t="s">
        <v>271</v>
      </c>
      <c r="D296" s="10" t="s">
        <v>25</v>
      </c>
      <c r="E296" s="9" t="s">
        <v>5805</v>
      </c>
      <c r="F296" s="10" t="s">
        <v>4360</v>
      </c>
      <c r="G296" s="9" t="s">
        <v>5419</v>
      </c>
      <c r="H296" s="10" t="s">
        <v>4361</v>
      </c>
      <c r="I296" s="9"/>
      <c r="J296" s="9" t="s">
        <v>2232</v>
      </c>
      <c r="K296" s="9" t="s">
        <v>3284</v>
      </c>
    </row>
    <row r="297" customFormat="false" ht="26.85" hidden="false" customHeight="false" outlineLevel="0" collapsed="false">
      <c r="A297" s="9" t="s">
        <v>265</v>
      </c>
      <c r="B297" s="10" t="s">
        <v>270</v>
      </c>
      <c r="C297" s="9" t="s">
        <v>271</v>
      </c>
      <c r="D297" s="10" t="s">
        <v>25</v>
      </c>
      <c r="E297" s="9" t="s">
        <v>5806</v>
      </c>
      <c r="F297" s="10" t="s">
        <v>5807</v>
      </c>
      <c r="G297" s="9" t="s">
        <v>5419</v>
      </c>
      <c r="H297" s="10" t="s">
        <v>5808</v>
      </c>
      <c r="I297" s="9"/>
      <c r="J297" s="9" t="s">
        <v>2232</v>
      </c>
      <c r="K297" s="9" t="s">
        <v>3284</v>
      </c>
    </row>
    <row r="298" customFormat="false" ht="26.85" hidden="false" customHeight="false" outlineLevel="0" collapsed="false">
      <c r="A298" s="9" t="s">
        <v>265</v>
      </c>
      <c r="B298" s="10" t="s">
        <v>270</v>
      </c>
      <c r="C298" s="9" t="s">
        <v>271</v>
      </c>
      <c r="D298" s="10" t="s">
        <v>25</v>
      </c>
      <c r="E298" s="9" t="s">
        <v>5809</v>
      </c>
      <c r="F298" s="10" t="s">
        <v>4438</v>
      </c>
      <c r="G298" s="9" t="s">
        <v>5418</v>
      </c>
      <c r="H298" s="10" t="s">
        <v>4439</v>
      </c>
      <c r="I298" s="9"/>
      <c r="J298" s="10" t="s">
        <v>3247</v>
      </c>
      <c r="K298" s="10" t="s">
        <v>3247</v>
      </c>
    </row>
    <row r="299" customFormat="false" ht="26.85" hidden="false" customHeight="false" outlineLevel="0" collapsed="false">
      <c r="A299" s="9" t="s">
        <v>265</v>
      </c>
      <c r="B299" s="10" t="s">
        <v>270</v>
      </c>
      <c r="C299" s="9" t="s">
        <v>271</v>
      </c>
      <c r="D299" s="10" t="s">
        <v>25</v>
      </c>
      <c r="E299" s="9" t="s">
        <v>5810</v>
      </c>
      <c r="F299" s="10" t="s">
        <v>4354</v>
      </c>
      <c r="G299" s="9" t="s">
        <v>5419</v>
      </c>
      <c r="H299" s="10" t="s">
        <v>4355</v>
      </c>
      <c r="I299" s="9"/>
      <c r="J299" s="9" t="s">
        <v>2232</v>
      </c>
      <c r="K299" s="9" t="s">
        <v>3284</v>
      </c>
    </row>
    <row r="300" customFormat="false" ht="26.85" hidden="false" customHeight="false" outlineLevel="0" collapsed="false">
      <c r="A300" s="9" t="s">
        <v>265</v>
      </c>
      <c r="B300" s="10" t="s">
        <v>272</v>
      </c>
      <c r="C300" s="9" t="s">
        <v>273</v>
      </c>
      <c r="D300" s="10" t="s">
        <v>25</v>
      </c>
      <c r="E300" s="9" t="s">
        <v>5811</v>
      </c>
      <c r="F300" s="10" t="s">
        <v>4961</v>
      </c>
      <c r="G300" s="9" t="s">
        <v>5419</v>
      </c>
      <c r="H300" s="10" t="s">
        <v>4962</v>
      </c>
      <c r="I300" s="9"/>
      <c r="J300" s="10" t="s">
        <v>3247</v>
      </c>
      <c r="K300" s="10" t="s">
        <v>3247</v>
      </c>
    </row>
    <row r="301" customFormat="false" ht="26.85" hidden="false" customHeight="false" outlineLevel="0" collapsed="false">
      <c r="A301" s="9" t="s">
        <v>265</v>
      </c>
      <c r="B301" s="10" t="s">
        <v>272</v>
      </c>
      <c r="C301" s="9" t="s">
        <v>273</v>
      </c>
      <c r="D301" s="10" t="s">
        <v>25</v>
      </c>
      <c r="E301" s="9" t="s">
        <v>5629</v>
      </c>
      <c r="F301" s="10" t="s">
        <v>4967</v>
      </c>
      <c r="G301" s="9" t="s">
        <v>5419</v>
      </c>
      <c r="H301" s="10" t="s">
        <v>4968</v>
      </c>
      <c r="I301" s="9"/>
      <c r="J301" s="10" t="s">
        <v>3247</v>
      </c>
      <c r="K301" s="10" t="s">
        <v>3247</v>
      </c>
    </row>
    <row r="302" customFormat="false" ht="26.85" hidden="false" customHeight="false" outlineLevel="0" collapsed="false">
      <c r="A302" s="9" t="s">
        <v>265</v>
      </c>
      <c r="B302" s="10" t="s">
        <v>272</v>
      </c>
      <c r="C302" s="9" t="s">
        <v>273</v>
      </c>
      <c r="D302" s="10" t="s">
        <v>25</v>
      </c>
      <c r="E302" s="9" t="s">
        <v>5812</v>
      </c>
      <c r="F302" s="10" t="s">
        <v>4420</v>
      </c>
      <c r="G302" s="9" t="s">
        <v>5419</v>
      </c>
      <c r="H302" s="10" t="s">
        <v>4421</v>
      </c>
      <c r="I302" s="9"/>
      <c r="J302" s="9" t="s">
        <v>2232</v>
      </c>
      <c r="K302" s="9" t="s">
        <v>3284</v>
      </c>
    </row>
    <row r="303" customFormat="false" ht="26.85" hidden="false" customHeight="false" outlineLevel="0" collapsed="false">
      <c r="A303" s="9" t="s">
        <v>265</v>
      </c>
      <c r="B303" s="10" t="s">
        <v>275</v>
      </c>
      <c r="C303" s="9" t="s">
        <v>276</v>
      </c>
      <c r="D303" s="10" t="s">
        <v>26</v>
      </c>
      <c r="E303" s="9" t="s">
        <v>5813</v>
      </c>
      <c r="F303" s="10" t="s">
        <v>3982</v>
      </c>
      <c r="G303" s="9" t="s">
        <v>5419</v>
      </c>
      <c r="H303" s="10" t="s">
        <v>3983</v>
      </c>
      <c r="I303" s="9" t="s">
        <v>5814</v>
      </c>
      <c r="J303" s="9" t="s">
        <v>1956</v>
      </c>
      <c r="K303" s="9" t="s">
        <v>1956</v>
      </c>
    </row>
    <row r="304" customFormat="false" ht="26.85" hidden="false" customHeight="false" outlineLevel="0" collapsed="false">
      <c r="A304" s="9" t="s">
        <v>265</v>
      </c>
      <c r="B304" s="10" t="s">
        <v>275</v>
      </c>
      <c r="C304" s="9" t="s">
        <v>276</v>
      </c>
      <c r="D304" s="10" t="s">
        <v>26</v>
      </c>
      <c r="E304" s="9" t="s">
        <v>5815</v>
      </c>
      <c r="F304" s="10" t="s">
        <v>3994</v>
      </c>
      <c r="G304" s="9" t="s">
        <v>5419</v>
      </c>
      <c r="H304" s="10" t="s">
        <v>3995</v>
      </c>
      <c r="I304" s="9"/>
      <c r="J304" s="9" t="s">
        <v>1956</v>
      </c>
      <c r="K304" s="9" t="s">
        <v>1956</v>
      </c>
    </row>
    <row r="305" customFormat="false" ht="26.85" hidden="false" customHeight="false" outlineLevel="0" collapsed="false">
      <c r="A305" s="9" t="s">
        <v>265</v>
      </c>
      <c r="B305" s="10" t="s">
        <v>275</v>
      </c>
      <c r="C305" s="9" t="s">
        <v>276</v>
      </c>
      <c r="D305" s="10" t="s">
        <v>26</v>
      </c>
      <c r="E305" s="9" t="s">
        <v>5816</v>
      </c>
      <c r="F305" s="10" t="s">
        <v>5817</v>
      </c>
      <c r="G305" s="9" t="s">
        <v>5419</v>
      </c>
      <c r="H305" s="10" t="s">
        <v>5818</v>
      </c>
      <c r="I305" s="9" t="s">
        <v>5819</v>
      </c>
      <c r="J305" s="9" t="s">
        <v>1956</v>
      </c>
      <c r="K305" s="9" t="s">
        <v>1956</v>
      </c>
    </row>
    <row r="306" customFormat="false" ht="26.85" hidden="false" customHeight="false" outlineLevel="0" collapsed="false">
      <c r="A306" s="9" t="s">
        <v>265</v>
      </c>
      <c r="B306" s="10" t="s">
        <v>275</v>
      </c>
      <c r="C306" s="9" t="s">
        <v>276</v>
      </c>
      <c r="D306" s="10" t="s">
        <v>26</v>
      </c>
      <c r="E306" s="9" t="s">
        <v>5681</v>
      </c>
      <c r="F306" s="10" t="s">
        <v>3344</v>
      </c>
      <c r="G306" s="9" t="s">
        <v>5419</v>
      </c>
      <c r="H306" s="10" t="s">
        <v>3345</v>
      </c>
      <c r="I306" s="9" t="s">
        <v>5820</v>
      </c>
      <c r="J306" s="9" t="s">
        <v>1975</v>
      </c>
      <c r="K306" s="9" t="s">
        <v>1975</v>
      </c>
    </row>
    <row r="307" customFormat="false" ht="26.85" hidden="false" customHeight="false" outlineLevel="0" collapsed="false">
      <c r="A307" s="9" t="s">
        <v>265</v>
      </c>
      <c r="B307" s="10" t="s">
        <v>277</v>
      </c>
      <c r="C307" s="9" t="s">
        <v>278</v>
      </c>
      <c r="D307" s="10" t="s">
        <v>25</v>
      </c>
      <c r="E307" s="9" t="s">
        <v>5821</v>
      </c>
      <c r="F307" s="10" t="s">
        <v>4420</v>
      </c>
      <c r="G307" s="9" t="s">
        <v>5419</v>
      </c>
      <c r="H307" s="10" t="s">
        <v>4421</v>
      </c>
      <c r="I307" s="9" t="s">
        <v>5822</v>
      </c>
      <c r="J307" s="9" t="s">
        <v>2232</v>
      </c>
      <c r="K307" s="9" t="s">
        <v>3284</v>
      </c>
    </row>
    <row r="308" customFormat="false" ht="26.85" hidden="false" customHeight="false" outlineLevel="0" collapsed="false">
      <c r="A308" s="9" t="s">
        <v>265</v>
      </c>
      <c r="B308" s="10" t="s">
        <v>277</v>
      </c>
      <c r="C308" s="9" t="s">
        <v>278</v>
      </c>
      <c r="D308" s="10" t="s">
        <v>25</v>
      </c>
      <c r="E308" s="9" t="s">
        <v>5823</v>
      </c>
      <c r="F308" s="10" t="s">
        <v>3484</v>
      </c>
      <c r="G308" s="9" t="s">
        <v>5419</v>
      </c>
      <c r="H308" s="10" t="s">
        <v>3485</v>
      </c>
      <c r="I308" s="9"/>
      <c r="J308" s="9" t="s">
        <v>2232</v>
      </c>
      <c r="K308" s="10" t="s">
        <v>3247</v>
      </c>
    </row>
    <row r="309" customFormat="false" ht="26.85" hidden="false" customHeight="false" outlineLevel="0" collapsed="false">
      <c r="A309" s="9" t="s">
        <v>265</v>
      </c>
      <c r="B309" s="10" t="s">
        <v>277</v>
      </c>
      <c r="C309" s="9" t="s">
        <v>278</v>
      </c>
      <c r="D309" s="10" t="s">
        <v>25</v>
      </c>
      <c r="E309" s="9" t="s">
        <v>5824</v>
      </c>
      <c r="F309" s="10" t="s">
        <v>4664</v>
      </c>
      <c r="G309" s="9" t="s">
        <v>5418</v>
      </c>
      <c r="H309" s="10" t="s">
        <v>4665</v>
      </c>
      <c r="I309" s="9"/>
      <c r="J309" s="10" t="s">
        <v>3247</v>
      </c>
      <c r="K309" s="10" t="s">
        <v>3247</v>
      </c>
    </row>
    <row r="310" customFormat="false" ht="26.85" hidden="false" customHeight="false" outlineLevel="0" collapsed="false">
      <c r="A310" s="9" t="s">
        <v>265</v>
      </c>
      <c r="B310" s="10" t="s">
        <v>277</v>
      </c>
      <c r="C310" s="9" t="s">
        <v>278</v>
      </c>
      <c r="D310" s="10" t="s">
        <v>25</v>
      </c>
      <c r="E310" s="9" t="s">
        <v>5825</v>
      </c>
      <c r="F310" s="10" t="s">
        <v>4192</v>
      </c>
      <c r="G310" s="9" t="s">
        <v>5419</v>
      </c>
      <c r="H310" s="10" t="s">
        <v>4193</v>
      </c>
      <c r="I310" s="9" t="s">
        <v>279</v>
      </c>
      <c r="J310" s="10" t="s">
        <v>3247</v>
      </c>
      <c r="K310" s="10" t="s">
        <v>3247</v>
      </c>
    </row>
    <row r="311" customFormat="false" ht="26.85" hidden="false" customHeight="false" outlineLevel="0" collapsed="false">
      <c r="A311" s="9" t="s">
        <v>265</v>
      </c>
      <c r="B311" s="10" t="s">
        <v>280</v>
      </c>
      <c r="C311" s="9" t="s">
        <v>281</v>
      </c>
      <c r="D311" s="10" t="s">
        <v>24</v>
      </c>
      <c r="E311" s="9" t="s">
        <v>5826</v>
      </c>
      <c r="F311" s="10" t="s">
        <v>4967</v>
      </c>
      <c r="G311" s="9" t="s">
        <v>5419</v>
      </c>
      <c r="H311" s="10" t="s">
        <v>4968</v>
      </c>
      <c r="I311" s="9"/>
      <c r="J311" s="10" t="s">
        <v>3247</v>
      </c>
      <c r="K311" s="10" t="s">
        <v>3247</v>
      </c>
    </row>
    <row r="312" customFormat="false" ht="26.85" hidden="false" customHeight="false" outlineLevel="0" collapsed="false">
      <c r="A312" s="9" t="s">
        <v>265</v>
      </c>
      <c r="B312" s="10" t="s">
        <v>280</v>
      </c>
      <c r="C312" s="9" t="s">
        <v>281</v>
      </c>
      <c r="D312" s="10" t="s">
        <v>24</v>
      </c>
      <c r="E312" s="9" t="s">
        <v>5827</v>
      </c>
      <c r="F312" s="10" t="s">
        <v>3099</v>
      </c>
      <c r="G312" s="9" t="s">
        <v>5419</v>
      </c>
      <c r="H312" s="10" t="s">
        <v>4984</v>
      </c>
      <c r="I312" s="9"/>
      <c r="J312" s="9" t="s">
        <v>3062</v>
      </c>
      <c r="K312" s="9" t="s">
        <v>3062</v>
      </c>
    </row>
    <row r="313" customFormat="false" ht="26.85" hidden="false" customHeight="false" outlineLevel="0" collapsed="false">
      <c r="A313" s="9" t="s">
        <v>265</v>
      </c>
      <c r="B313" s="10" t="s">
        <v>280</v>
      </c>
      <c r="C313" s="9" t="s">
        <v>281</v>
      </c>
      <c r="D313" s="10" t="s">
        <v>24</v>
      </c>
      <c r="E313" s="9" t="s">
        <v>5828</v>
      </c>
      <c r="F313" s="10" t="s">
        <v>2407</v>
      </c>
      <c r="G313" s="9" t="s">
        <v>5419</v>
      </c>
      <c r="H313" s="10" t="s">
        <v>4976</v>
      </c>
      <c r="I313" s="9"/>
      <c r="J313" s="9" t="s">
        <v>2232</v>
      </c>
      <c r="K313" s="9" t="s">
        <v>3284</v>
      </c>
    </row>
    <row r="314" customFormat="false" ht="26.85" hidden="false" customHeight="false" outlineLevel="0" collapsed="false">
      <c r="A314" s="9" t="s">
        <v>265</v>
      </c>
      <c r="B314" s="10" t="s">
        <v>280</v>
      </c>
      <c r="C314" s="9" t="s">
        <v>281</v>
      </c>
      <c r="D314" s="10" t="s">
        <v>24</v>
      </c>
      <c r="E314" s="9" t="s">
        <v>5829</v>
      </c>
      <c r="F314" s="10" t="s">
        <v>3522</v>
      </c>
      <c r="G314" s="9" t="s">
        <v>5419</v>
      </c>
      <c r="H314" s="10" t="s">
        <v>3523</v>
      </c>
      <c r="I314" s="9"/>
      <c r="J314" s="10" t="s">
        <v>3247</v>
      </c>
      <c r="K314" s="10" t="s">
        <v>3247</v>
      </c>
    </row>
    <row r="315" customFormat="false" ht="26.85" hidden="false" customHeight="false" outlineLevel="0" collapsed="false">
      <c r="A315" s="9" t="s">
        <v>282</v>
      </c>
      <c r="B315" s="10" t="s">
        <v>283</v>
      </c>
      <c r="C315" s="9" t="s">
        <v>284</v>
      </c>
      <c r="D315" s="10" t="s">
        <v>28</v>
      </c>
      <c r="E315" s="9" t="s">
        <v>5584</v>
      </c>
      <c r="F315" s="10" t="s">
        <v>4156</v>
      </c>
      <c r="G315" s="9" t="s">
        <v>5419</v>
      </c>
      <c r="H315" s="10" t="s">
        <v>4157</v>
      </c>
      <c r="I315" s="9"/>
      <c r="J315" s="10" t="s">
        <v>3247</v>
      </c>
      <c r="K315" s="10" t="s">
        <v>3247</v>
      </c>
    </row>
    <row r="316" customFormat="false" ht="26.85" hidden="false" customHeight="false" outlineLevel="0" collapsed="false">
      <c r="A316" s="9" t="s">
        <v>282</v>
      </c>
      <c r="B316" s="10" t="s">
        <v>283</v>
      </c>
      <c r="C316" s="9" t="s">
        <v>284</v>
      </c>
      <c r="D316" s="10" t="s">
        <v>28</v>
      </c>
      <c r="E316" s="9" t="s">
        <v>4811</v>
      </c>
      <c r="F316" s="10" t="s">
        <v>4812</v>
      </c>
      <c r="G316" s="9" t="s">
        <v>5419</v>
      </c>
      <c r="H316" s="10" t="s">
        <v>4813</v>
      </c>
      <c r="I316" s="9"/>
      <c r="J316" s="10" t="s">
        <v>3247</v>
      </c>
      <c r="K316" s="10" t="s">
        <v>3247</v>
      </c>
    </row>
    <row r="317" customFormat="false" ht="26.85" hidden="false" customHeight="false" outlineLevel="0" collapsed="false">
      <c r="A317" s="9" t="s">
        <v>282</v>
      </c>
      <c r="B317" s="10" t="s">
        <v>283</v>
      </c>
      <c r="C317" s="9" t="s">
        <v>284</v>
      </c>
      <c r="D317" s="10" t="s">
        <v>28</v>
      </c>
      <c r="E317" s="9" t="s">
        <v>4907</v>
      </c>
      <c r="F317" s="10" t="s">
        <v>3782</v>
      </c>
      <c r="G317" s="9" t="s">
        <v>5419</v>
      </c>
      <c r="H317" s="10" t="s">
        <v>3783</v>
      </c>
      <c r="I317" s="9"/>
      <c r="J317" s="10" t="s">
        <v>3247</v>
      </c>
      <c r="K317" s="10" t="s">
        <v>3247</v>
      </c>
    </row>
    <row r="318" customFormat="false" ht="26.85" hidden="false" customHeight="false" outlineLevel="0" collapsed="false">
      <c r="A318" s="9" t="s">
        <v>282</v>
      </c>
      <c r="B318" s="10" t="s">
        <v>283</v>
      </c>
      <c r="C318" s="9" t="s">
        <v>284</v>
      </c>
      <c r="D318" s="10" t="s">
        <v>28</v>
      </c>
      <c r="E318" s="9" t="s">
        <v>5510</v>
      </c>
      <c r="F318" s="10" t="s">
        <v>3861</v>
      </c>
      <c r="G318" s="9" t="s">
        <v>5419</v>
      </c>
      <c r="H318" s="10" t="s">
        <v>3862</v>
      </c>
      <c r="I318" s="9"/>
      <c r="J318" s="10" t="s">
        <v>3247</v>
      </c>
      <c r="K318" s="10" t="s">
        <v>3247</v>
      </c>
    </row>
    <row r="319" customFormat="false" ht="26.85" hidden="false" customHeight="false" outlineLevel="0" collapsed="false">
      <c r="A319" s="9" t="s">
        <v>282</v>
      </c>
      <c r="B319" s="10" t="s">
        <v>286</v>
      </c>
      <c r="C319" s="9" t="s">
        <v>287</v>
      </c>
      <c r="D319" s="10" t="s">
        <v>26</v>
      </c>
      <c r="E319" s="9" t="s">
        <v>5830</v>
      </c>
      <c r="F319" s="10" t="s">
        <v>4776</v>
      </c>
      <c r="G319" s="9" t="s">
        <v>5419</v>
      </c>
      <c r="H319" s="10" t="s">
        <v>4777</v>
      </c>
      <c r="I319" s="9"/>
      <c r="J319" s="10" t="s">
        <v>3247</v>
      </c>
      <c r="K319" s="10" t="s">
        <v>3247</v>
      </c>
    </row>
    <row r="320" customFormat="false" ht="26.85" hidden="false" customHeight="false" outlineLevel="0" collapsed="false">
      <c r="A320" s="9" t="s">
        <v>282</v>
      </c>
      <c r="B320" s="10" t="s">
        <v>286</v>
      </c>
      <c r="C320" s="9" t="s">
        <v>287</v>
      </c>
      <c r="D320" s="10" t="s">
        <v>26</v>
      </c>
      <c r="E320" s="9" t="s">
        <v>5831</v>
      </c>
      <c r="F320" s="10" t="s">
        <v>5832</v>
      </c>
      <c r="G320" s="9" t="s">
        <v>5419</v>
      </c>
      <c r="H320" s="10" t="s">
        <v>5833</v>
      </c>
      <c r="I320" s="9"/>
      <c r="J320" s="10" t="s">
        <v>3247</v>
      </c>
      <c r="K320" s="10" t="s">
        <v>3247</v>
      </c>
    </row>
    <row r="321" customFormat="false" ht="26.85" hidden="false" customHeight="false" outlineLevel="0" collapsed="false">
      <c r="A321" s="9" t="s">
        <v>282</v>
      </c>
      <c r="B321" s="10" t="s">
        <v>286</v>
      </c>
      <c r="C321" s="9" t="s">
        <v>287</v>
      </c>
      <c r="D321" s="10" t="s">
        <v>26</v>
      </c>
      <c r="E321" s="9" t="s">
        <v>5834</v>
      </c>
      <c r="F321" s="10" t="s">
        <v>5835</v>
      </c>
      <c r="G321" s="9" t="s">
        <v>5419</v>
      </c>
      <c r="H321" s="10" t="s">
        <v>5836</v>
      </c>
      <c r="I321" s="9"/>
      <c r="J321" s="10" t="s">
        <v>3247</v>
      </c>
      <c r="K321" s="10" t="s">
        <v>3247</v>
      </c>
    </row>
    <row r="322" customFormat="false" ht="26.85" hidden="false" customHeight="false" outlineLevel="0" collapsed="false">
      <c r="A322" s="9" t="s">
        <v>282</v>
      </c>
      <c r="B322" s="10" t="s">
        <v>288</v>
      </c>
      <c r="C322" s="9" t="s">
        <v>289</v>
      </c>
      <c r="D322" s="10" t="s">
        <v>26</v>
      </c>
      <c r="E322" s="9" t="s">
        <v>5837</v>
      </c>
      <c r="F322" s="10" t="s">
        <v>4156</v>
      </c>
      <c r="G322" s="9" t="s">
        <v>5419</v>
      </c>
      <c r="H322" s="10" t="s">
        <v>4157</v>
      </c>
      <c r="I322" s="9"/>
      <c r="J322" s="10" t="s">
        <v>3247</v>
      </c>
      <c r="K322" s="10" t="s">
        <v>3247</v>
      </c>
    </row>
    <row r="323" customFormat="false" ht="26.85" hidden="false" customHeight="false" outlineLevel="0" collapsed="false">
      <c r="A323" s="9" t="s">
        <v>282</v>
      </c>
      <c r="B323" s="10" t="s">
        <v>288</v>
      </c>
      <c r="C323" s="9" t="s">
        <v>289</v>
      </c>
      <c r="D323" s="10" t="s">
        <v>26</v>
      </c>
      <c r="E323" s="9" t="s">
        <v>5838</v>
      </c>
      <c r="F323" s="10" t="s">
        <v>3245</v>
      </c>
      <c r="G323" s="9" t="s">
        <v>5419</v>
      </c>
      <c r="H323" s="10" t="s">
        <v>3246</v>
      </c>
      <c r="I323" s="9"/>
      <c r="J323" s="10" t="s">
        <v>3247</v>
      </c>
      <c r="K323" s="10" t="s">
        <v>3247</v>
      </c>
    </row>
    <row r="324" customFormat="false" ht="26.85" hidden="false" customHeight="false" outlineLevel="0" collapsed="false">
      <c r="A324" s="9" t="s">
        <v>282</v>
      </c>
      <c r="B324" s="10" t="s">
        <v>288</v>
      </c>
      <c r="C324" s="9" t="s">
        <v>289</v>
      </c>
      <c r="D324" s="10" t="s">
        <v>26</v>
      </c>
      <c r="E324" s="9" t="s">
        <v>5839</v>
      </c>
      <c r="F324" s="10" t="s">
        <v>4198</v>
      </c>
      <c r="G324" s="9" t="s">
        <v>5419</v>
      </c>
      <c r="H324" s="10" t="s">
        <v>4199</v>
      </c>
      <c r="I324" s="9"/>
      <c r="J324" s="10" t="s">
        <v>3247</v>
      </c>
      <c r="K324" s="10" t="s">
        <v>3247</v>
      </c>
    </row>
    <row r="325" customFormat="false" ht="26.85" hidden="false" customHeight="false" outlineLevel="0" collapsed="false">
      <c r="A325" s="9" t="s">
        <v>282</v>
      </c>
      <c r="B325" s="10" t="s">
        <v>288</v>
      </c>
      <c r="C325" s="9" t="s">
        <v>289</v>
      </c>
      <c r="D325" s="10" t="s">
        <v>26</v>
      </c>
      <c r="E325" s="9" t="s">
        <v>5840</v>
      </c>
      <c r="F325" s="10" t="s">
        <v>4945</v>
      </c>
      <c r="G325" s="9" t="s">
        <v>5419</v>
      </c>
      <c r="H325" s="10" t="s">
        <v>4946</v>
      </c>
      <c r="I325" s="9"/>
      <c r="J325" s="10" t="s">
        <v>3247</v>
      </c>
      <c r="K325" s="10" t="s">
        <v>3247</v>
      </c>
    </row>
    <row r="326" customFormat="false" ht="26.85" hidden="false" customHeight="false" outlineLevel="0" collapsed="false">
      <c r="A326" s="9" t="s">
        <v>282</v>
      </c>
      <c r="B326" s="10" t="s">
        <v>290</v>
      </c>
      <c r="C326" s="9" t="s">
        <v>291</v>
      </c>
      <c r="D326" s="10" t="s">
        <v>26</v>
      </c>
      <c r="E326" s="9" t="s">
        <v>5841</v>
      </c>
      <c r="F326" s="10" t="s">
        <v>5104</v>
      </c>
      <c r="G326" s="9" t="s">
        <v>5419</v>
      </c>
      <c r="H326" s="10" t="s">
        <v>5105</v>
      </c>
      <c r="I326" s="9"/>
      <c r="J326" s="10" t="s">
        <v>3247</v>
      </c>
      <c r="K326" s="10" t="s">
        <v>3247</v>
      </c>
    </row>
    <row r="327" customFormat="false" ht="26.85" hidden="false" customHeight="false" outlineLevel="0" collapsed="false">
      <c r="A327" s="9" t="s">
        <v>282</v>
      </c>
      <c r="B327" s="10" t="s">
        <v>290</v>
      </c>
      <c r="C327" s="9" t="s">
        <v>291</v>
      </c>
      <c r="D327" s="10" t="s">
        <v>26</v>
      </c>
      <c r="E327" s="9" t="s">
        <v>5842</v>
      </c>
      <c r="F327" s="10" t="s">
        <v>4945</v>
      </c>
      <c r="G327" s="9" t="s">
        <v>5419</v>
      </c>
      <c r="H327" s="10" t="s">
        <v>4946</v>
      </c>
      <c r="I327" s="9"/>
      <c r="J327" s="10" t="s">
        <v>3247</v>
      </c>
      <c r="K327" s="10" t="s">
        <v>3247</v>
      </c>
    </row>
    <row r="328" customFormat="false" ht="26.85" hidden="false" customHeight="false" outlineLevel="0" collapsed="false">
      <c r="A328" s="9" t="s">
        <v>282</v>
      </c>
      <c r="B328" s="10" t="s">
        <v>290</v>
      </c>
      <c r="C328" s="9" t="s">
        <v>291</v>
      </c>
      <c r="D328" s="10" t="s">
        <v>26</v>
      </c>
      <c r="E328" s="9" t="s">
        <v>5843</v>
      </c>
      <c r="F328" s="10" t="s">
        <v>4948</v>
      </c>
      <c r="G328" s="9" t="s">
        <v>5419</v>
      </c>
      <c r="H328" s="10" t="s">
        <v>4949</v>
      </c>
      <c r="I328" s="9"/>
      <c r="J328" s="10" t="s">
        <v>3247</v>
      </c>
      <c r="K328" s="10" t="s">
        <v>3247</v>
      </c>
    </row>
    <row r="329" customFormat="false" ht="26.85" hidden="false" customHeight="false" outlineLevel="0" collapsed="false">
      <c r="A329" s="9" t="s">
        <v>292</v>
      </c>
      <c r="B329" s="10" t="s">
        <v>293</v>
      </c>
      <c r="C329" s="9" t="s">
        <v>294</v>
      </c>
      <c r="D329" s="10" t="s">
        <v>26</v>
      </c>
      <c r="E329" s="9" t="s">
        <v>4811</v>
      </c>
      <c r="F329" s="10" t="s">
        <v>4812</v>
      </c>
      <c r="G329" s="9" t="s">
        <v>5419</v>
      </c>
      <c r="H329" s="10" t="s">
        <v>4813</v>
      </c>
      <c r="I329" s="9"/>
      <c r="J329" s="10" t="s">
        <v>3247</v>
      </c>
      <c r="K329" s="10" t="s">
        <v>3247</v>
      </c>
    </row>
    <row r="330" customFormat="false" ht="26.85" hidden="false" customHeight="false" outlineLevel="0" collapsed="false">
      <c r="A330" s="9" t="s">
        <v>292</v>
      </c>
      <c r="B330" s="10" t="s">
        <v>293</v>
      </c>
      <c r="C330" s="9" t="s">
        <v>294</v>
      </c>
      <c r="D330" s="10" t="s">
        <v>26</v>
      </c>
      <c r="E330" s="9" t="s">
        <v>5510</v>
      </c>
      <c r="F330" s="10" t="s">
        <v>3861</v>
      </c>
      <c r="G330" s="9" t="s">
        <v>5419</v>
      </c>
      <c r="H330" s="10" t="s">
        <v>3862</v>
      </c>
      <c r="I330" s="9"/>
      <c r="J330" s="10" t="s">
        <v>3247</v>
      </c>
      <c r="K330" s="10" t="s">
        <v>3247</v>
      </c>
    </row>
    <row r="331" customFormat="false" ht="26.85" hidden="false" customHeight="false" outlineLevel="0" collapsed="false">
      <c r="A331" s="9" t="s">
        <v>292</v>
      </c>
      <c r="B331" s="10" t="s">
        <v>293</v>
      </c>
      <c r="C331" s="9" t="s">
        <v>294</v>
      </c>
      <c r="D331" s="10" t="s">
        <v>26</v>
      </c>
      <c r="E331" s="9" t="s">
        <v>5043</v>
      </c>
      <c r="F331" s="10" t="s">
        <v>4112</v>
      </c>
      <c r="G331" s="9" t="s">
        <v>5419</v>
      </c>
      <c r="H331" s="10" t="s">
        <v>4113</v>
      </c>
      <c r="I331" s="9"/>
      <c r="J331" s="10" t="s">
        <v>3247</v>
      </c>
      <c r="K331" s="10" t="s">
        <v>3247</v>
      </c>
    </row>
    <row r="332" customFormat="false" ht="26.85" hidden="false" customHeight="false" outlineLevel="0" collapsed="false">
      <c r="A332" s="9" t="s">
        <v>292</v>
      </c>
      <c r="B332" s="10" t="s">
        <v>293</v>
      </c>
      <c r="C332" s="9" t="s">
        <v>294</v>
      </c>
      <c r="D332" s="10" t="s">
        <v>26</v>
      </c>
      <c r="E332" s="9" t="s">
        <v>5843</v>
      </c>
      <c r="F332" s="10" t="s">
        <v>4948</v>
      </c>
      <c r="G332" s="9" t="s">
        <v>5419</v>
      </c>
      <c r="H332" s="10" t="s">
        <v>4949</v>
      </c>
      <c r="I332" s="9"/>
      <c r="J332" s="10" t="s">
        <v>3247</v>
      </c>
      <c r="K332" s="10" t="s">
        <v>3247</v>
      </c>
    </row>
    <row r="333" customFormat="false" ht="26.85" hidden="false" customHeight="false" outlineLevel="0" collapsed="false">
      <c r="A333" s="9" t="s">
        <v>292</v>
      </c>
      <c r="B333" s="10" t="s">
        <v>296</v>
      </c>
      <c r="C333" s="9" t="s">
        <v>297</v>
      </c>
      <c r="D333" s="10" t="s">
        <v>26</v>
      </c>
      <c r="E333" s="9" t="s">
        <v>3394</v>
      </c>
      <c r="F333" s="10" t="s">
        <v>3395</v>
      </c>
      <c r="G333" s="9" t="s">
        <v>5419</v>
      </c>
      <c r="H333" s="10" t="s">
        <v>3396</v>
      </c>
      <c r="I333" s="9"/>
      <c r="J333" s="10" t="s">
        <v>3247</v>
      </c>
      <c r="K333" s="10" t="s">
        <v>3247</v>
      </c>
    </row>
    <row r="334" customFormat="false" ht="26.85" hidden="false" customHeight="false" outlineLevel="0" collapsed="false">
      <c r="A334" s="9" t="s">
        <v>292</v>
      </c>
      <c r="B334" s="10" t="s">
        <v>296</v>
      </c>
      <c r="C334" s="9" t="s">
        <v>297</v>
      </c>
      <c r="D334" s="10" t="s">
        <v>26</v>
      </c>
      <c r="E334" s="9" t="s">
        <v>3378</v>
      </c>
      <c r="F334" s="10" t="s">
        <v>3379</v>
      </c>
      <c r="G334" s="9" t="s">
        <v>5419</v>
      </c>
      <c r="H334" s="10" t="s">
        <v>3380</v>
      </c>
      <c r="I334" s="9"/>
      <c r="J334" s="9" t="s">
        <v>2232</v>
      </c>
      <c r="K334" s="9" t="s">
        <v>3284</v>
      </c>
    </row>
    <row r="335" customFormat="false" ht="26.85" hidden="false" customHeight="false" outlineLevel="0" collapsed="false">
      <c r="A335" s="9" t="s">
        <v>292</v>
      </c>
      <c r="B335" s="10" t="s">
        <v>296</v>
      </c>
      <c r="C335" s="9" t="s">
        <v>297</v>
      </c>
      <c r="D335" s="10" t="s">
        <v>26</v>
      </c>
      <c r="E335" s="9" t="s">
        <v>5796</v>
      </c>
      <c r="F335" s="10" t="s">
        <v>3413</v>
      </c>
      <c r="G335" s="9" t="s">
        <v>5419</v>
      </c>
      <c r="H335" s="10" t="s">
        <v>3414</v>
      </c>
      <c r="I335" s="9"/>
      <c r="J335" s="9" t="s">
        <v>2232</v>
      </c>
      <c r="K335" s="9" t="s">
        <v>3284</v>
      </c>
    </row>
    <row r="336" customFormat="false" ht="26.85" hidden="false" customHeight="false" outlineLevel="0" collapsed="false">
      <c r="A336" s="9" t="s">
        <v>292</v>
      </c>
      <c r="B336" s="10" t="s">
        <v>296</v>
      </c>
      <c r="C336" s="9" t="s">
        <v>297</v>
      </c>
      <c r="D336" s="10" t="s">
        <v>26</v>
      </c>
      <c r="E336" s="9" t="s">
        <v>3353</v>
      </c>
      <c r="F336" s="10" t="s">
        <v>3354</v>
      </c>
      <c r="G336" s="9" t="s">
        <v>5419</v>
      </c>
      <c r="H336" s="10" t="s">
        <v>3356</v>
      </c>
      <c r="I336" s="9"/>
      <c r="J336" s="10" t="s">
        <v>3247</v>
      </c>
      <c r="K336" s="10" t="s">
        <v>3247</v>
      </c>
    </row>
  </sheetData>
  <autoFilter ref="A2:K336"/>
  <mergeCells count="1">
    <mergeCell ref="A1:K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2026-10-21T00:29:08Z</dcterms:created>
  <dc:creator>openpyxl</dc:creator>
  <dc:description/>
  <dc:language>en-US</dc:language>
  <cp:lastModifiedBy/>
  <dcterms:modified xsi:type="dcterms:W3CDTF">2026-10-21T00:29:10Z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