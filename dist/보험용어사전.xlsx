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'보험용어사전'!$A$1:$H$389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.5"/>
    </font>
    <font>
      <name val="맑은 고딕"/>
      <color rgb="00191F28"/>
      <sz val="10"/>
    </font>
    <font>
      <name val="맑은 고딕"/>
      <b val="1"/>
      <color rgb="00191F28"/>
      <sz val="10"/>
    </font>
    <font>
      <name val="맑은 고딕"/>
      <color rgb="008B95A1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1B3A5C"/>
      <sz val="18"/>
    </font>
    <font>
      <name val="맑은 고딕"/>
      <color rgb="00333D4B"/>
      <sz val="10.5"/>
    </font>
    <font>
      <name val="맑은 고딕"/>
      <b val="1"/>
      <color rgb="003182F6"/>
      <sz val="11.5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9FC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1D6DB"/>
      </left>
      <right style="thin">
        <color rgb="00D1D6DB"/>
      </right>
      <top style="thin">
        <color rgb="00D1D6DB"/>
      </top>
      <bottom style="thin">
        <color rgb="00D1D6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보험용어사전</t>
        </is>
      </c>
    </row>
    <row r="2">
      <c r="A2" s="2" t="inlineStr"/>
    </row>
    <row r="3">
      <c r="A3" s="3" t="inlineStr">
        <is>
          <t>이 파일은</t>
        </is>
      </c>
    </row>
    <row r="4">
      <c r="A4" s="2" t="inlineStr">
        <is>
          <t>약관에 나오는 어려운 보험용어를 현장에서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inlineStr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inlineStr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약관·현장에서 달리 부르는 말입니다.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/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/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inlineStr"/>
    </row>
    <row r="32">
      <c r="A32" s="2" t="inlineStr">
        <is>
          <t>만든 날짜 : 2026-09-21   ·   세일즈혁신TF 이헌수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2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0.5는 최경증, 1은 경증, 2는 중등도, 3 이상은 중증이에요. 보험금 기준으로 많이 써요.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간병인사용</t>
        </is>
      </c>
      <c r="D4" s="7" t="inlineStr">
        <is>
          <t>보험회사가 간병인을 직접 붙여주거나 그 비용을 대주는 방식이에요.</t>
        </is>
      </c>
      <c r="E4" s="7" t="inlineStr">
        <is>
          <t>내가 간병인을 구해 쓰고 영수증을 내는 형태도 있어요.</t>
        </is>
      </c>
      <c r="F4" s="7" t="inlineStr">
        <is>
          <t>간병인지원 · 간병인 지원</t>
        </is>
      </c>
      <c r="G4" s="7" t="inlineStr">
        <is>
          <t>통합간편 「간병인사용 질병입원일당(1일이상 180일한도)(요양병원)」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inlineStr"/>
      <c r="F6" s="7" t="inlineStr">
        <is>
          <t>CDR 1</t>
        </is>
      </c>
      <c r="G6" s="7" t="inlineStr">
        <is>
          <t>통합간편 「갱신형 표적치매약물허가치료비 (최경증 치매,경증 알츠하이머치매)」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</t>
        </is>
      </c>
      <c r="G7" s="11" t="inlineStr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F00, G30 코드에 해당해요.</t>
        </is>
      </c>
      <c r="F9" s="11" t="inlineStr">
        <is>
          <t>알츠하이머 · 알츠하이머병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치매가 있지만 신체 기능은 비교적 괜찮은 분에게 주는 등급이에요.</t>
        </is>
      </c>
      <c r="E12" s="7" t="inlineStr">
        <is>
          <t>경증 치매 보장의 기준이 되기도 해요.</t>
        </is>
      </c>
      <c r="F12" s="7" t="inlineStr">
        <is>
          <t>5등급 아래 등급</t>
        </is>
      </c>
      <c r="G12" s="7" t="inlineStr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1등급이 가장 도움이 많이 필요한 상태예요. 보험금 기준으로 자주 써요.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예전 치매보험은 대부분 여기서만 보장했어요.</t>
        </is>
      </c>
      <c r="F15" s="11" t="inlineStr">
        <is>
          <t>CDR 3 이상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예전에는 보장이 거의 없었지만 최근 담보가 나왔어요.</t>
        </is>
      </c>
      <c r="F16" s="7" t="inlineStr">
        <is>
          <t>CDR 0.5 · 아주 초기 치매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</t>
        </is>
      </c>
      <c r="G19" s="11" t="inlineStr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inlineStr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inlineStr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inlineStr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inlineStr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inlineStr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inlineStr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inlineStr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inlineStr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inlineStr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inlineStr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inlineStr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inlineStr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inlineStr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inlineStr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inlineStr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inlineStr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inlineStr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inlineStr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inlineStr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inlineStr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inlineStr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inlineStr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inlineStr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inlineStr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inlineStr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inlineStr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inlineStr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inlineStr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inlineStr"/>
      <c r="G84" s="7" t="inlineStr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inlineStr"/>
      <c r="G86" s="7" t="inlineStr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inlineStr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inlineStr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inlineStr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inlineStr"/>
      <c r="F90" s="7" t="inlineStr">
        <is>
          <t>변액 특별계정</t>
        </is>
      </c>
      <c r="G90" s="7" t="inlineStr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inlineStr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inlineStr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inlineStr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</t>
        </is>
      </c>
      <c r="G100" s="7" t="inlineStr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inlineStr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inlineStr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inlineStr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inlineStr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inlineStr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inlineStr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inlineStr"/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inlineStr"/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inlineStr"/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inlineStr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inlineStr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inlineStr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inlineStr"/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</t>
        </is>
      </c>
      <c r="G139" s="11" t="inlineStr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inlineStr"/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inlineStr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inlineStr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빨리 병원에 가는 것이 무엇보다 중요해요.</t>
        </is>
      </c>
      <c r="F153" s="11" t="inlineStr">
        <is>
          <t>스트로크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가장 넓은 범위예요.</t>
        </is>
      </c>
      <c r="E155" s="11" t="inlineStr">
        <is>
          <t>I60~I69 코드로, 뇌졸중보다 넓어요.</t>
        </is>
      </c>
      <c r="F155" s="11" t="inlineStr">
        <is>
          <t>뇌혈관질환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심장병의 가장 큰 축이에요.</t>
        </is>
      </c>
      <c r="F168" s="7" t="inlineStr">
        <is>
          <t>허혈성 · 관상동맥질환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inlineStr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inlineStr"/>
      <c r="F181" s="11" t="inlineStr">
        <is>
          <t>연 한도</t>
        </is>
      </c>
      <c r="G181" s="11" t="inlineStr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inlineStr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inlineStr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inlineStr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inlineStr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inlineStr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inlineStr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inlineStr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inlineStr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inlineStr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inlineStr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inlineStr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inlineStr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inlineStr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inlineStr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inlineStr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inlineStr"/>
      <c r="F224" s="7" t="inlineStr">
        <is>
          <t>부분마취</t>
        </is>
      </c>
      <c r="G224" s="7" t="inlineStr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inlineStr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inlineStr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inlineStr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inlineStr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inlineStr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inlineStr"/>
      <c r="F243" s="11" t="inlineStr">
        <is>
          <t>타깃 체온조절</t>
        </is>
      </c>
      <c r="G243" s="11" t="inlineStr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상품마다 묶는 방식이 조금씩 달라요.</t>
        </is>
      </c>
      <c r="F251" s="11" t="inlineStr">
        <is>
          <t>13종암</t>
        </is>
      </c>
      <c r="G251" s="11" t="inlineStr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D37~D48 코드에 해당해요.</t>
        </is>
      </c>
      <c r="F253" s="11" t="inlineStr">
        <is>
          <t>행동양식 불명 종양 · 경계성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C44 코드예요. 유사암으로 분류돼요.</t>
        </is>
      </c>
      <c r="F255" s="11" t="inlineStr">
        <is>
          <t>피부암(기타)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inlineStr"/>
      <c r="G259" s="11" t="inlineStr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inlineStr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inlineStr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inlineStr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inlineStr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</t>
        </is>
      </c>
      <c r="G272" s="7" t="inlineStr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inlineStr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위암이 폐로 번져도 보험에서는 여전히 위암으로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갑상선암, 기타피부암, 제자리암, 경계성종양이 대표적이에요.</t>
        </is>
      </c>
      <c r="F282" s="7" t="inlineStr">
        <is>
          <t>소액암 · 경계성암 묶음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</t>
        </is>
      </c>
      <c r="G283" s="11" t="inlineStr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</t>
        </is>
      </c>
      <c r="G284" s="7" t="inlineStr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inlineStr"/>
      <c r="G285" s="11" t="inlineStr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inlineStr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inlineStr"/>
      <c r="F287" s="11" t="inlineStr"/>
      <c r="G287" s="11" t="inlineStr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보험에서는 처음 생긴 자리(원발부위)를 기준으로 판단해요.</t>
        </is>
      </c>
      <c r="F290" s="7" t="inlineStr">
        <is>
          <t>원격전이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inlineStr"/>
      <c r="G291" s="11" t="inlineStr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inlineStr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inlineStr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inlineStr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inlineStr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inlineStr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inlineStr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inlineStr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inlineStr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inlineStr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inlineStr"/>
      <c r="F330" s="7" t="inlineStr">
        <is>
          <t>건강할인 · 우량체</t>
        </is>
      </c>
      <c r="G330" s="7" t="inlineStr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inlineStr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inlineStr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inlineStr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inlineStr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inlineStr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inlineStr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inlineStr"/>
      <c r="F340" s="7" t="inlineStr">
        <is>
          <t>보건소</t>
        </is>
      </c>
      <c r="G340" s="7" t="inlineStr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inlineStr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inlineStr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inlineStr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inlineStr"/>
      <c r="F370" s="7" t="inlineStr">
        <is>
          <t>뇌성마비(CP)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inlineStr"/>
      <c r="F371" s="11" t="inlineStr"/>
      <c r="G371" s="11" t="inlineStr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</t>
        </is>
      </c>
      <c r="G372" s="7" t="inlineStr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</t>
        </is>
      </c>
      <c r="G374" s="7" t="inlineStr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</t>
        </is>
      </c>
      <c r="G375" s="11" t="inlineStr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inlineStr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</t>
        </is>
      </c>
      <c r="G377" s="11" t="inlineStr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</t>
        </is>
      </c>
      <c r="G379" s="11" t="inlineStr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inlineStr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inlineStr"/>
      <c r="F382" s="7" t="inlineStr">
        <is>
          <t>ASD</t>
        </is>
      </c>
      <c r="G382" s="7" t="inlineStr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</t>
        </is>
      </c>
      <c r="G383" s="11" t="inlineStr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inlineStr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inlineStr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</t>
        </is>
      </c>
      <c r="G387" s="11" t="inlineStr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inlineStr"/>
      <c r="F388" s="7" t="inlineStr">
        <is>
          <t>학교폭력</t>
        </is>
      </c>
      <c r="G388" s="7" t="inlineStr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inlineStr"/>
      <c r="F389" s="11" t="inlineStr">
        <is>
          <t>학업 중단</t>
        </is>
      </c>
      <c r="G389" s="11" t="inlineStr"/>
      <c r="H389" s="12" t="inlineStr">
        <is>
          <t>약관에는 안 나오는 일반 용어</t>
        </is>
      </c>
    </row>
  </sheetData>
  <autoFilter ref="A1:H3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0" customWidth="1" min="4" max="4"/>
  </cols>
  <sheetData>
    <row r="1" ht="26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약관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COUNTIF(보험용어사전!$B$2:$B$389,$A2)</f>
        <v/>
      </c>
      <c r="C2" s="15">
        <f>COUNTIFS(보험용어사전!$B$2:$B$389,$A2,보험용어사전!$H$2:$H$389,"&lt;&gt;약관에는 안 나오는 일반 용어")</f>
        <v/>
      </c>
      <c r="D2" s="16">
        <f>IFERROR($C2/$B2,0)</f>
        <v/>
      </c>
    </row>
    <row r="3">
      <c r="A3" s="14" t="inlineStr">
        <is>
          <t>검사·진단</t>
        </is>
      </c>
      <c r="B3" s="15">
        <f>COUNTIF(보험용어사전!$B$2:$B$389,$A3)</f>
        <v/>
      </c>
      <c r="C3" s="15">
        <f>COUNTIFS(보험용어사전!$B$2:$B$389,$A3,보험용어사전!$H$2:$H$389,"&lt;&gt;약관에는 안 나오는 일반 용어")</f>
        <v/>
      </c>
      <c r="D3" s="16">
        <f>IFERROR($C3/$B3,0)</f>
        <v/>
      </c>
    </row>
    <row r="4">
      <c r="A4" s="14" t="inlineStr">
        <is>
          <t>계약·제도</t>
        </is>
      </c>
      <c r="B4" s="15">
        <f>COUNTIF(보험용어사전!$B$2:$B$389,$A4)</f>
        <v/>
      </c>
      <c r="C4" s="15">
        <f>COUNTIFS(보험용어사전!$B$2:$B$389,$A4,보험용어사전!$H$2:$H$389,"&lt;&gt;약관에는 안 나오는 일반 용어")</f>
        <v/>
      </c>
      <c r="D4" s="16">
        <f>IFERROR($C4/$B4,0)</f>
        <v/>
      </c>
    </row>
    <row r="5">
      <c r="A5" s="14" t="inlineStr">
        <is>
          <t>급여·의료비</t>
        </is>
      </c>
      <c r="B5" s="15">
        <f>COUNTIF(보험용어사전!$B$2:$B$389,$A5)</f>
        <v/>
      </c>
      <c r="C5" s="15">
        <f>COUNTIFS(보험용어사전!$B$2:$B$389,$A5,보험용어사전!$H$2:$H$389,"&lt;&gt;약관에는 안 나오는 일반 용어")</f>
        <v/>
      </c>
      <c r="D5" s="16">
        <f>IFERROR($C5/$B5,0)</f>
        <v/>
      </c>
    </row>
    <row r="6">
      <c r="A6" s="14" t="inlineStr">
        <is>
          <t>기타질환</t>
        </is>
      </c>
      <c r="B6" s="15">
        <f>COUNTIF(보험용어사전!$B$2:$B$389,$A6)</f>
        <v/>
      </c>
      <c r="C6" s="15">
        <f>COUNTIFS(보험용어사전!$B$2:$B$389,$A6,보험용어사전!$H$2:$H$389,"&lt;&gt;약관에는 안 나오는 일반 용어")</f>
        <v/>
      </c>
      <c r="D6" s="16">
        <f>IFERROR($C6/$B6,0)</f>
        <v/>
      </c>
    </row>
    <row r="7">
      <c r="A7" s="14" t="inlineStr">
        <is>
          <t>뇌·심장</t>
        </is>
      </c>
      <c r="B7" s="15">
        <f>COUNTIF(보험용어사전!$B$2:$B$389,$A7)</f>
        <v/>
      </c>
      <c r="C7" s="15">
        <f>COUNTIFS(보험용어사전!$B$2:$B$389,$A7,보험용어사전!$H$2:$H$389,"&lt;&gt;약관에는 안 나오는 일반 용어")</f>
        <v/>
      </c>
      <c r="D7" s="16">
        <f>IFERROR($C7/$B7,0)</f>
        <v/>
      </c>
    </row>
    <row r="8">
      <c r="A8" s="14" t="inlineStr">
        <is>
          <t>보험금·지급</t>
        </is>
      </c>
      <c r="B8" s="15">
        <f>COUNTIF(보험용어사전!$B$2:$B$389,$A8)</f>
        <v/>
      </c>
      <c r="C8" s="15">
        <f>COUNTIFS(보험용어사전!$B$2:$B$389,$A8,보험용어사전!$H$2:$H$389,"&lt;&gt;약관에는 안 나오는 일반 용어")</f>
        <v/>
      </c>
      <c r="D8" s="16">
        <f>IFERROR($C8/$B8,0)</f>
        <v/>
      </c>
    </row>
    <row r="9">
      <c r="A9" s="14" t="inlineStr">
        <is>
          <t>상해·장해</t>
        </is>
      </c>
      <c r="B9" s="15">
        <f>COUNTIF(보험용어사전!$B$2:$B$389,$A9)</f>
        <v/>
      </c>
      <c r="C9" s="15">
        <f>COUNTIFS(보험용어사전!$B$2:$B$389,$A9,보험용어사전!$H$2:$H$389,"&lt;&gt;약관에는 안 나오는 일반 용어")</f>
        <v/>
      </c>
      <c r="D9" s="16">
        <f>IFERROR($C9/$B9,0)</f>
        <v/>
      </c>
    </row>
    <row r="10">
      <c r="A10" s="14" t="inlineStr">
        <is>
          <t>수술·치료</t>
        </is>
      </c>
      <c r="B10" s="15">
        <f>COUNTIF(보험용어사전!$B$2:$B$389,$A10)</f>
        <v/>
      </c>
      <c r="C10" s="15">
        <f>COUNTIFS(보험용어사전!$B$2:$B$389,$A10,보험용어사전!$H$2:$H$389,"&lt;&gt;약관에는 안 나오는 일반 용어")</f>
        <v/>
      </c>
      <c r="D10" s="16">
        <f>IFERROR($C10/$B10,0)</f>
        <v/>
      </c>
    </row>
    <row r="11">
      <c r="A11" s="14" t="inlineStr">
        <is>
          <t>암</t>
        </is>
      </c>
      <c r="B11" s="15">
        <f>COUNTIF(보험용어사전!$B$2:$B$389,$A11)</f>
        <v/>
      </c>
      <c r="C11" s="15">
        <f>COUNTIFS(보험용어사전!$B$2:$B$389,$A11,보험용어사전!$H$2:$H$389,"&lt;&gt;약관에는 안 나오는 일반 용어")</f>
        <v/>
      </c>
      <c r="D11" s="16">
        <f>IFERROR($C11/$B11,0)</f>
        <v/>
      </c>
    </row>
    <row r="12">
      <c r="A12" s="14" t="inlineStr">
        <is>
          <t>운전자·교통</t>
        </is>
      </c>
      <c r="B12" s="15">
        <f>COUNTIF(보험용어사전!$B$2:$B$389,$A12)</f>
        <v/>
      </c>
      <c r="C12" s="15">
        <f>COUNTIFS(보험용어사전!$B$2:$B$389,$A12,보험용어사전!$H$2:$H$389,"&lt;&gt;약관에는 안 나오는 일반 용어")</f>
        <v/>
      </c>
      <c r="D12" s="16">
        <f>IFERROR($C12/$B12,0)</f>
        <v/>
      </c>
    </row>
    <row r="13">
      <c r="A13" s="14" t="inlineStr">
        <is>
          <t>유병자·심사</t>
        </is>
      </c>
      <c r="B13" s="15">
        <f>COUNTIF(보험용어사전!$B$2:$B$389,$A13)</f>
        <v/>
      </c>
      <c r="C13" s="15">
        <f>COUNTIFS(보험용어사전!$B$2:$B$389,$A13,보험용어사전!$H$2:$H$389,"&lt;&gt;약관에는 안 나오는 일반 용어")</f>
        <v/>
      </c>
      <c r="D13" s="16">
        <f>IFERROR($C13/$B13,0)</f>
        <v/>
      </c>
    </row>
    <row r="14">
      <c r="A14" s="14" t="inlineStr">
        <is>
          <t>의료기관</t>
        </is>
      </c>
      <c r="B14" s="15">
        <f>COUNTIF(보험용어사전!$B$2:$B$389,$A14)</f>
        <v/>
      </c>
      <c r="C14" s="15">
        <f>COUNTIFS(보험용어사전!$B$2:$B$389,$A14,보험용어사전!$H$2:$H$389,"&lt;&gt;약관에는 안 나오는 일반 용어")</f>
        <v/>
      </c>
      <c r="D14" s="16">
        <f>IFERROR($C14/$B14,0)</f>
        <v/>
      </c>
    </row>
    <row r="15">
      <c r="A15" s="14" t="inlineStr">
        <is>
          <t>치아</t>
        </is>
      </c>
      <c r="B15" s="15">
        <f>COUNTIF(보험용어사전!$B$2:$B$389,$A15)</f>
        <v/>
      </c>
      <c r="C15" s="15">
        <f>COUNTIFS(보험용어사전!$B$2:$B$389,$A15,보험용어사전!$H$2:$H$389,"&lt;&gt;약관에는 안 나오는 일반 용어")</f>
        <v/>
      </c>
      <c r="D15" s="16">
        <f>IFERROR($C15/$B15,0)</f>
        <v/>
      </c>
    </row>
    <row r="16">
      <c r="A16" s="14" t="inlineStr">
        <is>
          <t>태아·어린이</t>
        </is>
      </c>
      <c r="B16" s="15">
        <f>COUNTIF(보험용어사전!$B$2:$B$389,$A16)</f>
        <v/>
      </c>
      <c r="C16" s="15">
        <f>COUNTIFS(보험용어사전!$B$2:$B$389,$A16,보험용어사전!$H$2:$H$389,"&lt;&gt;약관에는 안 나오는 일반 용어")</f>
        <v/>
      </c>
      <c r="D16" s="16">
        <f>IFERROR($C16/$B16,0)</f>
        <v/>
      </c>
    </row>
    <row r="17">
      <c r="A17" s="17" t="inlineStr">
        <is>
          <t>합계</t>
        </is>
      </c>
      <c r="B17" s="18">
        <f>SUM(B2:B16)</f>
        <v/>
      </c>
      <c r="C17" s="18">
        <f>SUM(C2:C16)</f>
        <v/>
      </c>
      <c r="D17" s="19">
        <f>IFERROR($C17/$B17,0)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2026-09-21T04:24:30Z</dcterms:modified>
</cp:coreProperties>
</file>