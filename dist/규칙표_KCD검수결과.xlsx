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95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95개'!$A$2:$T$97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v8.61 · rules.json 의 규칙 95줄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95개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skip_procedure_defined</t>
        </is>
      </c>
      <c r="C14" s="14" t="inlineStr">
        <is>
          <t>계산 제외 (제도성·조건부)</t>
        </is>
      </c>
      <c r="D14" s="13" t="inlineStr">
        <is>
          <t>조혈모세포이식수술비|5대장기이식수술비|인공관절수술비|각막이식수술비|유방절제수술복원치료비|7대장기이식대기등록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기록 사유 : 약관이 질병코드가 아니라 시술 자체(조혈모세포이식·5대장기이식·인공관절치환술·각막이식·유방전절제(Total Mastectomy)·이식대기등록)로 지급사유를 정하고 마스터에 수가코드 목록도 없다 — 사례에 그 시술 표시가 없어 계산 제외</t>
        </is>
      </c>
      <c r="M14" s="15" t="inlineStr"/>
      <c r="N14" s="15" t="inlineStr"/>
      <c r="O14" s="15" t="inlineStr">
        <is>
          <t>시술로 정하는 수술비(코드·수가 목록 없음) — 계산 제외 + 사유 기록(v8.61)</t>
        </is>
      </c>
      <c r="P14" s="12" t="n">
        <v>8</v>
      </c>
      <c r="Q14" s="15" t="inlineStr"/>
      <c r="R14" s="15" t="inlineStr">
        <is>
          <t>조혈모세포이식수술비
5대장기이식수술비
유방절제수술복원치료비(부분절제제외)
인공관절수술비
각막이식수술비</t>
        </is>
      </c>
      <c r="S14" s="11" t="inlineStr"/>
      <c r="T14" s="11" t="inlineStr"/>
    </row>
    <row r="15">
      <c r="A15" s="7" t="n">
        <v>13</v>
      </c>
      <c r="B15" s="8" t="inlineStr">
        <is>
          <t>tx_cast</t>
        </is>
      </c>
      <c r="C15" s="9" t="inlineStr">
        <is>
          <t>치료비 (치료행위)</t>
        </is>
      </c>
      <c r="D15" s="8" t="inlineStr">
        <is>
          <t>^(갱신형)?깁스치료비$|\[깁스치료비\]$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계산함</t>
        </is>
      </c>
      <c r="H15" s="7" t="inlineStr">
        <is>
          <t>받을 때마다</t>
        </is>
      </c>
      <c r="I15" s="10" t="inlineStr">
        <is>
          <t>※ 이름 미정  (cast)</t>
        </is>
      </c>
      <c r="J15" s="10" t="inlineStr"/>
      <c r="K15" s="10" t="inlineStr"/>
      <c r="L15" s="10" t="inlineStr"/>
      <c r="M15" s="10" t="inlineStr">
        <is>
          <t>치료비</t>
        </is>
      </c>
      <c r="N15" s="10" t="inlineStr">
        <is>
          <t>깁스(Cast) 치료</t>
        </is>
      </c>
      <c r="O15" s="10" t="inlineStr">
        <is>
          <t>깁스치료비 — 질병코드 조건 없음(약관 제1조 '깁스(Cast)치료를 받았을 때'), 사례 단계에 깁스 치료(cast)가 있을 때만 계산(v8.61)</t>
        </is>
      </c>
      <c r="P15" s="7" t="n">
        <v>4</v>
      </c>
      <c r="Q15" s="10" t="inlineStr"/>
      <c r="R15" s="10" t="inlineStr">
        <is>
          <t>깁스치료비
깁스치료비
통합골절치료비[깁스치료비]
깁스치료비</t>
        </is>
      </c>
      <c r="S15" s="11" t="inlineStr"/>
      <c r="T15" s="11" t="inlineStr"/>
    </row>
    <row r="16">
      <c r="A16" s="12" t="n">
        <v>14</v>
      </c>
      <c r="B16" s="13" t="inlineStr">
        <is>
          <t>tx_trauma_center</t>
        </is>
      </c>
      <c r="C16" s="14" t="inlineStr">
        <is>
          <t>치료비 (치료행위)</t>
        </is>
      </c>
      <c r="D16" s="13" t="inlineStr">
        <is>
          <t>통합외상치료비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연 1회 (기본값)</t>
        </is>
      </c>
      <c r="I16" s="15" t="inlineStr">
        <is>
          <t>권역외상센터 진료  (trauma_center)</t>
        </is>
      </c>
      <c r="J16" s="15" t="inlineStr"/>
      <c r="K16" s="15" t="inlineStr"/>
      <c r="L16" s="15" t="inlineStr">
        <is>
          <t>원인 한정 : 상해만</t>
        </is>
      </c>
      <c r="M16" s="15" t="inlineStr"/>
      <c r="N16" s="15" t="inlineStr">
        <is>
          <t>권역외상센터 중등증 이상 외상(ISS 9점 이상) 치료 · 1사고당 1회</t>
        </is>
      </c>
      <c r="O16" s="15" t="inlineStr">
        <is>
          <t>통합외상치료비 — 질병코드 조건 없음(ISS 점수 기준), 사례에 권역외상센터 치료가 있을 때만 계산(v8.9)</t>
        </is>
      </c>
      <c r="P16" s="12" t="n">
        <v>3</v>
      </c>
      <c r="Q16" s="15" t="inlineStr"/>
      <c r="R16" s="15" t="inlineStr">
        <is>
          <t>통합외상치료비(권역외상센터)
통합외상치료비(권역외상센터)
통합외상치료비(권역외상센터)</t>
        </is>
      </c>
      <c r="S16" s="11" t="inlineStr"/>
      <c r="T16" s="11" t="inlineStr"/>
    </row>
    <row r="17">
      <c r="A17" s="7" t="n">
        <v>15</v>
      </c>
      <c r="B17" s="8" t="inlineStr">
        <is>
          <t>care_nano</t>
        </is>
      </c>
      <c r="C17" s="9" t="inlineStr">
        <is>
          <t>간병</t>
        </is>
      </c>
      <c r="D17" s="8" t="inlineStr">
        <is>
          <t>간호[·ㆍ]?간병통합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간호·간병통합서비스
지급 방식 : 하루</t>
        </is>
      </c>
      <c r="M17" s="10" t="inlineStr"/>
      <c r="N17" s="10" t="inlineStr"/>
      <c r="O17" s="10" t="inlineStr">
        <is>
          <t>간호·간병통합병실 사용 일당</t>
        </is>
      </c>
      <c r="P17" s="7" t="n">
        <v>21</v>
      </c>
      <c r="Q17" s="10" t="inlineStr"/>
      <c r="R17" s="10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7" s="11" t="inlineStr"/>
      <c r="T17" s="11" t="inlineStr"/>
    </row>
    <row r="18">
      <c r="A18" s="12" t="n">
        <v>16</v>
      </c>
      <c r="B18" s="13" t="inlineStr">
        <is>
          <t>care_use</t>
        </is>
      </c>
      <c r="C18" s="14" t="inlineStr">
        <is>
          <t>간병</t>
        </is>
      </c>
      <c r="D18" s="13" t="inlineStr">
        <is>
          <t>간병인사용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간병인사용일당
지급 방식 : 하루</t>
        </is>
      </c>
      <c r="M18" s="15" t="inlineStr"/>
      <c r="N18" s="15" t="inlineStr"/>
      <c r="O18" s="15" t="inlineStr">
        <is>
          <t>간병인 사용비용 일당</t>
        </is>
      </c>
      <c r="P18" s="12" t="n">
        <v>51</v>
      </c>
      <c r="Q18" s="15" t="inlineStr"/>
      <c r="R18" s="15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8" s="11" t="inlineStr"/>
      <c r="T18" s="11" t="inlineStr"/>
    </row>
    <row r="19">
      <c r="A19" s="7" t="n">
        <v>17</v>
      </c>
      <c r="B19" s="8" t="inlineStr">
        <is>
          <t>care_support</t>
        </is>
      </c>
      <c r="C19" s="9" t="inlineStr">
        <is>
          <t>간병</t>
        </is>
      </c>
      <c r="D19" s="8" t="inlineStr">
        <is>
          <t>간병인지원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간병인지원
지급 방식 : 현물</t>
        </is>
      </c>
      <c r="M19" s="10" t="inlineStr"/>
      <c r="N19" s="10" t="inlineStr"/>
      <c r="O19" s="10" t="inlineStr">
        <is>
          <t>간병인 직접 지원(현물)</t>
        </is>
      </c>
      <c r="P19" s="7" t="n">
        <v>30</v>
      </c>
      <c r="Q19" s="10" t="inlineStr"/>
      <c r="R19" s="10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9" s="11" t="inlineStr"/>
      <c r="T19" s="11" t="inlineStr"/>
    </row>
    <row r="20">
      <c r="A20" s="12" t="n">
        <v>18</v>
      </c>
      <c r="B20" s="13" t="inlineStr">
        <is>
          <t>care_cost</t>
        </is>
      </c>
      <c r="C20" s="14" t="inlineStr">
        <is>
          <t>간병</t>
        </is>
      </c>
      <c r="D20" s="13" t="inlineStr">
        <is>
          <t>간병인비용지원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간병인비용지원
지급 방식 : 정액</t>
        </is>
      </c>
      <c r="M20" s="15" t="inlineStr"/>
      <c r="N20" s="15" t="inlineStr"/>
      <c r="O20" s="15" t="inlineStr">
        <is>
          <t>간병인비용 정액 지원</t>
        </is>
      </c>
      <c r="P20" s="12" t="n">
        <v>16</v>
      </c>
      <c r="Q20" s="15" t="inlineStr"/>
      <c r="R20" s="15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0" s="11" t="inlineStr"/>
      <c r="T20" s="11" t="inlineStr"/>
    </row>
    <row r="21">
      <c r="A21" s="7" t="n">
        <v>19</v>
      </c>
      <c r="B21" s="8" t="inlineStr">
        <is>
          <t>care_ltc</t>
        </is>
      </c>
      <c r="C21" s="9" t="inlineStr">
        <is>
          <t>간병</t>
        </is>
      </c>
      <c r="D21" s="8" t="inlineStr">
        <is>
          <t>치매간병비|장기요양급여금|치매생활비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치매·장기요양
지급 방식 : 정액</t>
        </is>
      </c>
      <c r="M21" s="10" t="inlineStr"/>
      <c r="N21" s="10" t="inlineStr"/>
      <c r="O21" s="10" t="inlineStr">
        <is>
          <t>치매·장기요양 간병</t>
        </is>
      </c>
      <c r="P21" s="7" t="n">
        <v>6</v>
      </c>
      <c r="Q21" s="10" t="inlineStr"/>
      <c r="R21" s="10" t="inlineStr">
        <is>
          <t>장기요양급여금(1-4등급)
장기요양급여금(1-2등급)
장기요양급여금(1등급)
중증치매간병비
경증이상 치매간병비</t>
        </is>
      </c>
      <c r="S21" s="11" t="inlineStr"/>
      <c r="T21" s="11" t="inlineStr"/>
    </row>
    <row r="22">
      <c r="A22" s="12" t="n">
        <v>20</v>
      </c>
      <c r="B22" s="13" t="inlineStr">
        <is>
          <t>life_death</t>
        </is>
      </c>
      <c r="C22" s="14" t="inlineStr">
        <is>
          <t>사망·후유장해</t>
        </is>
      </c>
      <c r="D22" s="13" t="inlineStr">
        <is>
          <t>사망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사망</t>
        </is>
      </c>
      <c r="M22" s="15" t="inlineStr"/>
      <c r="N22" s="15" t="inlineStr"/>
      <c r="O22" s="15" t="inlineStr">
        <is>
          <t>사망보험금</t>
        </is>
      </c>
      <c r="P22" s="12" t="n">
        <v>19</v>
      </c>
      <c r="Q22" s="15" t="inlineStr"/>
      <c r="R22" s="15" t="inlineStr">
        <is>
          <t>질병사망
일반상해사망
일반상해사망(추가)
갱신형 일반상해사망
질병사망</t>
        </is>
      </c>
      <c r="S22" s="11" t="inlineStr"/>
      <c r="T22" s="11" t="inlineStr"/>
    </row>
    <row r="23">
      <c r="A23" s="7" t="n">
        <v>21</v>
      </c>
      <c r="B23" s="8" t="inlineStr">
        <is>
          <t>life_disability</t>
        </is>
      </c>
      <c r="C23" s="9" t="inlineStr">
        <is>
          <t>사망·후유장해</t>
        </is>
      </c>
      <c r="D23" s="8" t="inlineStr">
        <is>
          <t>후유장해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후유장해</t>
        </is>
      </c>
      <c r="M23" s="10" t="inlineStr"/>
      <c r="N23" s="10" t="inlineStr"/>
      <c r="O23" s="10" t="inlineStr">
        <is>
          <t>후유장해보험금</t>
        </is>
      </c>
      <c r="P23" s="7" t="n">
        <v>60</v>
      </c>
      <c r="Q23" s="10" t="inlineStr"/>
      <c r="R23" s="10" t="inlineStr">
        <is>
          <t>일반상해80%이상후유장해
질병80%이상후유장해
일반상해80%이상후유장해 생활자금
일반상해50%이상후유장해 생활자금
일반상해50%이상후유장해</t>
        </is>
      </c>
      <c r="S23" s="11" t="inlineStr"/>
      <c r="T23" s="11" t="inlineStr"/>
    </row>
    <row r="24">
      <c r="A24" s="12" t="n">
        <v>22</v>
      </c>
      <c r="B24" s="13" t="inlineStr">
        <is>
          <t>itc_unknown</t>
        </is>
      </c>
      <c r="C24" s="14" t="inlineStr">
        <is>
          <t>계산 제외 + 사유 기록</t>
        </is>
      </c>
      <c r="D24" s="13" t="inlineStr">
        <is>
          <t>통합치료비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/>
      <c r="M24" s="15" t="inlineStr"/>
      <c r="N24" s="15" t="inlineStr"/>
      <c r="O24" s="15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4" s="12" t="n">
        <v>46</v>
      </c>
      <c r="Q24" s="15" t="inlineStr"/>
      <c r="R24" s="15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4" s="11" t="inlineStr"/>
      <c r="T24" s="11" t="inlineStr"/>
    </row>
    <row r="25">
      <c r="A25" s="7" t="n">
        <v>23</v>
      </c>
      <c r="B25" s="8" t="inlineStr">
        <is>
          <t>tx_thromb_combo</t>
        </is>
      </c>
      <c r="C25" s="9" t="inlineStr">
        <is>
          <t>치료비 (치료행위)</t>
        </is>
      </c>
      <c r="D25" s="8" t="inlineStr">
        <is>
          <t>특정혈전치료비</t>
        </is>
      </c>
      <c r="E25" s="10" t="inlineStr"/>
      <c r="F25" s="10" t="inlineStr">
        <is>
          <t>특약 마스터(db.json)에 실린 약관 KCD 목록과 대조</t>
        </is>
      </c>
      <c r="G25" s="7" t="inlineStr">
        <is>
          <t>계산함</t>
        </is>
      </c>
      <c r="H25" s="7" t="inlineStr">
        <is>
          <t>연 1회</t>
        </is>
      </c>
      <c r="I25" s="10" t="inlineStr">
        <is>
          <t>혈전용해치료(약물)  (thromb)
기계적 혈전제거술  (thrombectomy)</t>
        </is>
      </c>
      <c r="J25" s="10" t="inlineStr">
        <is>
          <t>혈전용해치료(약물)  (thromb)
기계적 혈전제거술  (thrombectomy)</t>
        </is>
      </c>
      <c r="K25" s="10" t="inlineStr"/>
      <c r="L25" s="10" t="inlineStr"/>
      <c r="M25" s="10" t="inlineStr">
        <is>
          <t>치료비</t>
        </is>
      </c>
      <c r="N25" s="10" t="inlineStr">
        <is>
          <t>혈전용해치료 + 급여 기계적혈전제거술을 모두 받은 때 · 연간 1회</t>
        </is>
      </c>
      <c r="O25" s="10" t="inlineStr">
        <is>
          <t>뇌혈관·허혈성심장질환 특정혈전치료비 — 두 치료를 모두 받아야 지급(약관 제1조)</t>
        </is>
      </c>
      <c r="P25" s="7" t="n">
        <v>6</v>
      </c>
      <c r="Q25" s="10" t="inlineStr"/>
      <c r="R25" s="10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5" s="11" t="inlineStr"/>
      <c r="T25" s="11" t="inlineStr"/>
    </row>
    <row r="26">
      <c r="A26" s="12" t="n">
        <v>24</v>
      </c>
      <c r="B26" s="13" t="inlineStr">
        <is>
          <t>dx_cancer_stage4</t>
        </is>
      </c>
      <c r="C26" s="14" t="inlineStr">
        <is>
          <t>계산 제외 (제도성·조건부)</t>
        </is>
      </c>
      <c r="D26" s="13" t="inlineStr">
        <is>
          <t>원격전이포함4기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원격전이(4기) 진단 시에만 지급되는 조건부 진단비 — 일반 암 진단 사례에서는 계산에서 제외</t>
        </is>
      </c>
      <c r="M26" s="15" t="inlineStr"/>
      <c r="N26" s="15" t="inlineStr"/>
      <c r="O26" s="15" t="inlineStr">
        <is>
          <t>원격전이포함 4기 진단비 — 병기 조건부(사례 계산 제외)</t>
        </is>
      </c>
      <c r="P26" s="12" t="n">
        <v>18</v>
      </c>
      <c r="Q26" s="15" t="inlineStr"/>
      <c r="R26" s="15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6" s="11" t="inlineStr"/>
      <c r="T26" s="11" t="inlineStr"/>
    </row>
    <row r="27">
      <c r="A27" s="7" t="n">
        <v>25</v>
      </c>
      <c r="B27" s="8" t="inlineStr">
        <is>
          <t>tx_cancer_main_group</t>
        </is>
      </c>
      <c r="C27" s="9" t="inlineStr">
        <is>
          <t>치료비 (치료행위)</t>
        </is>
      </c>
      <c r="D27" s="8" t="inlineStr">
        <is>
          <t>통합암주요치료비</t>
        </is>
      </c>
      <c r="E27" s="10" t="inlineStr"/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연 1회</t>
        </is>
      </c>
      <c r="I27" s="10" t="inlineStr">
        <is>
          <t>수술  (surg)
항암 화학약물치료(급여)  (chemo)
항암 방사선치료  (rad)</t>
        </is>
      </c>
      <c r="J27" s="10" t="inlineStr"/>
      <c r="K27" s="10" t="inlineStr">
        <is>
          <t>암</t>
        </is>
      </c>
      <c r="L27" s="10" t="inlineStr"/>
      <c r="M27" s="10" t="inlineStr">
        <is>
          <t>암 치료</t>
        </is>
      </c>
      <c r="N27" s="10" t="inlineStr">
        <is>
          <t>약관 별표 암종구분에 해당하는 암의 주요치료(수술·항암약물·항암방사선) 중 하나 이상 · 연간 1회</t>
        </is>
      </c>
      <c r="O27" s="10" t="inlineStr">
        <is>
          <t>통합암 주요치료비 — 암종 그룹별 · 주요치료 1가지만 받아도 연간 1회</t>
        </is>
      </c>
      <c r="P27" s="7" t="n">
        <v>64</v>
      </c>
      <c r="Q27" s="10" t="inlineStr"/>
      <c r="R27" s="10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7" s="11" t="inlineStr"/>
      <c r="T27" s="11" t="inlineStr"/>
    </row>
    <row r="28">
      <c r="A28" s="12" t="n">
        <v>26</v>
      </c>
      <c r="B28" s="13" t="inlineStr">
        <is>
          <t>dx_cancer_group</t>
        </is>
      </c>
      <c r="C28" s="14" t="inlineStr">
        <is>
          <t>진단비</t>
        </is>
      </c>
      <c r="D28" s="13" t="inlineStr">
        <is>
          <t>(특정소액암|특정소화기암|15대특정암|14대특정암|10대특정암|4대고액암)</t>
        </is>
      </c>
      <c r="E28" s="15" t="inlineStr">
        <is>
          <t>주요치료비|치료비|생활비|생활지원비|입원일당|통원일당|수술비|원격전이포함4기</t>
        </is>
      </c>
      <c r="F28" s="15" t="inlineStr">
        <is>
          <t>질병코드 그룹표(rules.json)와 대조</t>
        </is>
      </c>
      <c r="G28" s="12" t="inlineStr">
        <is>
          <t>계산함</t>
        </is>
      </c>
      <c r="H28" s="12" t="inlineStr">
        <is>
          <t>최초 1회</t>
        </is>
      </c>
      <c r="I28" s="15" t="inlineStr"/>
      <c r="J28" s="15" t="inlineStr"/>
      <c r="K28" s="15" t="inlineStr">
        <is>
          <t>암</t>
        </is>
      </c>
      <c r="L28" s="15" t="inlineStr"/>
      <c r="M28" s="15" t="inlineStr">
        <is>
          <t>진단비</t>
        </is>
      </c>
      <c r="N28" s="15" t="inlineStr">
        <is>
          <t>약관 별표 대상 암 진단확정 · 최초 1회</t>
        </is>
      </c>
      <c r="O28" s="15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28" s="16" t="n">
        <v>0</v>
      </c>
      <c r="Q28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28" s="15" t="inlineStr"/>
      <c r="S28" s="11" t="inlineStr"/>
      <c r="T28" s="11" t="inlineStr"/>
    </row>
    <row r="29">
      <c r="A29" s="7" t="n">
        <v>27</v>
      </c>
      <c r="B29" s="8" t="inlineStr">
        <is>
          <t>dx_cancer_major</t>
        </is>
      </c>
      <c r="C29" s="9" t="inlineStr">
        <is>
          <t>진단비</t>
        </is>
      </c>
      <c r="D29" s="8" t="inlineStr">
        <is>
          <t>(^|\])(갱신형)?(통합)?암진단비|암진단및치료비.*\[암진단비|^암치료,후유장해및진단비|^암후유장해및진단비</t>
        </is>
      </c>
      <c r="E29" s="10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29" s="10" t="inlineStr">
        <is>
          <t>암 — 유사암 제외 (약관 별표 암분류로 판정)</t>
        </is>
      </c>
      <c r="G29" s="7" t="inlineStr">
        <is>
          <t>계산함</t>
        </is>
      </c>
      <c r="H29" s="7" t="inlineStr">
        <is>
          <t>최초 1회</t>
        </is>
      </c>
      <c r="I29" s="10" t="inlineStr"/>
      <c r="J29" s="10" t="inlineStr"/>
      <c r="K29" s="10" t="inlineStr">
        <is>
          <t>암</t>
        </is>
      </c>
      <c r="L29" s="10" t="inlineStr"/>
      <c r="M29" s="10" t="inlineStr">
        <is>
          <t>진단비</t>
        </is>
      </c>
      <c r="N29" s="10" t="inlineStr">
        <is>
          <t>암(유사암제외) 진단확정 · 최초 1회</t>
        </is>
      </c>
      <c r="O29" s="10" t="inlineStr">
        <is>
          <t>암진단비 — 별표3 악성신생물 분류로 판정</t>
        </is>
      </c>
      <c r="P29" s="7" t="n">
        <v>39</v>
      </c>
      <c r="Q29" s="10" t="inlineStr"/>
      <c r="R29" s="10" t="inlineStr">
        <is>
          <t>통합암진단비 (전이포함)(유사암제외)
암진단비(유사암제외)
암진단비(유사암 및 소액암 제외)
통합암진단비(유사암제외)
암진단비(유사암제외)(감액및면책기간미적 용)</t>
        </is>
      </c>
      <c r="S29" s="11" t="inlineStr"/>
      <c r="T29" s="11" t="inlineStr"/>
    </row>
    <row r="30">
      <c r="A30" s="12" t="n">
        <v>28</v>
      </c>
      <c r="B30" s="13" t="inlineStr">
        <is>
          <t>dx_cancer_sim</t>
        </is>
      </c>
      <c r="C30" s="14" t="inlineStr">
        <is>
          <t>진단비</t>
        </is>
      </c>
      <c r="D30" s="13" t="inlineStr">
        <is>
          <t>유사암진단비</t>
        </is>
      </c>
      <c r="E30" s="15" t="inlineStr"/>
      <c r="F30" s="15" t="inlineStr">
        <is>
          <t>유사암 — 제자리암·경계성종양·갑상선암·기타피부암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암 · 유사암</t>
        </is>
      </c>
      <c r="L30" s="15" t="inlineStr"/>
      <c r="M30" s="15" t="inlineStr">
        <is>
          <t>진단비</t>
        </is>
      </c>
      <c r="N30" s="15" t="inlineStr">
        <is>
          <t>유사암 진단확정 · 최초 1회</t>
        </is>
      </c>
      <c r="O30" s="15" t="inlineStr">
        <is>
          <t>유사암진단비 — 제자리암·경계성종양·기타피부암·갑상선암</t>
        </is>
      </c>
      <c r="P30" s="12" t="n">
        <v>11</v>
      </c>
      <c r="Q30" s="15" t="inlineStr"/>
      <c r="R30" s="15" t="inlineStr">
        <is>
          <t>유사암진단비
유사암진단비Ⅱ
유사암진단비(감액및면책기간미적용)
유사암진단비
갱신형 유사암진단비</t>
        </is>
      </c>
      <c r="S30" s="11" t="inlineStr"/>
      <c r="T30" s="11" t="inlineStr"/>
    </row>
    <row r="31">
      <c r="A31" s="7" t="n">
        <v>29</v>
      </c>
      <c r="B31" s="8" t="inlineStr">
        <is>
          <t>dx_cancer_meta_sim</t>
        </is>
      </c>
      <c r="C31" s="9" t="inlineStr">
        <is>
          <t>계산 제외 (제도성·조건부)</t>
        </is>
      </c>
      <c r="D31" s="8" t="inlineStr">
        <is>
          <t>(림프절전이암|특정전이암)\(기타피부암및갑상선암\)</t>
        </is>
      </c>
      <c r="E31" s="10" t="inlineStr"/>
      <c r="F31" s="10" t="inlineStr">
        <is>
          <t>질병코드 조건 없음 — 담보명·치료행위로만 판정</t>
        </is>
      </c>
      <c r="G31" s="7" t="inlineStr">
        <is>
          <t>분류만 (금액 계산 안 함)</t>
        </is>
      </c>
      <c r="H31" s="7" t="inlineStr">
        <is>
          <t>—</t>
        </is>
      </c>
      <c r="I31" s="10" t="inlineStr"/>
      <c r="J31" s="10" t="inlineStr"/>
      <c r="K31" s="10" t="inlineStr"/>
      <c r="L31" s="10" t="inlineStr">
        <is>
          <t>기록 사유 : 원발암이 기타피부암·갑상선암인 전이암에만 지급되는 세부보장 — 사례에 원발암 구분이 없어 계산 제외</t>
        </is>
      </c>
      <c r="M31" s="10" t="inlineStr"/>
      <c r="N31" s="10" t="inlineStr"/>
      <c r="O31" s="10" t="inlineStr">
        <is>
          <t>통합전이암진단비의 (기타피부암 및 갑상선암) 세부보장 — 원발암 조건부(사례 계산 제외)(v8.55)</t>
        </is>
      </c>
      <c r="P31" s="7" t="n">
        <v>4</v>
      </c>
      <c r="Q31" s="10" t="inlineStr"/>
      <c r="R31" s="10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1" s="11" t="inlineStr"/>
      <c r="T31" s="11" t="inlineStr"/>
    </row>
    <row r="32">
      <c r="A32" s="12" t="n">
        <v>30</v>
      </c>
      <c r="B32" s="13" t="inlineStr">
        <is>
          <t>dx_cancer_meta_sim_primary</t>
        </is>
      </c>
      <c r="C32" s="14" t="inlineStr">
        <is>
          <t>계산 제외 (제도성·조건부)</t>
        </is>
      </c>
      <c r="D32" s="13" t="inlineStr">
        <is>
          <t>갑상선암및기타피부암의전이암</t>
        </is>
      </c>
      <c r="E32" s="15" t="inlineStr"/>
      <c r="F32" s="15" t="inlineStr">
        <is>
          <t>질병코드 조건 없음 — 담보명·치료행위로만 판정</t>
        </is>
      </c>
      <c r="G32" s="12" t="inlineStr">
        <is>
          <t>분류만 (금액 계산 안 함)</t>
        </is>
      </c>
      <c r="H32" s="12" t="inlineStr">
        <is>
          <t>—</t>
        </is>
      </c>
      <c r="I32" s="15" t="inlineStr"/>
      <c r="J32" s="15" t="inlineStr"/>
      <c r="K32" s="15" t="inlineStr"/>
      <c r="L32" s="15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2" s="15" t="inlineStr"/>
      <c r="N32" s="15" t="inlineStr"/>
      <c r="O32" s="15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2" s="12" t="n">
        <v>3</v>
      </c>
      <c r="Q32" s="15" t="inlineStr"/>
      <c r="R32" s="15" t="inlineStr">
        <is>
          <t>갑상선암 및 기타피부암의 전이암 (림프절 등 전이제외)진단비
갑상선암 및 기타피부암의 전이암 (림프절 등 전이제외)진단비
갑상선암및기타피부암의전이암(림프절등전이제외)진단비</t>
        </is>
      </c>
      <c r="S32" s="11" t="inlineStr"/>
      <c r="T32" s="11" t="inlineStr"/>
    </row>
    <row r="33">
      <c r="A33" s="7" t="n">
        <v>31</v>
      </c>
      <c r="B33" s="8" t="inlineStr">
        <is>
          <t>dx_thyroid_cond</t>
        </is>
      </c>
      <c r="C33" s="9" t="inlineStr">
        <is>
          <t>계산 제외 (제도성·조건부)</t>
        </is>
      </c>
      <c r="D33" s="8" t="inlineStr">
        <is>
          <t>중증갑상선암진단비|갑상선암\(초기제외\)진단비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분류만 (금액 계산 안 함)</t>
        </is>
      </c>
      <c r="H33" s="7" t="inlineStr">
        <is>
          <t>—</t>
        </is>
      </c>
      <c r="I33" s="10" t="inlineStr"/>
      <c r="J33" s="10" t="inlineStr"/>
      <c r="K33" s="10" t="inlineStr"/>
      <c r="L33" s="10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3" s="10" t="inlineStr"/>
      <c r="N33" s="10" t="inlineStr"/>
      <c r="O33" s="10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3" s="7" t="n">
        <v>8</v>
      </c>
      <c r="Q33" s="10" t="inlineStr"/>
      <c r="R33" s="10" t="inlineStr">
        <is>
          <t>갑상선암(초기제외)진단비
갑상선암(초기제외)진단비
중증갑상선암진단비
갱신형 중증갑상선암진단비
중증갑상선암진단비</t>
        </is>
      </c>
      <c r="S33" s="11" t="inlineStr"/>
      <c r="T33" s="11" t="inlineStr"/>
    </row>
    <row r="34">
      <c r="A34" s="12" t="n">
        <v>32</v>
      </c>
      <c r="B34" s="13" t="inlineStr">
        <is>
          <t>dx_cancer_meta</t>
        </is>
      </c>
      <c r="C34" s="14" t="inlineStr">
        <is>
          <t>진단비</t>
        </is>
      </c>
      <c r="D34" s="13" t="inlineStr">
        <is>
          <t>(림프절전이암|특정전이암).*진단비</t>
        </is>
      </c>
      <c r="E34" s="15" t="inlineStr">
        <is>
          <t>기타피부암|갑상선암</t>
        </is>
      </c>
      <c r="F34" s="15" t="inlineStr">
        <is>
          <t>질병코드 그룹표(rules.json)와 대조</t>
        </is>
      </c>
      <c r="G34" s="12" t="inlineStr">
        <is>
          <t>계산함</t>
        </is>
      </c>
      <c r="H34" s="12" t="inlineStr">
        <is>
          <t>최초 1회</t>
        </is>
      </c>
      <c r="I34" s="15" t="inlineStr"/>
      <c r="J34" s="15" t="inlineStr"/>
      <c r="K34" s="15" t="inlineStr">
        <is>
          <t>암</t>
        </is>
      </c>
      <c r="L34" s="15" t="inlineStr"/>
      <c r="M34" s="15" t="inlineStr">
        <is>
          <t>진단비</t>
        </is>
      </c>
      <c r="N34" s="15" t="inlineStr">
        <is>
          <t>약관 별표 전이암 분류표의 전이암 구분(림프절 C77 / 특정 C78~C80)에 해당하는 전이암 진단확정 · 구분별 각각 최초 1회</t>
        </is>
      </c>
      <c r="O34" s="15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4" s="12" t="n">
        <v>4</v>
      </c>
      <c r="Q34" s="15" t="inlineStr"/>
      <c r="R34" s="15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4" s="11" t="inlineStr"/>
      <c r="T34" s="11" t="inlineStr"/>
    </row>
    <row r="35">
      <c r="A35" s="7" t="n">
        <v>33</v>
      </c>
      <c r="B35" s="8" t="inlineStr">
        <is>
          <t>dx_cancer_sub</t>
        </is>
      </c>
      <c r="C35" s="9" t="inlineStr">
        <is>
          <t>진단비</t>
        </is>
      </c>
      <c r="D35" s="8" t="inlineStr">
        <is>
          <t>(전이암|재진단암|중증갑상선암|갑상선암\(초기제외\)|16대특정암|5대고액치료비암|원격전이포함4기|소액암).*진단비</t>
        </is>
      </c>
      <c r="E35" s="10" t="inlineStr"/>
      <c r="F35" s="10" t="inlineStr">
        <is>
          <t>특약 마스터(db.json)에 실린 약관 KCD 목록과 대조</t>
        </is>
      </c>
      <c r="G35" s="7" t="inlineStr">
        <is>
          <t>계산함</t>
        </is>
      </c>
      <c r="H35" s="7" t="inlineStr">
        <is>
          <t>최초 1회</t>
        </is>
      </c>
      <c r="I35" s="10" t="inlineStr"/>
      <c r="J35" s="10" t="inlineStr"/>
      <c r="K35" s="10" t="inlineStr">
        <is>
          <t>암</t>
        </is>
      </c>
      <c r="L35" s="10" t="inlineStr"/>
      <c r="M35" s="10" t="inlineStr">
        <is>
          <t>진단비</t>
        </is>
      </c>
      <c r="N35" s="10" t="inlineStr">
        <is>
          <t>약관 대상 암 진단확정 · 최초 1회</t>
        </is>
      </c>
      <c r="O35" s="10" t="inlineStr">
        <is>
          <t>특정암·전이암 진단비 — 약관 KCD 목록 필수</t>
        </is>
      </c>
      <c r="P35" s="7" t="n">
        <v>12</v>
      </c>
      <c r="Q35" s="10" t="inlineStr"/>
      <c r="R35" s="10" t="inlineStr">
        <is>
          <t>5대고액치료비암진단비
16대특정암진단비
전이암진단비
전이암진단비(감액및면책기간미적용)
5대고액치료비암진단비</t>
        </is>
      </c>
      <c r="S35" s="11" t="inlineStr"/>
      <c r="T35" s="11" t="inlineStr"/>
    </row>
    <row r="36">
      <c r="A36" s="12" t="n">
        <v>34</v>
      </c>
      <c r="B36" s="13" t="inlineStr">
        <is>
          <t>dx_terminal</t>
        </is>
      </c>
      <c r="C36" s="14" t="inlineStr">
        <is>
          <t>계산 제외 (제도성·조건부)</t>
        </is>
      </c>
      <c r="D36" s="13" t="inlineStr">
        <is>
          <t>말기(폐질환|신부전증|간경화)진단비</t>
        </is>
      </c>
      <c r="E36" s="15" t="inlineStr"/>
      <c r="F36" s="15" t="inlineStr">
        <is>
          <t>질병코드 조건 없음 — 담보명·치료행위로만 판정</t>
        </is>
      </c>
      <c r="G36" s="12" t="inlineStr">
        <is>
          <t>분류만 (금액 계산 안 함)</t>
        </is>
      </c>
      <c r="H36" s="12" t="inlineStr">
        <is>
          <t>—</t>
        </is>
      </c>
      <c r="I36" s="15" t="inlineStr"/>
      <c r="J36" s="15" t="inlineStr"/>
      <c r="K36" s="15" t="inlineStr"/>
      <c r="L36" s="15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6" s="15" t="inlineStr"/>
      <c r="N36" s="15" t="inlineStr"/>
      <c r="O36" s="15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6" s="12" t="n">
        <v>6</v>
      </c>
      <c r="Q36" s="15" t="inlineStr"/>
      <c r="R36" s="15" t="inlineStr">
        <is>
          <t>말기폐질환진단비
말기간경화진단비
말기신부전증진단비
말기간경화진단비
말기신부전증진단비</t>
        </is>
      </c>
      <c r="S36" s="11" t="inlineStr"/>
      <c r="T36" s="11" t="inlineStr"/>
    </row>
    <row r="37">
      <c r="A37" s="7" t="n">
        <v>35</v>
      </c>
      <c r="B37" s="8" t="inlineStr">
        <is>
          <t>dx_special_case</t>
        </is>
      </c>
      <c r="C37" s="9" t="inlineStr">
        <is>
          <t>진단비</t>
        </is>
      </c>
      <c r="D37" s="8" t="inlineStr">
        <is>
          <t>산정특례대상진단비</t>
        </is>
      </c>
      <c r="E37" s="10" t="inlineStr"/>
      <c r="F37" s="10" t="inlineStr">
        <is>
          <t>특약 마스터(db.json)에 실린 약관 KCD 목록과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/>
      <c r="L37" s="10" t="inlineStr"/>
      <c r="M37" s="10" t="inlineStr">
        <is>
          <t>진단비</t>
        </is>
      </c>
      <c r="N37" s="10" t="inlineStr">
        <is>
          <t>산정특례 등록 · 최초 1회</t>
        </is>
      </c>
      <c r="O37" s="10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37" s="7" t="n">
        <v>27</v>
      </c>
      <c r="Q37" s="10" t="inlineStr"/>
      <c r="R37" s="10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37" s="11" t="inlineStr"/>
      <c r="T37" s="11" t="inlineStr"/>
    </row>
    <row r="38">
      <c r="A38" s="12" t="n">
        <v>36</v>
      </c>
      <c r="B38" s="13" t="inlineStr">
        <is>
          <t>dx_brain</t>
        </is>
      </c>
      <c r="C38" s="14" t="inlineStr">
        <is>
          <t>진단비</t>
        </is>
      </c>
      <c r="D38" s="13" t="inlineStr">
        <is>
          <t>(뇌혈관질환|뇌졸중|뇌출혈|뇌경색|일과성뇌허혈발작|6대뇌질환|양성뇌종양|외상성뇌출혈).*(진단비|진단및치료비)</t>
        </is>
      </c>
      <c r="E38" s="15" t="inlineStr"/>
      <c r="F38" s="15" t="inlineStr">
        <is>
          <t>특약 마스터(db.json)에 실린 약관 KCD 목록과 대조</t>
        </is>
      </c>
      <c r="G38" s="12" t="inlineStr">
        <is>
          <t>계산함</t>
        </is>
      </c>
      <c r="H38" s="12" t="inlineStr">
        <is>
          <t>최초 1회</t>
        </is>
      </c>
      <c r="I38" s="15" t="inlineStr"/>
      <c r="J38" s="15" t="inlineStr"/>
      <c r="K38" s="15" t="inlineStr">
        <is>
          <t>뇌질환</t>
        </is>
      </c>
      <c r="L38" s="15" t="inlineStr"/>
      <c r="M38" s="15" t="inlineStr">
        <is>
          <t>진단비</t>
        </is>
      </c>
      <c r="N38" s="15" t="inlineStr">
        <is>
          <t>진단확정 · 최초 1회</t>
        </is>
      </c>
      <c r="O38" s="15" t="inlineStr">
        <is>
          <t>뇌혈관 진단비</t>
        </is>
      </c>
      <c r="P38" s="12" t="n">
        <v>24</v>
      </c>
      <c r="Q38" s="15" t="inlineStr"/>
      <c r="R38" s="15" t="inlineStr">
        <is>
          <t>뇌출혈진단비
뇌졸중진단비Ⅱ
뇌혈관질환진단비Ⅱ
뇌졸중진단비(감액기간미적용)
뇌혈관질환진단비(감액기간미적용)</t>
        </is>
      </c>
      <c r="S38" s="11" t="inlineStr"/>
      <c r="T38" s="11" t="inlineStr"/>
    </row>
    <row r="39">
      <c r="A39" s="7" t="n">
        <v>37</v>
      </c>
      <c r="B39" s="8" t="inlineStr">
        <is>
          <t>dx_heart</t>
        </is>
      </c>
      <c r="C39" s="9" t="inlineStr">
        <is>
          <t>진단비</t>
        </is>
      </c>
      <c r="D39" s="8" t="inlineStr">
        <is>
          <t>(허혈성심장질환|급성심근경색증|6대심장질환|특정순환계질환|심장질환).*(진단비|진단및치료비)</t>
        </is>
      </c>
      <c r="E39" s="10" t="inlineStr"/>
      <c r="F39" s="10" t="inlineStr">
        <is>
          <t>특약 마스터(db.json)에 실린 약관 KCD 목록과 대조</t>
        </is>
      </c>
      <c r="G39" s="7" t="inlineStr">
        <is>
          <t>계산함</t>
        </is>
      </c>
      <c r="H39" s="7" t="inlineStr">
        <is>
          <t>최초 1회</t>
        </is>
      </c>
      <c r="I39" s="10" t="inlineStr"/>
      <c r="J39" s="10" t="inlineStr"/>
      <c r="K39" s="10" t="inlineStr">
        <is>
          <t>심장질환</t>
        </is>
      </c>
      <c r="L39" s="10" t="inlineStr"/>
      <c r="M39" s="10" t="inlineStr">
        <is>
          <t>진단비</t>
        </is>
      </c>
      <c r="N39" s="10" t="inlineStr">
        <is>
          <t>진단확정 · 최초 1회</t>
        </is>
      </c>
      <c r="O39" s="10" t="inlineStr">
        <is>
          <t>심장 진단비</t>
        </is>
      </c>
      <c r="P39" s="7" t="n">
        <v>24</v>
      </c>
      <c r="Q39" s="10" t="inlineStr"/>
      <c r="R39" s="10" t="inlineStr">
        <is>
          <t>특정순환계질환진단비
갱신형 6대심장질환진단비Ⅱ
급성심근경색증진단비Ⅱ
허혈성심장질환진단비Ⅱ
급성심근경색증진단비(감액기간미적용)</t>
        </is>
      </c>
      <c r="S39" s="11" t="inlineStr"/>
      <c r="T39" s="11" t="inlineStr"/>
    </row>
    <row r="40">
      <c r="A40" s="12" t="n">
        <v>38</v>
      </c>
      <c r="B40" s="13" t="inlineStr">
        <is>
          <t>dx_injury</t>
        </is>
      </c>
      <c r="C40" s="14" t="inlineStr">
        <is>
          <t>진단비</t>
        </is>
      </c>
      <c r="D40" s="13" t="inlineStr">
        <is>
          <t>(골절|화상|외상|깁스|창상|흉터|부상).*(진단비|치료비)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받을 때마다</t>
        </is>
      </c>
      <c r="I40" s="15" t="inlineStr"/>
      <c r="J40" s="15" t="inlineStr"/>
      <c r="K40" s="15" t="inlineStr"/>
      <c r="L40" s="15" t="inlineStr">
        <is>
          <t>원인 한정 : 상해만</t>
        </is>
      </c>
      <c r="M40" s="15" t="inlineStr">
        <is>
          <t>진단비</t>
        </is>
      </c>
      <c r="N40" s="15" t="inlineStr">
        <is>
          <t>상해 진단 · 치료</t>
        </is>
      </c>
      <c r="O40" s="15" t="inlineStr">
        <is>
          <t>골절·화상·외상 진단/치료비</t>
        </is>
      </c>
      <c r="P40" s="12" t="n">
        <v>34</v>
      </c>
      <c r="Q40" s="15" t="inlineStr"/>
      <c r="R40" s="15" t="inlineStr">
        <is>
          <t>신화상치료비
신화상치료비[화상진단비]
신화상치료비[중증화상및부식진단비]
골절(치아파절 제외)진단비Ⅱ
골절진단비Ⅱ</t>
        </is>
      </c>
      <c r="S40" s="11" t="inlineStr"/>
      <c r="T40" s="11" t="inlineStr"/>
    </row>
    <row r="41">
      <c r="A41" s="7" t="n">
        <v>39</v>
      </c>
      <c r="B41" s="8" t="inlineStr">
        <is>
          <t>dx_etc</t>
        </is>
      </c>
      <c r="C41" s="9" t="inlineStr">
        <is>
          <t>진단비</t>
        </is>
      </c>
      <c r="D41" s="8" t="inlineStr">
        <is>
          <t>진단비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/>
      <c r="L41" s="10" t="inlineStr"/>
      <c r="M41" s="10" t="inlineStr">
        <is>
          <t>진단비</t>
        </is>
      </c>
      <c r="N41" s="10" t="inlineStr">
        <is>
          <t>진단확정 · 최초 1회</t>
        </is>
      </c>
      <c r="O41" s="10" t="inlineStr">
        <is>
          <t>그 밖의 질병 진단비 — 약관 KCD 목록으로만 판정</t>
        </is>
      </c>
      <c r="P41" s="7" t="n">
        <v>100</v>
      </c>
      <c r="Q41" s="10" t="inlineStr"/>
      <c r="R41" s="10" t="inlineStr">
        <is>
          <t>대상포진진단비
통풍진단비
희귀난치성 7대질환진단비
만성당뇨합병증진단비
특정전염병진단비</t>
        </is>
      </c>
      <c r="S41" s="11" t="inlineStr"/>
      <c r="T41" s="11" t="inlineStr"/>
    </row>
    <row r="42">
      <c r="A42" s="12" t="n">
        <v>40</v>
      </c>
      <c r="B42" s="13" t="inlineStr">
        <is>
          <t>surg_grade_1_5</t>
        </is>
      </c>
      <c r="C42" s="14" t="inlineStr">
        <is>
          <t>수술비</t>
        </is>
      </c>
      <c r="D42" s="13" t="inlineStr">
        <is>
          <t>수술비Ⅱ?\(1-5종\)</t>
        </is>
      </c>
      <c r="E42" s="15" t="inlineStr"/>
      <c r="F42" s="15" t="inlineStr">
        <is>
          <t>질병코드 조건 없음 — 담보명·치료행위로만 판정</t>
        </is>
      </c>
      <c r="G42" s="12" t="inlineStr">
        <is>
          <t>계산함</t>
        </is>
      </c>
      <c r="H42" s="12" t="inlineStr">
        <is>
          <t>받을 때마다</t>
        </is>
      </c>
      <c r="I42" s="15" t="inlineStr"/>
      <c r="J42" s="15" t="inlineStr"/>
      <c r="K42" s="15" t="inlineStr"/>
      <c r="L42" s="15" t="inlineStr">
        <is>
          <t>수술 종 판정 : 1-5종 수술분류표Ⅱ (약관 별표76)</t>
        </is>
      </c>
      <c r="M42" s="15" t="inlineStr">
        <is>
          <t>수술비</t>
        </is>
      </c>
      <c r="N42" s="15" t="inlineStr">
        <is>
          <t>{j}종 수술 1회당</t>
        </is>
      </c>
      <c r="O42" s="15" t="inlineStr">
        <is>
          <t>1-5종 수술비(별표76 기준)</t>
        </is>
      </c>
      <c r="P42" s="12" t="n">
        <v>2</v>
      </c>
      <c r="Q42" s="15" t="inlineStr"/>
      <c r="R42" s="15" t="inlineStr">
        <is>
          <t>수술비Ⅱ(1-5종)
갱신형 수술비Ⅱ(1-5종)</t>
        </is>
      </c>
      <c r="S42" s="11" t="inlineStr"/>
      <c r="T42" s="11" t="inlineStr"/>
    </row>
    <row r="43">
      <c r="A43" s="7" t="n">
        <v>41</v>
      </c>
      <c r="B43" s="8" t="inlineStr">
        <is>
          <t>surg_plus_1_5</t>
        </is>
      </c>
      <c r="C43" s="9" t="inlineStr">
        <is>
          <t>수술비</t>
        </is>
      </c>
      <c r="D43" s="8" t="inlineStr">
        <is>
          <t>1-5종수술비\(plus\)</t>
        </is>
      </c>
      <c r="E43" s="10" t="inlineStr"/>
      <c r="F43" s="10" t="inlineStr">
        <is>
          <t>질병코드 조건 없음 — 담보명·치료행위로만 판정</t>
        </is>
      </c>
      <c r="G43" s="7" t="inlineStr">
        <is>
          <t>계산함</t>
        </is>
      </c>
      <c r="H43" s="7" t="inlineStr">
        <is>
          <t>연 1회</t>
        </is>
      </c>
      <c r="I43" s="10" t="inlineStr"/>
      <c r="J43" s="10" t="inlineStr"/>
      <c r="K43" s="10" t="inlineStr"/>
      <c r="L43" s="10" t="inlineStr">
        <is>
          <t>수술 종 판정 : 1-5종 수술분류표Ⅱ (약관 별표76)
(plus) 담보 — 수술 2회 이상일 때만</t>
        </is>
      </c>
      <c r="M43" s="10" t="inlineStr">
        <is>
          <t>수술비</t>
        </is>
      </c>
      <c r="N43" s="10" t="inlineStr">
        <is>
          <t>연간 2회 이상 수술 · 연간 1회한</t>
        </is>
      </c>
      <c r="O43" s="10" t="inlineStr">
        <is>
          <t>1-5종 수술비 plus(연간 2회 이상)</t>
        </is>
      </c>
      <c r="P43" s="7" t="n">
        <v>4</v>
      </c>
      <c r="Q43" s="10" t="inlineStr"/>
      <c r="R43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43" s="11" t="inlineStr"/>
      <c r="T43" s="11" t="inlineStr"/>
    </row>
    <row r="44">
      <c r="A44" s="12" t="n">
        <v>42</v>
      </c>
      <c r="B44" s="13" t="inlineStr">
        <is>
          <t>surg_grade_1_7</t>
        </is>
      </c>
      <c r="C44" s="14" t="inlineStr">
        <is>
          <t>수술비</t>
        </is>
      </c>
      <c r="D44" s="13" t="inlineStr">
        <is>
          <t>수술비\(1-7종</t>
        </is>
      </c>
      <c r="E44" s="15" t="inlineStr"/>
      <c r="F44" s="15" t="inlineStr">
        <is>
          <t>질병코드 조건 없음 — 담보명·치료행위로만 판정</t>
        </is>
      </c>
      <c r="G44" s="12" t="inlineStr">
        <is>
          <t>계산함</t>
        </is>
      </c>
      <c r="H44" s="12" t="inlineStr">
        <is>
          <t>받을 때마다</t>
        </is>
      </c>
      <c r="I44" s="15" t="inlineStr"/>
      <c r="J44" s="15" t="inlineStr"/>
      <c r="K44" s="15" t="inlineStr"/>
      <c r="L44" s="15" t="inlineStr">
        <is>
          <t>수술 종 판정 : 1-7종 수술분류표 (약관 별표3)</t>
        </is>
      </c>
      <c r="M44" s="15" t="inlineStr">
        <is>
          <t>수술비</t>
        </is>
      </c>
      <c r="N44" s="15" t="inlineStr">
        <is>
          <t>{j}종 수술 1회당</t>
        </is>
      </c>
      <c r="O44" s="15" t="inlineStr">
        <is>
          <t>1-7종 수술비(별표3 기준)</t>
        </is>
      </c>
      <c r="P44" s="12" t="n">
        <v>7</v>
      </c>
      <c r="Q44" s="15" t="inlineStr"/>
      <c r="R44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4" s="11" t="inlineStr"/>
      <c r="T44" s="11" t="inlineStr"/>
    </row>
    <row r="45">
      <c r="A45" s="7" t="n">
        <v>43</v>
      </c>
      <c r="B45" s="8" t="inlineStr">
        <is>
          <t>surg_grade_1_7_row</t>
        </is>
      </c>
      <c r="C45" s="9" t="inlineStr">
        <is>
          <t>수술비</t>
        </is>
      </c>
      <c r="D45" s="8" t="inlineStr">
        <is>
          <t>^(갱신형)?수술비\[(상해|질병)\d종\]</t>
        </is>
      </c>
      <c r="E45" s="10" t="inlineStr"/>
      <c r="F45" s="10" t="inlineStr">
        <is>
          <t>질병코드 조건 없음 — 담보명·치료행위로만 판정</t>
        </is>
      </c>
      <c r="G45" s="7" t="inlineStr">
        <is>
          <t>계산함</t>
        </is>
      </c>
      <c r="H45" s="7" t="inlineStr">
        <is>
          <t>받을 때마다</t>
        </is>
      </c>
      <c r="I45" s="10" t="inlineStr"/>
      <c r="J45" s="10" t="inlineStr"/>
      <c r="K45" s="10" t="inlineStr"/>
      <c r="L45" s="10" t="inlineStr">
        <is>
          <t>수술 종 판정 : 1-7종 수술분류표 (약관 별표3)</t>
        </is>
      </c>
      <c r="M45" s="10" t="inlineStr">
        <is>
          <t>수술비</t>
        </is>
      </c>
      <c r="N45" s="10" t="inlineStr">
        <is>
          <t>1-7종 분류표 {j}종 수술 1회당</t>
        </is>
      </c>
      <c r="O45" s="10" t="inlineStr">
        <is>
          <t>1-7종 수술비의 종별 하위 행(설계서에서 ┗ 로 접힌 담보)</t>
        </is>
      </c>
      <c r="P45" s="16" t="n">
        <v>0</v>
      </c>
      <c r="Q45" s="17" t="inlineStr">
        <is>
          <t>특약 마스터에 이 담보명이 없음 — 상품에 없는 담보이거나 이름이 달라진 것</t>
        </is>
      </c>
      <c r="R45" s="10" t="inlineStr"/>
      <c r="S45" s="11" t="inlineStr"/>
      <c r="T45" s="11" t="inlineStr"/>
    </row>
    <row r="46">
      <c r="A46" s="12" t="n">
        <v>44</v>
      </c>
      <c r="B46" s="13" t="inlineStr">
        <is>
          <t>surg_arrhythmia</t>
        </is>
      </c>
      <c r="C46" s="14" t="inlineStr">
        <is>
          <t>수술비</t>
        </is>
      </c>
      <c r="D46" s="13" t="inlineStr">
        <is>
          <t>부정맥질환특정수술비|부정맥특정수술비</t>
        </is>
      </c>
      <c r="E46" s="15" t="inlineStr"/>
      <c r="F46" s="15" t="inlineStr">
        <is>
          <t>질병코드 그룹표(rules.json)와 대조</t>
        </is>
      </c>
      <c r="G46" s="12" t="inlineStr">
        <is>
          <t>계산함</t>
        </is>
      </c>
      <c r="H46" s="12" t="inlineStr">
        <is>
          <t>연 1회</t>
        </is>
      </c>
      <c r="I46" s="15" t="inlineStr"/>
      <c r="J46" s="15" t="inlineStr"/>
      <c r="K46" s="15" t="inlineStr"/>
      <c r="L46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46" s="15" t="inlineStr"/>
      <c r="N46" s="15" t="inlineStr">
        <is>
          <t>약관 별표 6대심장질환 중 부정맥(I47·I48·I49) 진단 후 특정부정맥수술(급여) · 연간 1회</t>
        </is>
      </c>
      <c r="O46" s="15" t="inlineStr">
        <is>
          <t>부정맥질환 특정수술비 — 별표 6대심장질환 중 부정맥</t>
        </is>
      </c>
      <c r="P46" s="16" t="n">
        <v>0</v>
      </c>
      <c r="Q46" s="17" t="inlineStr">
        <is>
          <t>특약 마스터에 이 담보명이 없음 — 상품에 없는 담보이거나 이름이 달라진 것</t>
        </is>
      </c>
      <c r="R46" s="15" t="inlineStr"/>
      <c r="S46" s="11" t="inlineStr"/>
      <c r="T46" s="11" t="inlineStr"/>
    </row>
    <row r="47">
      <c r="A47" s="7" t="n">
        <v>45</v>
      </c>
      <c r="B47" s="8" t="inlineStr">
        <is>
          <t>surg_131</t>
        </is>
      </c>
      <c r="C47" s="9" t="inlineStr">
        <is>
          <t>수술비</t>
        </is>
      </c>
      <c r="D47" s="8" t="inlineStr">
        <is>
          <t>13[01]대질병수술비</t>
        </is>
      </c>
      <c r="E47" s="10" t="inlineStr"/>
      <c r="F47" s="10" t="inlineStr">
        <is>
          <t>131대질병 그룹표(g131.json)와 대조</t>
        </is>
      </c>
      <c r="G47" s="7" t="inlineStr">
        <is>
          <t>계산함</t>
        </is>
      </c>
      <c r="H47" s="7" t="inlineStr">
        <is>
          <t>받을 때마다</t>
        </is>
      </c>
      <c r="I47" s="10" t="inlineStr"/>
      <c r="J47" s="10" t="inlineStr"/>
      <c r="K47" s="10" t="inlineStr"/>
      <c r="L47" s="10" t="inlineStr">
        <is>
          <t>암·유사암은 대상에서 제외</t>
        </is>
      </c>
      <c r="M47" s="10" t="inlineStr">
        <is>
          <t>수술비</t>
        </is>
      </c>
      <c r="N47" s="10" t="inlineStr">
        <is>
          <t>{g} 수술 · 1회</t>
        </is>
      </c>
      <c r="O47" s="10" t="inlineStr">
        <is>
          <t>131/130대질병수술비 — 그룹별 KCD 표(g131.json)로 판정 · 암/유사암 제외</t>
        </is>
      </c>
      <c r="P47" s="7" t="n">
        <v>36</v>
      </c>
      <c r="Q47" s="10" t="inlineStr"/>
      <c r="R47" s="10" t="inlineStr">
        <is>
          <t>130대질병수술비
130대질병수술비[뇌혈관질환]
130대질병수술비[심장질환]
130대질병수술비[특정31대질병]
130대질병수술비[다빈도61대질병]</t>
        </is>
      </c>
      <c r="S47" s="11" t="inlineStr"/>
      <c r="T47" s="11" t="inlineStr"/>
    </row>
    <row r="48">
      <c r="A48" s="12" t="n">
        <v>46</v>
      </c>
      <c r="B48" s="13" t="inlineStr">
        <is>
          <t>surg_cancer</t>
        </is>
      </c>
      <c r="C48" s="14" t="inlineStr">
        <is>
          <t>수술비</t>
        </is>
      </c>
      <c r="D48" s="13" t="inlineStr">
        <is>
          <t>(^|\])(갱신형)?암수술비|유방암유방재건수술비</t>
        </is>
      </c>
      <c r="E48" s="15" t="inlineStr">
        <is>
          <t>유사암수술비|다빈치로봇</t>
        </is>
      </c>
      <c r="F48" s="15" t="inlineStr">
        <is>
          <t>암 — 유사암 제외 (약관 별표 암분류로 판정)</t>
        </is>
      </c>
      <c r="G48" s="12" t="inlineStr">
        <is>
          <t>계산함</t>
        </is>
      </c>
      <c r="H48" s="12" t="inlineStr">
        <is>
          <t>받을 때마다</t>
        </is>
      </c>
      <c r="I48" s="15" t="inlineStr">
        <is>
          <t>수술  (surg)</t>
        </is>
      </c>
      <c r="J48" s="15" t="inlineStr"/>
      <c r="K48" s="15" t="inlineStr"/>
      <c r="L48" s="15" t="inlineStr"/>
      <c r="M48" s="15" t="inlineStr">
        <is>
          <t>수술비</t>
        </is>
      </c>
      <c r="N48" s="15" t="inlineStr">
        <is>
          <t>암 수술 1회당</t>
        </is>
      </c>
      <c r="O48" s="15" t="inlineStr">
        <is>
          <t>암수술비</t>
        </is>
      </c>
      <c r="P48" s="12" t="n">
        <v>17</v>
      </c>
      <c r="Q48" s="15" t="inlineStr"/>
      <c r="R48" s="15" t="inlineStr">
        <is>
          <t>암수술비(유사암제외)
암수술비(유사암제외)(25%체증형)
암수술비(유사암제외) (감액및면책기간미적용)
암수술비(유사암제외)(25%체증형) (감액및면책기간미적용)
갱신형 유방암 유방재건수술비(급여, 연간1회한)</t>
        </is>
      </c>
      <c r="S48" s="11" t="inlineStr"/>
      <c r="T48" s="11" t="inlineStr"/>
    </row>
    <row r="49">
      <c r="A49" s="7" t="n">
        <v>47</v>
      </c>
      <c r="B49" s="8" t="inlineStr">
        <is>
          <t>surg_cancer_sim</t>
        </is>
      </c>
      <c r="C49" s="9" t="inlineStr">
        <is>
          <t>수술비</t>
        </is>
      </c>
      <c r="D49" s="8" t="inlineStr">
        <is>
          <t>유사암수술비</t>
        </is>
      </c>
      <c r="E49" s="10" t="inlineStr"/>
      <c r="F49" s="10" t="inlineStr">
        <is>
          <t>유사암 — 제자리암·경계성종양·갑상선암·기타피부암</t>
        </is>
      </c>
      <c r="G49" s="7" t="inlineStr">
        <is>
          <t>계산함</t>
        </is>
      </c>
      <c r="H49" s="7" t="inlineStr">
        <is>
          <t>받을 때마다</t>
        </is>
      </c>
      <c r="I49" s="10" t="inlineStr">
        <is>
          <t>수술  (surg)</t>
        </is>
      </c>
      <c r="J49" s="10" t="inlineStr"/>
      <c r="K49" s="10" t="inlineStr"/>
      <c r="L49" s="10" t="inlineStr"/>
      <c r="M49" s="10" t="inlineStr">
        <is>
          <t>수술비</t>
        </is>
      </c>
      <c r="N49" s="10" t="inlineStr">
        <is>
          <t>유사암 수술 1회당</t>
        </is>
      </c>
      <c r="O49" s="10" t="inlineStr">
        <is>
          <t>유사암수술비</t>
        </is>
      </c>
      <c r="P49" s="7" t="n">
        <v>12</v>
      </c>
      <c r="Q49" s="10" t="inlineStr"/>
      <c r="R49" s="10" t="inlineStr">
        <is>
          <t>유사암수술비
유사암수술비(25%체증형)
유사암수술비(감액및면책기간미적용)
유사암수술비(25%체증형) (감액및면책기간미적용)
유사암수술비</t>
        </is>
      </c>
      <c r="S49" s="11" t="inlineStr"/>
      <c r="T49" s="11" t="inlineStr"/>
    </row>
    <row r="50">
      <c r="A50" s="12" t="n">
        <v>48</v>
      </c>
      <c r="B50" s="13" t="inlineStr">
        <is>
          <t>tx_hc_radiosurg</t>
        </is>
      </c>
      <c r="C50" s="14" t="inlineStr">
        <is>
          <t>치료비 (치료행위)</t>
        </is>
      </c>
      <c r="D50" s="13" t="inlineStr">
        <is>
          <t>뇌정위적방사선수술비</t>
        </is>
      </c>
      <c r="E50" s="15" t="inlineStr"/>
      <c r="F50" s="15" t="inlineStr">
        <is>
          <t>약관 별표 진료행위(수가)코드와 대조</t>
        </is>
      </c>
      <c r="G50" s="12" t="inlineStr">
        <is>
          <t>계산함</t>
        </is>
      </c>
      <c r="H50" s="12" t="inlineStr">
        <is>
          <t>연 1회</t>
        </is>
      </c>
      <c r="I50" s="15" t="inlineStr"/>
      <c r="J50" s="15" t="inlineStr"/>
      <c r="K50" s="15" t="inlineStr"/>
      <c r="L50" s="15" t="inlineStr"/>
      <c r="M50" s="15" t="inlineStr">
        <is>
          <t>수술비</t>
        </is>
      </c>
      <c r="N50" s="15" t="inlineStr">
        <is>
          <t>뇌정위적방사선수술(급여 · 감마나이프 HD113 · 사이버나이프 HD114 등) · 연간 1회</t>
        </is>
      </c>
      <c r="O50" s="15" t="inlineStr">
        <is>
          <t>뇌정위적방사선수술비 — 약관 제3조가 진료행위코드(HD113~HD115)로 정한다 · 별표 수가코드 ∩ 사례 단계 수가코드로 판정(v8.61)</t>
        </is>
      </c>
      <c r="P50" s="12" t="n">
        <v>3</v>
      </c>
      <c r="Q50" s="15" t="inlineStr"/>
      <c r="R50" s="15" t="inlineStr">
        <is>
          <t>갱신형 뇌정위적방사선수술비 (급여,연간1회한)
갱신형 뇌정위적방사선수술비 (급여,연간1회한)
갱신형뇌정위적방사선수술비(급여,연간1회한)</t>
        </is>
      </c>
      <c r="S50" s="11" t="inlineStr"/>
      <c r="T50" s="11" t="inlineStr"/>
    </row>
    <row r="51">
      <c r="A51" s="7" t="n">
        <v>49</v>
      </c>
      <c r="B51" s="8" t="inlineStr">
        <is>
          <t>surg_brain_heart</t>
        </is>
      </c>
      <c r="C51" s="9" t="inlineStr">
        <is>
          <t>수술비</t>
        </is>
      </c>
      <c r="D51" s="8" t="inlineStr">
        <is>
          <t>(뇌혈관질환|허혈성심장질환|뇌출혈).*수술비</t>
        </is>
      </c>
      <c r="E51" s="10" t="inlineStr"/>
      <c r="F51" s="10" t="inlineStr">
        <is>
          <t>특약 마스터(db.json)에 실린 약관 KCD 목록과 대조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/>
      <c r="J51" s="10" t="inlineStr"/>
      <c r="K51" s="10" t="inlineStr"/>
      <c r="L51" s="10" t="inlineStr">
        <is>
          <t>암·유사암은 대상에서 제외</t>
        </is>
      </c>
      <c r="M51" s="10" t="inlineStr">
        <is>
          <t>수술비</t>
        </is>
      </c>
      <c r="N51" s="10" t="inlineStr">
        <is>
          <t>진단확정 후 수술 1회당</t>
        </is>
      </c>
      <c r="O51" s="10" t="inlineStr">
        <is>
          <t>뇌혈관·허혈성심장질환 수술비 — 약관 KCD 목록으로 판정</t>
        </is>
      </c>
      <c r="P51" s="7" t="n">
        <v>17</v>
      </c>
      <c r="Q51" s="10" t="inlineStr"/>
      <c r="R51" s="10" t="inlineStr">
        <is>
          <t>뇌출혈수술비
뇌혈관질환수술비Ⅱ
뇌혈관질환수술비Ⅱ(25%체증형)
허혈성심장질환수술비Ⅱ
허혈성심장질환수술비Ⅱ(25%체증형)</t>
        </is>
      </c>
      <c r="S51" s="11" t="inlineStr"/>
      <c r="T51" s="11" t="inlineStr"/>
    </row>
    <row r="52">
      <c r="A52" s="12" t="n">
        <v>50</v>
      </c>
      <c r="B52" s="13" t="inlineStr">
        <is>
          <t>surg_hc</t>
        </is>
      </c>
      <c r="C52" s="14" t="inlineStr">
        <is>
          <t>수술비</t>
        </is>
      </c>
      <c r="D52" s="13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52" s="15" t="inlineStr"/>
      <c r="F52" s="15" t="inlineStr">
        <is>
          <t>약관 별표 진료행위(수가)코드와 대조</t>
        </is>
      </c>
      <c r="G52" s="12" t="inlineStr">
        <is>
          <t>계산함</t>
        </is>
      </c>
      <c r="H52" s="12" t="inlineStr">
        <is>
          <t>받을 때마다</t>
        </is>
      </c>
      <c r="I52" s="15" t="inlineStr"/>
      <c r="J52" s="15" t="inlineStr"/>
      <c r="K52" s="15" t="inlineStr"/>
      <c r="L52" s="15" t="inlineStr"/>
      <c r="M52" s="15" t="inlineStr">
        <is>
          <t>수술비</t>
        </is>
      </c>
      <c r="N52" s="15" t="inlineStr">
        <is>
          <t>약관 별표 진료행위(수가코드)에 해당하는 수술 · 연간 1회</t>
        </is>
      </c>
      <c r="O52" s="15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52" s="12" t="n">
        <v>10</v>
      </c>
      <c r="Q52" s="15" t="inlineStr"/>
      <c r="R52" s="15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52" s="11" t="inlineStr"/>
      <c r="T52" s="11" t="inlineStr"/>
    </row>
    <row r="53">
      <c r="A53" s="7" t="n">
        <v>51</v>
      </c>
      <c r="B53" s="8" t="inlineStr">
        <is>
          <t>surg_group_kcd</t>
        </is>
      </c>
      <c r="C53" s="9" t="inlineStr">
        <is>
          <t>수술비</t>
        </is>
      </c>
      <c r="D53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)</t>
        </is>
      </c>
      <c r="E53" s="10" t="inlineStr"/>
      <c r="F53" s="10" t="inlineStr">
        <is>
          <t>특약 마스터(db.json)에 실린 약관 KCD 목록과 대조</t>
        </is>
      </c>
      <c r="G53" s="7" t="inlineStr">
        <is>
          <t>계산함</t>
        </is>
      </c>
      <c r="H53" s="7" t="inlineStr">
        <is>
          <t>받을 때마다</t>
        </is>
      </c>
      <c r="I53" s="10" t="inlineStr"/>
      <c r="J53" s="10" t="inlineStr"/>
      <c r="K53" s="10" t="inlineStr"/>
      <c r="L53" s="10" t="inlineStr">
        <is>
          <t>암·유사암은 대상에서 제외</t>
        </is>
      </c>
      <c r="M53" s="10" t="inlineStr">
        <is>
          <t>수술비</t>
        </is>
      </c>
      <c r="N53" s="10" t="inlineStr">
        <is>
          <t>약관 대상 질병 수술 1회당</t>
        </is>
      </c>
      <c r="O53" s="10" t="inlineStr">
        <is>
          <t>특정질환 수술비 — 약관 KCD 목록으로 판정</t>
        </is>
      </c>
      <c r="P53" s="7" t="n">
        <v>27</v>
      </c>
      <c r="Q53" s="10" t="inlineStr"/>
      <c r="R53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53" s="11" t="inlineStr"/>
      <c r="T53" s="11" t="inlineStr"/>
    </row>
    <row r="54">
      <c r="A54" s="12" t="n">
        <v>52</v>
      </c>
      <c r="B54" s="13" t="inlineStr">
        <is>
          <t>surg_injury_special</t>
        </is>
      </c>
      <c r="C54" s="14" t="inlineStr">
        <is>
          <t>수술비</t>
        </is>
      </c>
      <c r="D54" s="13" t="inlineStr">
        <is>
          <t>(골절.*수술비|화상수술비|외상성척추손상수술비|상해흉터복원수술비|외모특정상해수술비|중대한특정상해수술비)</t>
        </is>
      </c>
      <c r="E54" s="15" t="inlineStr"/>
      <c r="F54" s="15" t="inlineStr">
        <is>
          <t>특약 마스터(db.json)에 실린 약관 KCD 목록과 대조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/>
      <c r="J54" s="15" t="inlineStr"/>
      <c r="K54" s="15" t="inlineStr"/>
      <c r="L54" s="15" t="inlineStr">
        <is>
          <t>원인 한정 : 상해만</t>
        </is>
      </c>
      <c r="M54" s="15" t="inlineStr">
        <is>
          <t>수술비</t>
        </is>
      </c>
      <c r="N54" s="15" t="inlineStr">
        <is>
          <t>상해 수술 1회당</t>
        </is>
      </c>
      <c r="O54" s="15" t="inlineStr">
        <is>
          <t>상해 특정 수술비</t>
        </is>
      </c>
      <c r="P54" s="12" t="n">
        <v>22</v>
      </c>
      <c r="Q54" s="15" t="inlineStr"/>
      <c r="R54" s="15" t="inlineStr">
        <is>
          <t>신화상치료비[화상수술비]
골절수술비Ⅱ
골절(치아파절제외)수술비Ⅱ
신화상치료비[화상수술비]
골절수술비Ⅱ</t>
        </is>
      </c>
      <c r="S54" s="11" t="inlineStr"/>
      <c r="T54" s="11" t="inlineStr"/>
    </row>
    <row r="55">
      <c r="A55" s="7" t="n">
        <v>53</v>
      </c>
      <c r="B55" s="8" t="inlineStr">
        <is>
          <t>surg_basic</t>
        </is>
      </c>
      <c r="C55" s="9" t="inlineStr">
        <is>
          <t>수술비</t>
        </is>
      </c>
      <c r="D55" s="8" t="inlineStr">
        <is>
          <t>(질병|상해)수술비</t>
        </is>
      </c>
      <c r="E55" s="10" t="inlineStr"/>
      <c r="F55" s="10" t="inlineStr">
        <is>
          <t>질병코드 조건 없음 — 담보명·치료행위로만 판정</t>
        </is>
      </c>
      <c r="G55" s="7" t="inlineStr">
        <is>
          <t>계산함</t>
        </is>
      </c>
      <c r="H55" s="7" t="inlineStr">
        <is>
          <t>받을 때마다</t>
        </is>
      </c>
      <c r="I55" s="10" t="inlineStr"/>
      <c r="J55" s="10" t="inlineStr"/>
      <c r="K55" s="10" t="inlineStr"/>
      <c r="L55" s="10" t="inlineStr"/>
      <c r="M55" s="10" t="inlineStr">
        <is>
          <t>수술비</t>
        </is>
      </c>
      <c r="N55" s="10" t="inlineStr">
        <is>
          <t>수술 1회</t>
        </is>
      </c>
      <c r="O55" s="10" t="inlineStr">
        <is>
          <t>질병/상해 수술비(병원 종별·제외질병 조건은 담보명에서 자동 판별)</t>
        </is>
      </c>
      <c r="P55" s="7" t="n">
        <v>39</v>
      </c>
      <c r="Q55" s="10" t="inlineStr"/>
      <c r="R55" s="10" t="inlineStr">
        <is>
          <t>상해수술비
상해수술비(치아파절및치아탈구제외)
종합병원 상해수술비
상급종합병원 상해수술비
질병수술비</t>
        </is>
      </c>
      <c r="S55" s="11" t="inlineStr"/>
      <c r="T55" s="11" t="inlineStr"/>
    </row>
    <row r="56">
      <c r="A56" s="12" t="n">
        <v>54</v>
      </c>
      <c r="B56" s="13" t="inlineStr">
        <is>
          <t>day_icu</t>
        </is>
      </c>
      <c r="C56" s="14" t="inlineStr">
        <is>
          <t>입원·통원 일당</t>
        </is>
      </c>
      <c r="D56" s="13" t="inlineStr">
        <is>
          <t>중환자실입원일당</t>
        </is>
      </c>
      <c r="E56" s="15" t="inlineStr"/>
      <c r="F56" s="15" t="inlineStr">
        <is>
          <t>질병코드 조건 없음 — 담보명·치료행위로만 판정</t>
        </is>
      </c>
      <c r="G56" s="12" t="inlineStr">
        <is>
          <t>계산함</t>
        </is>
      </c>
      <c r="H56" s="12" t="inlineStr">
        <is>
          <t>받을 때마다 (기본값)</t>
        </is>
      </c>
      <c r="I56" s="15" t="inlineStr"/>
      <c r="J56" s="15" t="inlineStr"/>
      <c r="K56" s="15" t="inlineStr"/>
      <c r="L56" s="15" t="inlineStr">
        <is>
          <t>지급 단위 : 중환자실 1일당</t>
        </is>
      </c>
      <c r="M56" s="15" t="inlineStr">
        <is>
          <t>입원일당</t>
        </is>
      </c>
      <c r="N56" s="15" t="inlineStr"/>
      <c r="O56" s="15" t="inlineStr">
        <is>
          <t>중환자실 입원일당</t>
        </is>
      </c>
      <c r="P56" s="12" t="n">
        <v>7</v>
      </c>
      <c r="Q56" s="15" t="inlineStr"/>
      <c r="R56" s="15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56" s="11" t="inlineStr"/>
      <c r="T56" s="11" t="inlineStr"/>
    </row>
    <row r="57">
      <c r="A57" s="7" t="n">
        <v>55</v>
      </c>
      <c r="B57" s="8" t="inlineStr">
        <is>
          <t>day_cancer_stay</t>
        </is>
      </c>
      <c r="C57" s="9" t="inlineStr">
        <is>
          <t>입원·통원 일당</t>
        </is>
      </c>
      <c r="D57" s="8" t="inlineStr">
        <is>
          <t>암(직접치료|요양병원).*입원일당</t>
        </is>
      </c>
      <c r="E57" s="10" t="inlineStr"/>
      <c r="F57" s="10" t="inlineStr">
        <is>
          <t>암 — 유사암 제외 (약관 별표 암분류로 판정)</t>
        </is>
      </c>
      <c r="G57" s="7" t="inlineStr">
        <is>
          <t>계산함</t>
        </is>
      </c>
      <c r="H57" s="7" t="inlineStr">
        <is>
          <t>받을 때마다 (기본값)</t>
        </is>
      </c>
      <c r="I57" s="10" t="inlineStr"/>
      <c r="J57" s="10" t="inlineStr"/>
      <c r="K57" s="10" t="inlineStr"/>
      <c r="L57" s="10" t="inlineStr">
        <is>
          <t>지급 단위 : 입원 1일당</t>
        </is>
      </c>
      <c r="M57" s="10" t="inlineStr">
        <is>
          <t>입원일당</t>
        </is>
      </c>
      <c r="N57" s="10" t="inlineStr"/>
      <c r="O57" s="10" t="inlineStr">
        <is>
          <t>암 직접치료·요양병원 입원일당</t>
        </is>
      </c>
      <c r="P57" s="7" t="n">
        <v>13</v>
      </c>
      <c r="Q57" s="10" t="inlineStr"/>
      <c r="R57" s="10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57" s="11" t="inlineStr"/>
      <c r="T57" s="11" t="inlineStr"/>
    </row>
    <row r="58">
      <c r="A58" s="12" t="n">
        <v>56</v>
      </c>
      <c r="B58" s="13" t="inlineStr">
        <is>
          <t>visit_cancer</t>
        </is>
      </c>
      <c r="C58" s="14" t="inlineStr">
        <is>
          <t>입원·통원 일당</t>
        </is>
      </c>
      <c r="D58" s="13" t="inlineStr">
        <is>
          <t>암직접치료통원일당</t>
        </is>
      </c>
      <c r="E58" s="15" t="inlineStr"/>
      <c r="F58" s="15" t="inlineStr">
        <is>
          <t>암 — 유사암 제외 (약관 별표 암분류로 판정)</t>
        </is>
      </c>
      <c r="G58" s="12" t="inlineStr">
        <is>
          <t>계산함</t>
        </is>
      </c>
      <c r="H58" s="12" t="inlineStr">
        <is>
          <t>받을 때마다 (기본값)</t>
        </is>
      </c>
      <c r="I58" s="15" t="inlineStr"/>
      <c r="J58" s="15" t="inlineStr"/>
      <c r="K58" s="15" t="inlineStr"/>
      <c r="L58" s="15" t="inlineStr">
        <is>
          <t>지급 단위 : 통원 1회당</t>
        </is>
      </c>
      <c r="M58" s="15" t="inlineStr">
        <is>
          <t>통원일당</t>
        </is>
      </c>
      <c r="N58" s="15" t="inlineStr"/>
      <c r="O58" s="15" t="inlineStr">
        <is>
          <t>암 직접치료 통원일당</t>
        </is>
      </c>
      <c r="P58" s="12" t="n">
        <v>6</v>
      </c>
      <c r="Q58" s="15" t="inlineStr"/>
      <c r="R58" s="15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58" s="11" t="inlineStr"/>
      <c r="T58" s="11" t="inlineStr"/>
    </row>
    <row r="59">
      <c r="A59" s="7" t="n">
        <v>57</v>
      </c>
      <c r="B59" s="8" t="inlineStr">
        <is>
          <t>visit_dx</t>
        </is>
      </c>
      <c r="C59" s="9" t="inlineStr">
        <is>
          <t>입원·통원 일당</t>
        </is>
      </c>
      <c r="D59" s="8" t="inlineStr">
        <is>
          <t>(뇌혈관질환|허혈성심장질환).*통원일당</t>
        </is>
      </c>
      <c r="E59" s="10" t="inlineStr"/>
      <c r="F59" s="10" t="inlineStr">
        <is>
          <t>특약 마스터(db.json)에 실린 약관 KCD 목록과 대조</t>
        </is>
      </c>
      <c r="G59" s="7" t="inlineStr">
        <is>
          <t>계산함</t>
        </is>
      </c>
      <c r="H59" s="7" t="inlineStr">
        <is>
          <t>받을 때마다 (기본값)</t>
        </is>
      </c>
      <c r="I59" s="10" t="inlineStr"/>
      <c r="J59" s="10" t="inlineStr"/>
      <c r="K59" s="10" t="inlineStr"/>
      <c r="L59" s="10" t="inlineStr">
        <is>
          <t>지급 단위 : 통원 1회당</t>
        </is>
      </c>
      <c r="M59" s="10" t="inlineStr">
        <is>
          <t>통원일당</t>
        </is>
      </c>
      <c r="N59" s="10" t="inlineStr"/>
      <c r="O59" s="10" t="inlineStr">
        <is>
          <t>뇌·심장 통원일당</t>
        </is>
      </c>
      <c r="P59" s="7" t="n">
        <v>18</v>
      </c>
      <c r="Q59" s="10" t="inlineStr"/>
      <c r="R59" s="10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59" s="11" t="inlineStr"/>
      <c r="T59" s="11" t="inlineStr"/>
    </row>
    <row r="60">
      <c r="A60" s="12" t="n">
        <v>58</v>
      </c>
      <c r="B60" s="13" t="inlineStr">
        <is>
          <t>day_dx</t>
        </is>
      </c>
      <c r="C60" s="14" t="inlineStr">
        <is>
          <t>입원·통원 일당</t>
        </is>
      </c>
      <c r="D60" s="13" t="inlineStr">
        <is>
          <t>(뇌출혈|급성심근경색증).*입원일당</t>
        </is>
      </c>
      <c r="E60" s="15" t="inlineStr"/>
      <c r="F60" s="15" t="inlineStr">
        <is>
          <t>특약 마스터(db.json)에 실린 약관 KCD 목록과 대조</t>
        </is>
      </c>
      <c r="G60" s="12" t="inlineStr">
        <is>
          <t>계산함</t>
        </is>
      </c>
      <c r="H60" s="12" t="inlineStr">
        <is>
          <t>받을 때마다 (기본값)</t>
        </is>
      </c>
      <c r="I60" s="15" t="inlineStr"/>
      <c r="J60" s="15" t="inlineStr"/>
      <c r="K60" s="15" t="inlineStr"/>
      <c r="L60" s="15" t="inlineStr">
        <is>
          <t>지급 단위 : 입원 1일당</t>
        </is>
      </c>
      <c r="M60" s="15" t="inlineStr">
        <is>
          <t>입원일당</t>
        </is>
      </c>
      <c r="N60" s="15" t="inlineStr"/>
      <c r="O60" s="15" t="inlineStr">
        <is>
          <t>뇌·심장 진단 후 입원일당</t>
        </is>
      </c>
      <c r="P60" s="12" t="n">
        <v>2</v>
      </c>
      <c r="Q60" s="15" t="inlineStr"/>
      <c r="R60" s="15" t="inlineStr">
        <is>
          <t>뇌출혈입원일당(4일이상)
급성심근경색증입원일당(4일이상)</t>
        </is>
      </c>
      <c r="S60" s="11" t="inlineStr"/>
      <c r="T60" s="11" t="inlineStr"/>
    </row>
    <row r="61">
      <c r="A61" s="7" t="n">
        <v>59</v>
      </c>
      <c r="B61" s="8" t="inlineStr">
        <is>
          <t>day_surg_stay</t>
        </is>
      </c>
      <c r="C61" s="9" t="inlineStr">
        <is>
          <t>입원·통원 일당</t>
        </is>
      </c>
      <c r="D61" s="8" t="inlineStr">
        <is>
          <t>수술입원일당</t>
        </is>
      </c>
      <c r="E61" s="10" t="inlineStr"/>
      <c r="F61" s="10" t="inlineStr">
        <is>
          <t>질병코드 조건 없음 — 담보명·치료행위로만 판정</t>
        </is>
      </c>
      <c r="G61" s="7" t="inlineStr">
        <is>
          <t>계산함</t>
        </is>
      </c>
      <c r="H61" s="7" t="inlineStr">
        <is>
          <t>받을 때마다 (기본값)</t>
        </is>
      </c>
      <c r="I61" s="10" t="inlineStr"/>
      <c r="J61" s="10" t="inlineStr"/>
      <c r="K61" s="10" t="inlineStr"/>
      <c r="L61" s="10" t="inlineStr">
        <is>
          <t>지급 단위 : 입원 1일당
같은 단계에 수술이 있어야 지급</t>
        </is>
      </c>
      <c r="M61" s="10" t="inlineStr">
        <is>
          <t>입원일당</t>
        </is>
      </c>
      <c r="N61" s="10" t="inlineStr"/>
      <c r="O61" s="10" t="inlineStr">
        <is>
          <t>수술 후 입원일당</t>
        </is>
      </c>
      <c r="P61" s="7" t="n">
        <v>9</v>
      </c>
      <c r="Q61" s="10" t="inlineStr"/>
      <c r="R61" s="10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61" s="11" t="inlineStr"/>
      <c r="T61" s="11" t="inlineStr"/>
    </row>
    <row r="62">
      <c r="A62" s="12" t="n">
        <v>60</v>
      </c>
      <c r="B62" s="13" t="inlineStr">
        <is>
          <t>day_basic</t>
        </is>
      </c>
      <c r="C62" s="14" t="inlineStr">
        <is>
          <t>입원·통원 일당</t>
        </is>
      </c>
      <c r="D62" s="13" t="inlineStr">
        <is>
          <t>입원일당</t>
        </is>
      </c>
      <c r="E62" s="15" t="inlineStr"/>
      <c r="F62" s="15" t="inlineStr">
        <is>
          <t>질병코드 조건 없음 — 담보명·치료행위로만 판정</t>
        </is>
      </c>
      <c r="G62" s="12" t="inlineStr">
        <is>
          <t>계산함</t>
        </is>
      </c>
      <c r="H62" s="12" t="inlineStr">
        <is>
          <t>받을 때마다 (기본값)</t>
        </is>
      </c>
      <c r="I62" s="15" t="inlineStr"/>
      <c r="J62" s="15" t="inlineStr"/>
      <c r="K62" s="15" t="inlineStr"/>
      <c r="L62" s="15" t="inlineStr">
        <is>
          <t>지급 단위 : 입원 1일당</t>
        </is>
      </c>
      <c r="M62" s="15" t="inlineStr">
        <is>
          <t>입원일당</t>
        </is>
      </c>
      <c r="N62" s="15" t="inlineStr"/>
      <c r="O62" s="15" t="inlineStr">
        <is>
          <t>입원일당(병실·병원 종별·한도일수는 담보명에서 자동 판별)</t>
        </is>
      </c>
      <c r="P62" s="12" t="n">
        <v>43</v>
      </c>
      <c r="Q62" s="15" t="inlineStr"/>
      <c r="R62" s="15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62" s="11" t="inlineStr"/>
      <c r="T62" s="11" t="inlineStr"/>
    </row>
    <row r="63">
      <c r="A63" s="7" t="n">
        <v>61</v>
      </c>
      <c r="B63" s="8" t="inlineStr">
        <is>
          <t>visit_basic</t>
        </is>
      </c>
      <c r="C63" s="9" t="inlineStr">
        <is>
          <t>입원·통원 일당</t>
        </is>
      </c>
      <c r="D63" s="8" t="inlineStr">
        <is>
          <t>통원(일당|비)|입원후통원비</t>
        </is>
      </c>
      <c r="E63" s="10" t="inlineStr"/>
      <c r="F63" s="10" t="inlineStr">
        <is>
          <t>질병코드 조건 없음 — 담보명·치료행위로만 판정</t>
        </is>
      </c>
      <c r="G63" s="7" t="inlineStr">
        <is>
          <t>계산함</t>
        </is>
      </c>
      <c r="H63" s="7" t="inlineStr">
        <is>
          <t>받을 때마다 (기본값)</t>
        </is>
      </c>
      <c r="I63" s="10" t="inlineStr"/>
      <c r="J63" s="10" t="inlineStr"/>
      <c r="K63" s="10" t="inlineStr"/>
      <c r="L63" s="10" t="inlineStr">
        <is>
          <t>지급 단위 : 통원 1회당</t>
        </is>
      </c>
      <c r="M63" s="10" t="inlineStr">
        <is>
          <t>통원일당</t>
        </is>
      </c>
      <c r="N63" s="10" t="inlineStr"/>
      <c r="O63" s="10" t="inlineStr">
        <is>
          <t>통원일당</t>
        </is>
      </c>
      <c r="P63" s="7" t="n">
        <v>1</v>
      </c>
      <c r="Q63" s="10" t="inlineStr"/>
      <c r="R63" s="10" t="inlineStr">
        <is>
          <t>일반상해입원후통원비(3일이상연속입원, 4회한)</t>
        </is>
      </c>
      <c r="S63" s="11" t="inlineStr"/>
      <c r="T63" s="11" t="inlineStr"/>
    </row>
    <row r="64">
      <c r="A64" s="12" t="n">
        <v>62</v>
      </c>
      <c r="B64" s="13" t="inlineStr">
        <is>
          <t>tx_target</t>
        </is>
      </c>
      <c r="C64" s="14" t="inlineStr">
        <is>
          <t>치료비 (치료행위)</t>
        </is>
      </c>
      <c r="D64" s="13" t="inlineStr">
        <is>
          <t>표적항암약물허가치료비</t>
        </is>
      </c>
      <c r="E64" s="15" t="inlineStr"/>
      <c r="F64" s="15" t="inlineStr">
        <is>
          <t>암 또는 유사암</t>
        </is>
      </c>
      <c r="G64" s="12" t="inlineStr">
        <is>
          <t>계산함</t>
        </is>
      </c>
      <c r="H64" s="12" t="inlineStr">
        <is>
          <t>연 1회</t>
        </is>
      </c>
      <c r="I64" s="15" t="inlineStr">
        <is>
          <t>표적항암약물치료  (target)</t>
        </is>
      </c>
      <c r="J64" s="15" t="inlineStr"/>
      <c r="K64" s="15" t="inlineStr"/>
      <c r="L64" s="15" t="inlineStr">
        <is>
          <t>약물 종류가 2종 이상일 때만</t>
        </is>
      </c>
      <c r="M64" s="15" t="inlineStr">
        <is>
          <t>암 치료</t>
        </is>
      </c>
      <c r="N64" s="15" t="inlineStr">
        <is>
          <t>연간 표적항암 약물종류 2종 이상 · 연간 1회</t>
        </is>
      </c>
      <c r="O64" s="15" t="inlineStr">
        <is>
          <t>표적항암약물허가치료비</t>
        </is>
      </c>
      <c r="P64" s="12" t="n">
        <v>72</v>
      </c>
      <c r="Q64" s="15" t="inlineStr"/>
      <c r="R64" s="15" t="inlineStr">
        <is>
          <t>갱신형 표적항암약물허가치료비Ⅱ
갱신형 계속받는 표적항암약물허가치료비Ⅱ(연간1회한)
갱신형 표적항암약물허가치료비Ⅲ(비급여)
갱신형 표적항암약물허가치료비Ⅲ(비급여)[특정표적항암약물허가치료]
갱신형 표적항암약물허가치료비Ⅲ(비급여)[특정면역항암약물허가치료]</t>
        </is>
      </c>
      <c r="S64" s="11" t="inlineStr"/>
      <c r="T64" s="11" t="inlineStr"/>
    </row>
    <row r="65">
      <c r="A65" s="7" t="n">
        <v>63</v>
      </c>
      <c r="B65" s="8" t="inlineStr">
        <is>
          <t>tx_immune</t>
        </is>
      </c>
      <c r="C65" s="9" t="inlineStr">
        <is>
          <t>치료비 (치료행위)</t>
        </is>
      </c>
      <c r="D65" s="8" t="inlineStr">
        <is>
          <t>면역항암약물허가치료비</t>
        </is>
      </c>
      <c r="E65" s="10" t="inlineStr"/>
      <c r="F65" s="10" t="inlineStr">
        <is>
          <t>암 또는 유사암</t>
        </is>
      </c>
      <c r="G65" s="7" t="inlineStr">
        <is>
          <t>계산함</t>
        </is>
      </c>
      <c r="H65" s="7" t="inlineStr">
        <is>
          <t>연 1회</t>
        </is>
      </c>
      <c r="I65" s="10" t="inlineStr">
        <is>
          <t>면역항암약물치료  (immune)</t>
        </is>
      </c>
      <c r="J65" s="10" t="inlineStr"/>
      <c r="K65" s="10" t="inlineStr"/>
      <c r="L65" s="10" t="inlineStr"/>
      <c r="M65" s="10" t="inlineStr">
        <is>
          <t>암 치료</t>
        </is>
      </c>
      <c r="N65" s="10" t="inlineStr">
        <is>
          <t>비급여 면역항암약물허가치료 · 연간 1회</t>
        </is>
      </c>
      <c r="O65" s="10" t="inlineStr">
        <is>
          <t>특정면역항암약물허가치료비</t>
        </is>
      </c>
      <c r="P65" s="7" t="n">
        <v>10</v>
      </c>
      <c r="Q65" s="10" t="inlineStr"/>
      <c r="R65" s="10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65" s="11" t="inlineStr"/>
      <c r="T65" s="11" t="inlineStr"/>
    </row>
    <row r="66">
      <c r="A66" s="12" t="n">
        <v>64</v>
      </c>
      <c r="B66" s="13" t="inlineStr">
        <is>
          <t>tx_hormone</t>
        </is>
      </c>
      <c r="C66" s="14" t="inlineStr">
        <is>
          <t>치료비 (치료행위)</t>
        </is>
      </c>
      <c r="D66" s="13" t="inlineStr">
        <is>
          <t>호르몬약물허가치료비</t>
        </is>
      </c>
      <c r="E66" s="15" t="inlineStr"/>
      <c r="F66" s="15" t="inlineStr">
        <is>
          <t>암 또는 유사암</t>
        </is>
      </c>
      <c r="G66" s="12" t="inlineStr">
        <is>
          <t>계산함</t>
        </is>
      </c>
      <c r="H66" s="12" t="inlineStr">
        <is>
          <t>연 1회</t>
        </is>
      </c>
      <c r="I66" s="15" t="inlineStr">
        <is>
          <t>항암 호르몬약물치료  (hormone)</t>
        </is>
      </c>
      <c r="J66" s="15" t="inlineStr"/>
      <c r="K66" s="15" t="inlineStr"/>
      <c r="L66" s="15" t="inlineStr"/>
      <c r="M66" s="15" t="inlineStr">
        <is>
          <t>암 치료</t>
        </is>
      </c>
      <c r="N66" s="15" t="inlineStr">
        <is>
          <t>항암 호르몬약물 · 연간 1회</t>
        </is>
      </c>
      <c r="O66" s="15" t="inlineStr">
        <is>
          <t>항암 호르몬약물치료비</t>
        </is>
      </c>
      <c r="P66" s="12" t="n">
        <v>40</v>
      </c>
      <c r="Q66" s="15" t="inlineStr"/>
      <c r="R66" s="15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66" s="11" t="inlineStr"/>
      <c r="T66" s="11" t="inlineStr"/>
    </row>
    <row r="67">
      <c r="A67" s="7" t="n">
        <v>65</v>
      </c>
      <c r="B67" s="8" t="inlineStr">
        <is>
          <t>tx_imrt</t>
        </is>
      </c>
      <c r="C67" s="9" t="inlineStr">
        <is>
          <t>치료비 (치료행위)</t>
        </is>
      </c>
      <c r="D67" s="8" t="inlineStr">
        <is>
          <t>항암세기조절방사선치료비</t>
        </is>
      </c>
      <c r="E67" s="10" t="inlineStr"/>
      <c r="F67" s="10" t="inlineStr">
        <is>
          <t>암 또는 유사암</t>
        </is>
      </c>
      <c r="G67" s="7" t="inlineStr">
        <is>
          <t>계산함</t>
        </is>
      </c>
      <c r="H67" s="7" t="inlineStr">
        <is>
          <t>연 1회</t>
        </is>
      </c>
      <c r="I67" s="10" t="inlineStr">
        <is>
          <t>세기조절방사선치료(IMRT)  (imrt)</t>
        </is>
      </c>
      <c r="J67" s="10" t="inlineStr"/>
      <c r="K67" s="10" t="inlineStr"/>
      <c r="L67" s="10" t="inlineStr"/>
      <c r="M67" s="10" t="inlineStr">
        <is>
          <t>암 치료</t>
        </is>
      </c>
      <c r="N67" s="10" t="inlineStr">
        <is>
          <t>세기조절방사선치료 · 연간 1회</t>
        </is>
      </c>
      <c r="O67" s="10" t="inlineStr">
        <is>
          <t>항암세기조절방사선치료비</t>
        </is>
      </c>
      <c r="P67" s="7" t="n">
        <v>5</v>
      </c>
      <c r="Q67" s="10" t="inlineStr"/>
      <c r="R67" s="10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67" s="11" t="inlineStr"/>
      <c r="T67" s="11" t="inlineStr"/>
    </row>
    <row r="68">
      <c r="A68" s="12" t="n">
        <v>66</v>
      </c>
      <c r="B68" s="13" t="inlineStr">
        <is>
          <t>tx_proton</t>
        </is>
      </c>
      <c r="C68" s="14" t="inlineStr">
        <is>
          <t>치료비 (치료행위)</t>
        </is>
      </c>
      <c r="D68" s="13" t="inlineStr">
        <is>
          <t>항암양성자방사선치료비</t>
        </is>
      </c>
      <c r="E68" s="15" t="inlineStr"/>
      <c r="F68" s="15" t="inlineStr">
        <is>
          <t>암 또는 유사암</t>
        </is>
      </c>
      <c r="G68" s="12" t="inlineStr">
        <is>
          <t>계산함</t>
        </is>
      </c>
      <c r="H68" s="12" t="inlineStr">
        <is>
          <t>연 1회</t>
        </is>
      </c>
      <c r="I68" s="15" t="inlineStr">
        <is>
          <t>양성자 방사선치료  (proton)</t>
        </is>
      </c>
      <c r="J68" s="15" t="inlineStr"/>
      <c r="K68" s="15" t="inlineStr"/>
      <c r="L68" s="15" t="inlineStr"/>
      <c r="M68" s="15" t="inlineStr">
        <is>
          <t>암 치료</t>
        </is>
      </c>
      <c r="N68" s="15" t="inlineStr">
        <is>
          <t>양성자방사선치료 · 연간 1회</t>
        </is>
      </c>
      <c r="O68" s="15" t="inlineStr">
        <is>
          <t>항암양성자방사선치료비</t>
        </is>
      </c>
      <c r="P68" s="12" t="n">
        <v>5</v>
      </c>
      <c r="Q68" s="15" t="inlineStr"/>
      <c r="R68" s="15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68" s="11" t="inlineStr"/>
      <c r="T68" s="11" t="inlineStr"/>
    </row>
    <row r="69">
      <c r="A69" s="7" t="n">
        <v>67</v>
      </c>
      <c r="B69" s="8" t="inlineStr">
        <is>
          <t>tx_carbon</t>
        </is>
      </c>
      <c r="C69" s="9" t="inlineStr">
        <is>
          <t>치료비 (치료행위)</t>
        </is>
      </c>
      <c r="D69" s="8" t="inlineStr">
        <is>
          <t>항암중입자방사선치료비</t>
        </is>
      </c>
      <c r="E69" s="10" t="inlineStr"/>
      <c r="F69" s="10" t="inlineStr">
        <is>
          <t>암 또는 유사암</t>
        </is>
      </c>
      <c r="G69" s="7" t="inlineStr">
        <is>
          <t>계산함</t>
        </is>
      </c>
      <c r="H69" s="7" t="inlineStr">
        <is>
          <t>연 1회</t>
        </is>
      </c>
      <c r="I69" s="10" t="inlineStr">
        <is>
          <t>중입자 방사선치료  (carbon)</t>
        </is>
      </c>
      <c r="J69" s="10" t="inlineStr"/>
      <c r="K69" s="10" t="inlineStr"/>
      <c r="L69" s="10" t="inlineStr"/>
      <c r="M69" s="10" t="inlineStr">
        <is>
          <t>암 치료</t>
        </is>
      </c>
      <c r="N69" s="10" t="inlineStr">
        <is>
          <t>중입자방사선치료 · 연간 1회</t>
        </is>
      </c>
      <c r="O69" s="10" t="inlineStr">
        <is>
          <t>항암중입자방사선치료비</t>
        </is>
      </c>
      <c r="P69" s="7" t="n">
        <v>10</v>
      </c>
      <c r="Q69" s="10" t="inlineStr"/>
      <c r="R69" s="10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69" s="11" t="inlineStr"/>
      <c r="T69" s="11" t="inlineStr"/>
    </row>
    <row r="70">
      <c r="A70" s="12" t="n">
        <v>68</v>
      </c>
      <c r="B70" s="13" t="inlineStr">
        <is>
          <t>tx_robot</t>
        </is>
      </c>
      <c r="C70" s="14" t="inlineStr">
        <is>
          <t>치료비 (치료행위)</t>
        </is>
      </c>
      <c r="D70" s="13" t="inlineStr">
        <is>
          <t>다빈치로봇</t>
        </is>
      </c>
      <c r="E70" s="15" t="inlineStr"/>
      <c r="F70" s="15" t="inlineStr">
        <is>
          <t>마스터에 약관 KCD 목록이 있으면 대조 (없으면 조건 없이 계산하고 로그)</t>
        </is>
      </c>
      <c r="G70" s="12" t="inlineStr">
        <is>
          <t>계산함</t>
        </is>
      </c>
      <c r="H70" s="12" t="inlineStr">
        <is>
          <t>최초 1회</t>
        </is>
      </c>
      <c r="I70" s="15" t="inlineStr">
        <is>
          <t>다빈치 로봇수술  (robot)</t>
        </is>
      </c>
      <c r="J70" s="15" t="inlineStr"/>
      <c r="K70" s="15" t="inlineStr"/>
      <c r="L70" s="15" t="inlineStr"/>
      <c r="M70" s="15" t="inlineStr">
        <is>
          <t>암 치료</t>
        </is>
      </c>
      <c r="N70" s="15" t="inlineStr">
        <is>
          <t>약관 대상 암(세부보장별 : 암(특정암제외) / 특정암 C61·C73)의 다빈치로봇 암수술 · 최초 1회</t>
        </is>
      </c>
      <c r="O70" s="15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70" s="12" t="n">
        <v>15</v>
      </c>
      <c r="Q70" s="15" t="inlineStr"/>
      <c r="R70" s="15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70" s="11" t="inlineStr"/>
      <c r="T70" s="11" t="inlineStr"/>
    </row>
    <row r="71">
      <c r="A71" s="7" t="n">
        <v>69</v>
      </c>
      <c r="B71" s="8" t="inlineStr">
        <is>
          <t>tx_life_cancer</t>
        </is>
      </c>
      <c r="C71" s="9" t="inlineStr">
        <is>
          <t>치료비 (치료행위)</t>
        </is>
      </c>
      <c r="D71" s="8" t="inlineStr">
        <is>
          <t>통합치료생활비|통합치료생활지원비</t>
        </is>
      </c>
      <c r="E71" s="10" t="inlineStr">
        <is>
          <t>^유사암</t>
        </is>
      </c>
      <c r="F71" s="10" t="inlineStr">
        <is>
          <t>암 — 유사암 제외 (약관 별표 암분류로 판정)</t>
        </is>
      </c>
      <c r="G71" s="7" t="inlineStr">
        <is>
          <t>계산함</t>
        </is>
      </c>
      <c r="H71" s="7" t="inlineStr">
        <is>
          <t>연 1회</t>
        </is>
      </c>
      <c r="I71" s="10" t="inlineStr">
        <is>
          <t>수술  (surg)
항암 화학약물치료(급여)  (chemo)
항암 방사선치료  (rad)
표적항암약물치료  (target)
면역항암약물치료  (immune)</t>
        </is>
      </c>
      <c r="J71" s="10" t="inlineStr"/>
      <c r="K71" s="10" t="inlineStr"/>
      <c r="L71" s="10" t="inlineStr">
        <is>
          <t>치료를 2회 이상 받은 단계에서만</t>
        </is>
      </c>
      <c r="M71" s="10" t="inlineStr">
        <is>
          <t>암 치료</t>
        </is>
      </c>
      <c r="N71" s="10" t="inlineStr">
        <is>
          <t>연간 통합치료 2회 이상 · 연간 1회한</t>
        </is>
      </c>
      <c r="O71" s="10" t="inlineStr">
        <is>
          <t>암(유사암제외) 통합치료 생활비 — 연간 통합치료(수술·항암약물·항암방사선) 2회 이상</t>
        </is>
      </c>
      <c r="P71" s="7" t="n">
        <v>16</v>
      </c>
      <c r="Q71" s="10" t="inlineStr"/>
      <c r="R71" s="10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71" s="11" t="inlineStr"/>
      <c r="T71" s="11" t="inlineStr"/>
    </row>
    <row r="72">
      <c r="A72" s="12" t="n">
        <v>70</v>
      </c>
      <c r="B72" s="13" t="inlineStr">
        <is>
          <t>tx_life_sim</t>
        </is>
      </c>
      <c r="C72" s="14" t="inlineStr">
        <is>
          <t>치료비 (치료행위)</t>
        </is>
      </c>
      <c r="D72" s="13" t="inlineStr">
        <is>
          <t>^유사암통합치료생활비</t>
        </is>
      </c>
      <c r="E72" s="15" t="inlineStr"/>
      <c r="F72" s="15" t="inlineStr">
        <is>
          <t>유사암 — 제자리암·경계성종양·갑상선암·기타피부암</t>
        </is>
      </c>
      <c r="G72" s="12" t="inlineStr">
        <is>
          <t>계산함</t>
        </is>
      </c>
      <c r="H72" s="12" t="inlineStr">
        <is>
          <t>연 1회</t>
        </is>
      </c>
      <c r="I72" s="15" t="inlineStr">
        <is>
          <t>수술  (surg)
항암 화학약물치료(급여)  (chemo)
항암 방사선치료  (rad)</t>
        </is>
      </c>
      <c r="J72" s="15" t="inlineStr"/>
      <c r="K72" s="15" t="inlineStr"/>
      <c r="L72" s="15" t="inlineStr">
        <is>
          <t>치료를 2회 이상 받은 단계에서만</t>
        </is>
      </c>
      <c r="M72" s="15" t="inlineStr">
        <is>
          <t>암 치료</t>
        </is>
      </c>
      <c r="N72" s="15" t="inlineStr">
        <is>
          <t>연간 유사암 통합치료 2회 이상 · 연간 1회한</t>
        </is>
      </c>
      <c r="O72" s="15" t="inlineStr">
        <is>
          <t>유사암 통합치료 생활비</t>
        </is>
      </c>
      <c r="P72" s="12" t="n">
        <v>2</v>
      </c>
      <c r="Q72" s="15" t="inlineStr"/>
      <c r="R72" s="15" t="inlineStr">
        <is>
          <t>유사암 통합치료 생활비(연간 통합치료 2회이상)
유사암 통합치료 생활비(연간 통합치료 2회이상)</t>
        </is>
      </c>
      <c r="S72" s="11" t="inlineStr"/>
      <c r="T72" s="11" t="inlineStr"/>
    </row>
    <row r="73">
      <c r="A73" s="7" t="n">
        <v>71</v>
      </c>
      <c r="B73" s="8" t="inlineStr">
        <is>
          <t>tx_26</t>
        </is>
      </c>
      <c r="C73" s="9" t="inlineStr">
        <is>
          <t>치료비 (치료행위)</t>
        </is>
      </c>
      <c r="D73" s="8" t="inlineStr">
        <is>
          <t>26종항암방사선및약물치료비</t>
        </is>
      </c>
      <c r="E73" s="10" t="inlineStr"/>
      <c r="F73" s="10" t="inlineStr">
        <is>
          <t>암 — 유사암 제외 (약관 별표 암분류로 판정)</t>
        </is>
      </c>
      <c r="G73" s="7" t="inlineStr">
        <is>
          <t>계산함</t>
        </is>
      </c>
      <c r="H73" s="7" t="inlineStr">
        <is>
          <t>연 1회</t>
        </is>
      </c>
      <c r="I73" s="10" t="inlineStr">
        <is>
          <t>항암 화학약물치료(급여)  (chemo)
항암 방사선치료  (rad)</t>
        </is>
      </c>
      <c r="J73" s="10" t="inlineStr"/>
      <c r="K73" s="10" t="inlineStr"/>
      <c r="L73" s="10" t="inlineStr">
        <is>
          <t>세부급부 이름에서 치료행위·암종을 다시 읽음</t>
        </is>
      </c>
      <c r="M73" s="10" t="inlineStr">
        <is>
          <t>암 치료</t>
        </is>
      </c>
      <c r="N73" s="10" t="inlineStr">
        <is>
          <t>암종별 항암 치료 · 연간 1회</t>
        </is>
      </c>
      <c r="O73" s="10" t="inlineStr">
        <is>
          <t>26종 항암방사선및약물치료비 — 세부급부 [항암방사선치료비(암종)]/[항암약물치료비(암종)]의 암종을 EMB.syn 코드로 판정</t>
        </is>
      </c>
      <c r="P73" s="7" t="n">
        <v>5</v>
      </c>
      <c r="Q73" s="10" t="inlineStr"/>
      <c r="R73" s="10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73" s="11" t="inlineStr"/>
      <c r="T73" s="11" t="inlineStr"/>
    </row>
    <row r="74">
      <c r="A74" s="12" t="n">
        <v>72</v>
      </c>
      <c r="B74" s="13" t="inlineStr">
        <is>
          <t>tx_chemo</t>
        </is>
      </c>
      <c r="C74" s="14" t="inlineStr">
        <is>
          <t>치료비 (치료행위)</t>
        </is>
      </c>
      <c r="D74" s="13" t="inlineStr">
        <is>
          <t>항암약물치료비</t>
        </is>
      </c>
      <c r="E74" s="15" t="inlineStr">
        <is>
          <t>표적|면역|호르몬|방사선</t>
        </is>
      </c>
      <c r="F74" s="15" t="inlineStr">
        <is>
          <t>암 또는 유사암</t>
        </is>
      </c>
      <c r="G74" s="12" t="inlineStr">
        <is>
          <t>계산함</t>
        </is>
      </c>
      <c r="H74" s="12" t="inlineStr">
        <is>
          <t>최초 1회</t>
        </is>
      </c>
      <c r="I74" s="15" t="inlineStr">
        <is>
          <t>항암 화학약물치료(급여)  (chemo)</t>
        </is>
      </c>
      <c r="J74" s="15" t="inlineStr"/>
      <c r="K74" s="15" t="inlineStr"/>
      <c r="L74" s="15" t="inlineStr"/>
      <c r="M74" s="15" t="inlineStr">
        <is>
          <t>암 치료</t>
        </is>
      </c>
      <c r="N74" s="15" t="inlineStr">
        <is>
          <t>항암약물치료 최초 1회</t>
        </is>
      </c>
      <c r="O74" s="15" t="inlineStr">
        <is>
          <t>항암약물치료비(급여 항암약물치료)</t>
        </is>
      </c>
      <c r="P74" s="12" t="n">
        <v>10</v>
      </c>
      <c r="Q74" s="15" t="inlineStr"/>
      <c r="R74" s="15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74" s="11" t="inlineStr"/>
      <c r="T74" s="11" t="inlineStr"/>
    </row>
    <row r="75">
      <c r="A75" s="7" t="n">
        <v>73</v>
      </c>
      <c r="B75" s="8" t="inlineStr">
        <is>
          <t>tx_chemo_rad</t>
        </is>
      </c>
      <c r="C75" s="9" t="inlineStr">
        <is>
          <t>치료비 (치료행위)</t>
        </is>
      </c>
      <c r="D75" s="8" t="inlineStr">
        <is>
          <t>항암방사선(및)?약물치료비|26종항암방사선및약물치료비</t>
        </is>
      </c>
      <c r="E75" s="10" t="inlineStr"/>
      <c r="F75" s="10" t="inlineStr">
        <is>
          <t>암 또는 유사암</t>
        </is>
      </c>
      <c r="G75" s="7" t="inlineStr">
        <is>
          <t>계산함</t>
        </is>
      </c>
      <c r="H75" s="7" t="inlineStr">
        <is>
          <t>최초 1회</t>
        </is>
      </c>
      <c r="I75" s="10" t="inlineStr">
        <is>
          <t>항암 화학약물치료(급여)  (chemo)
항암 방사선치료  (rad)</t>
        </is>
      </c>
      <c r="J75" s="10" t="inlineStr"/>
      <c r="K75" s="10" t="inlineStr"/>
      <c r="L75" s="10" t="inlineStr"/>
      <c r="M75" s="10" t="inlineStr">
        <is>
          <t>암 치료</t>
        </is>
      </c>
      <c r="N75" s="10" t="inlineStr">
        <is>
          <t>항암방사선·약물치료 · 최초 1회</t>
        </is>
      </c>
      <c r="O75" s="10" t="inlineStr">
        <is>
          <t>항암방사선·약물치료비</t>
        </is>
      </c>
      <c r="P75" s="7" t="n">
        <v>35</v>
      </c>
      <c r="Q75" s="10" t="inlineStr"/>
      <c r="R75" s="10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75" s="11" t="inlineStr"/>
      <c r="T75" s="11" t="inlineStr"/>
    </row>
    <row r="76">
      <c r="A76" s="12" t="n">
        <v>74</v>
      </c>
      <c r="B76" s="13" t="inlineStr">
        <is>
          <t>tx_cancer_main</t>
        </is>
      </c>
      <c r="C76" s="14" t="inlineStr">
        <is>
          <t>치료비 (치료행위)</t>
        </is>
      </c>
      <c r="D76" s="13" t="inlineStr">
        <is>
          <t>암(\(유사암제외\))?주요치료비|매월계속암치료비</t>
        </is>
      </c>
      <c r="E76" s="15" t="inlineStr"/>
      <c r="F76" s="15" t="inlineStr">
        <is>
          <t>암 또는 유사암</t>
        </is>
      </c>
      <c r="G76" s="12" t="inlineStr">
        <is>
          <t>계산함</t>
        </is>
      </c>
      <c r="H76" s="12" t="inlineStr">
        <is>
          <t>연 1회</t>
        </is>
      </c>
      <c r="I76" s="15" t="inlineStr">
        <is>
          <t>수술  (surg)
항암 화학약물치료(급여)  (chemo)
항암 방사선치료  (rad)</t>
        </is>
      </c>
      <c r="J76" s="15" t="inlineStr"/>
      <c r="K76" s="15" t="inlineStr"/>
      <c r="L76" s="15" t="inlineStr"/>
      <c r="M76" s="15" t="inlineStr">
        <is>
          <t>암 치료</t>
        </is>
      </c>
      <c r="N76" s="15" t="inlineStr">
        <is>
          <t>암 주요치료(수술·항암·방사선) · 연간 1회</t>
        </is>
      </c>
      <c r="O76" s="15" t="inlineStr">
        <is>
          <t>암 주요치료비</t>
        </is>
      </c>
      <c r="P76" s="12" t="n">
        <v>103</v>
      </c>
      <c r="Q76" s="15" t="inlineStr"/>
      <c r="R76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76" s="11" t="inlineStr"/>
      <c r="T76" s="11" t="inlineStr"/>
    </row>
    <row r="77">
      <c r="A77" s="7" t="n">
        <v>75</v>
      </c>
      <c r="B77" s="8" t="inlineStr">
        <is>
          <t>tx_cancer_exam</t>
        </is>
      </c>
      <c r="C77" s="9" t="inlineStr">
        <is>
          <t>치료비 (치료행위)</t>
        </is>
      </c>
      <c r="D77" s="8" t="inlineStr">
        <is>
          <t>암(CT촬영|MRI촬영|내시경|양전자단층촬영|초음파|특정단일유전자|특정생검|특정NGS).*검사비</t>
        </is>
      </c>
      <c r="E77" s="10" t="inlineStr"/>
      <c r="F77" s="10" t="inlineStr">
        <is>
          <t>암 또는 유사암</t>
        </is>
      </c>
      <c r="G77" s="7" t="inlineStr">
        <is>
          <t>계산함</t>
        </is>
      </c>
      <c r="H77" s="7" t="inlineStr">
        <is>
          <t>연 1회</t>
        </is>
      </c>
      <c r="I77" s="10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77" s="10" t="inlineStr"/>
      <c r="K77" s="10" t="inlineStr"/>
      <c r="L77" s="10" t="inlineStr">
        <is>
          <t>약관이 진료행위(수가)코드를 열거한 항목은 그 목록에 있을 때만</t>
        </is>
      </c>
      <c r="M77" s="10" t="inlineStr">
        <is>
          <t>암 치료</t>
        </is>
      </c>
      <c r="N77" s="10" t="inlineStr">
        <is>
          <t>암 검사 · 연간 1회</t>
        </is>
      </c>
      <c r="O77" s="10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77" s="7" t="n">
        <v>28</v>
      </c>
      <c r="Q77" s="10" t="inlineStr"/>
      <c r="R77" s="10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77" s="11" t="inlineStr"/>
      <c r="T77" s="11" t="inlineStr"/>
    </row>
    <row r="78">
      <c r="A78" s="12" t="n">
        <v>76</v>
      </c>
      <c r="B78" s="13" t="inlineStr">
        <is>
          <t>tx_cancer_rehab</t>
        </is>
      </c>
      <c r="C78" s="14" t="inlineStr">
        <is>
          <t>치료비 (치료행위)</t>
        </is>
      </c>
      <c r="D78" s="13" t="inlineStr">
        <is>
          <t>암특정재활치료비</t>
        </is>
      </c>
      <c r="E78" s="15" t="inlineStr"/>
      <c r="F78" s="15" t="inlineStr">
        <is>
          <t>암 또는 유사암</t>
        </is>
      </c>
      <c r="G78" s="12" t="inlineStr">
        <is>
          <t>계산함</t>
        </is>
      </c>
      <c r="H78" s="12" t="inlineStr">
        <is>
          <t>연 1회</t>
        </is>
      </c>
      <c r="I78" s="15" t="inlineStr">
        <is>
          <t>재활치료  (rehab)</t>
        </is>
      </c>
      <c r="J78" s="15" t="inlineStr"/>
      <c r="K78" s="15" t="inlineStr"/>
      <c r="L78" s="15" t="inlineStr"/>
      <c r="M78" s="15" t="inlineStr">
        <is>
          <t>암 치료</t>
        </is>
      </c>
      <c r="N78" s="15" t="inlineStr">
        <is>
          <t>암 재활치료</t>
        </is>
      </c>
      <c r="O78" s="15" t="inlineStr">
        <is>
          <t>암 재활치료비</t>
        </is>
      </c>
      <c r="P78" s="12" t="n">
        <v>2</v>
      </c>
      <c r="Q78" s="15" t="inlineStr"/>
      <c r="R78" s="15" t="inlineStr">
        <is>
          <t>암특정재활치료비(급여, 1일1회한, 연간20회한)
암특정재활치료비(급여,1일1회한,연간20회한)</t>
        </is>
      </c>
      <c r="S78" s="11" t="inlineStr"/>
      <c r="T78" s="11" t="inlineStr"/>
    </row>
    <row r="79">
      <c r="A79" s="7" t="n">
        <v>77</v>
      </c>
      <c r="B79" s="8" t="inlineStr">
        <is>
          <t>tx_cancer_pain</t>
        </is>
      </c>
      <c r="C79" s="9" t="inlineStr">
        <is>
          <t>치료비 (치료행위)</t>
        </is>
      </c>
      <c r="D79" s="8" t="inlineStr">
        <is>
          <t>암특정통증완화치료비</t>
        </is>
      </c>
      <c r="E79" s="10" t="inlineStr"/>
      <c r="F79" s="10" t="inlineStr">
        <is>
          <t>암 또는 유사암</t>
        </is>
      </c>
      <c r="G79" s="7" t="inlineStr">
        <is>
          <t>계산함</t>
        </is>
      </c>
      <c r="H79" s="7" t="inlineStr">
        <is>
          <t>연 1회</t>
        </is>
      </c>
      <c r="I79" s="10" t="inlineStr">
        <is>
          <t>통증치료(신경차단 등)  (pain)</t>
        </is>
      </c>
      <c r="J79" s="10" t="inlineStr"/>
      <c r="K79" s="10" t="inlineStr"/>
      <c r="L79" s="10" t="inlineStr"/>
      <c r="M79" s="10" t="inlineStr">
        <is>
          <t>암 치료</t>
        </is>
      </c>
      <c r="N79" s="10" t="inlineStr">
        <is>
          <t>통증완화치료 · 연간 1회</t>
        </is>
      </c>
      <c r="O79" s="10" t="inlineStr">
        <is>
          <t>암 통증완화치료비</t>
        </is>
      </c>
      <c r="P79" s="7" t="n">
        <v>2</v>
      </c>
      <c r="Q79" s="10" t="inlineStr"/>
      <c r="R79" s="10" t="inlineStr">
        <is>
          <t>암특정통증완화치료비(급여, 연간1회한)
암특정통증완화치료비(급여,연간1회한)</t>
        </is>
      </c>
      <c r="S79" s="11" t="inlineStr"/>
      <c r="T79" s="11" t="inlineStr"/>
    </row>
    <row r="80">
      <c r="A80" s="12" t="n">
        <v>78</v>
      </c>
      <c r="B80" s="13" t="inlineStr">
        <is>
          <t>tx_thromb</t>
        </is>
      </c>
      <c r="C80" s="14" t="inlineStr">
        <is>
          <t>치료비 (치료행위)</t>
        </is>
      </c>
      <c r="D80" s="13" t="inlineStr">
        <is>
          <t>혈전용해치료비</t>
        </is>
      </c>
      <c r="E80" s="15" t="inlineStr"/>
      <c r="F80" s="15" t="inlineStr">
        <is>
          <t>특약 마스터(db.json)에 실린 약관 KCD 목록과 대조</t>
        </is>
      </c>
      <c r="G80" s="12" t="inlineStr">
        <is>
          <t>계산함</t>
        </is>
      </c>
      <c r="H80" s="12" t="inlineStr">
        <is>
          <t>연 1회</t>
        </is>
      </c>
      <c r="I80" s="15" t="inlineStr">
        <is>
          <t>혈전용해치료(약물)  (thromb)</t>
        </is>
      </c>
      <c r="J80" s="15" t="inlineStr"/>
      <c r="K80" s="15" t="inlineStr"/>
      <c r="L80" s="15" t="inlineStr"/>
      <c r="M80" s="15" t="inlineStr">
        <is>
          <t>치료비</t>
        </is>
      </c>
      <c r="N80" s="15" t="inlineStr">
        <is>
          <t>혈전용해치료 · 연간 1회</t>
        </is>
      </c>
      <c r="O80" s="15" t="inlineStr">
        <is>
          <t>혈전용해치료비</t>
        </is>
      </c>
      <c r="P80" s="12" t="n">
        <v>6</v>
      </c>
      <c r="Q80" s="15" t="inlineStr"/>
      <c r="R80" s="15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80" s="11" t="inlineStr"/>
      <c r="T80" s="11" t="inlineStr"/>
    </row>
    <row r="81">
      <c r="A81" s="7" t="n">
        <v>79</v>
      </c>
      <c r="B81" s="8" t="inlineStr">
        <is>
          <t>tx_thrombectomy</t>
        </is>
      </c>
      <c r="C81" s="9" t="inlineStr">
        <is>
          <t>치료비 (치료행위)</t>
        </is>
      </c>
      <c r="D81" s="8" t="inlineStr">
        <is>
          <t>기계적혈전제거술.*치료비</t>
        </is>
      </c>
      <c r="E81" s="10" t="inlineStr"/>
      <c r="F81" s="10" t="inlineStr">
        <is>
          <t>특약 마스터(db.json)에 실린 약관 KCD 목록과 대조</t>
        </is>
      </c>
      <c r="G81" s="7" t="inlineStr">
        <is>
          <t>계산함</t>
        </is>
      </c>
      <c r="H81" s="7" t="inlineStr">
        <is>
          <t>연 1회</t>
        </is>
      </c>
      <c r="I81" s="10" t="inlineStr">
        <is>
          <t>기계적 혈전제거술  (thrombectomy)</t>
        </is>
      </c>
      <c r="J81" s="10" t="inlineStr"/>
      <c r="K81" s="10" t="inlineStr"/>
      <c r="L81" s="10" t="inlineStr"/>
      <c r="M81" s="10" t="inlineStr">
        <is>
          <t>치료비</t>
        </is>
      </c>
      <c r="N81" s="10" t="inlineStr">
        <is>
          <t>기계적 혈전제거술 · 연간 1회</t>
        </is>
      </c>
      <c r="O81" s="10" t="inlineStr">
        <is>
          <t>기계적혈전제거술 치료비</t>
        </is>
      </c>
      <c r="P81" s="7" t="n">
        <v>9</v>
      </c>
      <c r="Q81" s="10" t="inlineStr"/>
      <c r="R81" s="10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81" s="11" t="inlineStr"/>
      <c r="T81" s="11" t="inlineStr"/>
    </row>
    <row r="82">
      <c r="A82" s="12" t="n">
        <v>80</v>
      </c>
      <c r="B82" s="13" t="inlineStr">
        <is>
          <t>tx_two_major</t>
        </is>
      </c>
      <c r="C82" s="14" t="inlineStr">
        <is>
          <t>치료비 (치료행위)</t>
        </is>
      </c>
      <c r="D82" s="13" t="inlineStr">
        <is>
          <t>2대질환.*(주요치료비|치료비)</t>
        </is>
      </c>
      <c r="E82" s="15" t="inlineStr"/>
      <c r="F82" s="15" t="inlineStr">
        <is>
          <t>특약 마스터(db.json)에 실린 약관 KCD 목록과 대조</t>
        </is>
      </c>
      <c r="G82" s="12" t="inlineStr">
        <is>
          <t>계산함</t>
        </is>
      </c>
      <c r="H82" s="12" t="inlineStr">
        <is>
          <t>연 1회</t>
        </is>
      </c>
      <c r="I82" s="15" t="inlineStr">
        <is>
          <t>수술  (surg)
혈전용해치료(약물)  (thromb)</t>
        </is>
      </c>
      <c r="J82" s="15" t="inlineStr"/>
      <c r="K82" s="15" t="inlineStr"/>
      <c r="L82" s="15" t="inlineStr"/>
      <c r="M82" s="15" t="inlineStr">
        <is>
          <t>치료비</t>
        </is>
      </c>
      <c r="N82" s="15" t="inlineStr">
        <is>
          <t>뇌·심장 주요치료 · 연간 1회</t>
        </is>
      </c>
      <c r="O82" s="15" t="inlineStr">
        <is>
          <t>2대질환 주요치료비</t>
        </is>
      </c>
      <c r="P82" s="12" t="n">
        <v>24</v>
      </c>
      <c r="Q82" s="15" t="inlineStr"/>
      <c r="R82" s="15" t="inlineStr">
        <is>
          <t>2대질환 주요치료비(연간1회한, 10년간)
상급종합병원 2대질환 주요치료비(연간1회한, 10년간)
상급종합병원 2대질환 주요치료비(연간1회한, 10년간)(체증형)
최대두배받는2대질환치료비(포인트적립형)
최대두배받는2대질환치료비(포인트적립형)[1점이상]</t>
        </is>
      </c>
      <c r="S82" s="11" t="inlineStr"/>
      <c r="T82" s="11" t="inlineStr"/>
    </row>
    <row r="83">
      <c r="A83" s="7" t="n">
        <v>81</v>
      </c>
      <c r="B83" s="8" t="inlineStr">
        <is>
          <t>tx_dementia_target</t>
        </is>
      </c>
      <c r="C83" s="9" t="inlineStr">
        <is>
          <t>계산 제외 (제도성·조건부)</t>
        </is>
      </c>
      <c r="D83" s="8" t="inlineStr">
        <is>
          <t>표적치매약물허가치료비</t>
        </is>
      </c>
      <c r="E83" s="10" t="inlineStr"/>
      <c r="F83" s="10" t="inlineStr">
        <is>
          <t>질병코드 조건 없음 — 담보명·치료행위로만 판정</t>
        </is>
      </c>
      <c r="G83" s="7" t="inlineStr">
        <is>
          <t>분류만 (금액 계산 안 함)</t>
        </is>
      </c>
      <c r="H83" s="7" t="inlineStr">
        <is>
          <t>—</t>
        </is>
      </c>
      <c r="I83" s="10" t="inlineStr"/>
      <c r="J83" s="10" t="inlineStr"/>
      <c r="K83" s="10" t="inlineStr"/>
      <c r="L83" s="10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83" s="10" t="inlineStr"/>
      <c r="N83" s="10" t="inlineStr"/>
      <c r="O83" s="10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83" s="7" t="n">
        <v>8</v>
      </c>
      <c r="Q83" s="10" t="inlineStr"/>
      <c r="R83" s="10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83" s="11" t="inlineStr"/>
      <c r="T83" s="11" t="inlineStr"/>
    </row>
    <row r="84">
      <c r="A84" s="12" t="n">
        <v>82</v>
      </c>
      <c r="B84" s="13" t="inlineStr">
        <is>
          <t>tx_hyperthyroid</t>
        </is>
      </c>
      <c r="C84" s="14" t="inlineStr">
        <is>
          <t>치료비 (치료행위)</t>
        </is>
      </c>
      <c r="D84" s="13" t="inlineStr">
        <is>
          <t>갑상선기능항진증치료비</t>
        </is>
      </c>
      <c r="E84" s="15" t="inlineStr"/>
      <c r="F84" s="15" t="inlineStr">
        <is>
          <t>특약 마스터(db.json)에 실린 약관 KCD 목록과 대조</t>
        </is>
      </c>
      <c r="G84" s="12" t="inlineStr">
        <is>
          <t>계산함</t>
        </is>
      </c>
      <c r="H84" s="12" t="inlineStr">
        <is>
          <t>최초 1회</t>
        </is>
      </c>
      <c r="I84" s="15" t="inlineStr">
        <is>
          <t>수술  (surg)
※ 이름 미정  (rai)
※ 이름 미정  (antithyroid60)</t>
        </is>
      </c>
      <c r="J84" s="15" t="inlineStr"/>
      <c r="K84" s="15" t="inlineStr"/>
      <c r="L84" s="15" t="inlineStr"/>
      <c r="M84" s="15" t="inlineStr">
        <is>
          <t>치료비</t>
        </is>
      </c>
      <c r="N84" s="15" t="inlineStr">
        <is>
          <t>갑상선기능항진증 진단 후 갑상선절제술 · 방사성요오드치료 · 60일 이상 항갑상선제 처방 중 하나 · 최초 1회</t>
        </is>
      </c>
      <c r="O84" s="15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84" s="12" t="n">
        <v>1</v>
      </c>
      <c r="Q84" s="15" t="inlineStr"/>
      <c r="R84" s="15" t="inlineStr">
        <is>
          <t>갑상선기능항진증치료비</t>
        </is>
      </c>
      <c r="S84" s="11" t="inlineStr"/>
      <c r="T84" s="11" t="inlineStr"/>
    </row>
    <row r="85">
      <c r="A85" s="7" t="n">
        <v>83</v>
      </c>
      <c r="B85" s="8" t="inlineStr">
        <is>
          <t>tx_cancer_adverse_drug</t>
        </is>
      </c>
      <c r="C85" s="9" t="inlineStr">
        <is>
          <t>계산 제외 (제도성·조건부)</t>
        </is>
      </c>
      <c r="D85" s="8" t="inlineStr">
        <is>
          <t>특정항암부작용약제치료비</t>
        </is>
      </c>
      <c r="E85" s="10" t="inlineStr"/>
      <c r="F85" s="10" t="inlineStr">
        <is>
          <t>질병코드 조건 없음 — 담보명·치료행위로만 판정</t>
        </is>
      </c>
      <c r="G85" s="7" t="inlineStr">
        <is>
          <t>분류만 (금액 계산 안 함)</t>
        </is>
      </c>
      <c r="H85" s="7" t="inlineStr">
        <is>
          <t>—</t>
        </is>
      </c>
      <c r="I85" s="10" t="inlineStr"/>
      <c r="J85" s="10" t="inlineStr"/>
      <c r="K85" s="10" t="inlineStr"/>
      <c r="L85" s="10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85" s="10" t="inlineStr"/>
      <c r="N85" s="10" t="inlineStr"/>
      <c r="O85" s="10" t="inlineStr">
        <is>
          <t>특정항암부작용약제치료비(또124) — 약제 처방 조건부(사례 계산 제외). 종전 tx_etc_care 가 암 진단만으로 가입금액 전액을 지급 계산(v8.61)</t>
        </is>
      </c>
      <c r="P85" s="7" t="n">
        <v>2</v>
      </c>
      <c r="Q85" s="10" t="inlineStr"/>
      <c r="R85" s="10" t="inlineStr">
        <is>
          <t>특정항암부작용약제치료비(급여,연간1회한)
특정항암부작용약제치료비(급여,연간1회한)</t>
        </is>
      </c>
      <c r="S85" s="11" t="inlineStr"/>
      <c r="T85" s="11" t="inlineStr"/>
    </row>
    <row r="86">
      <c r="A86" s="12" t="n">
        <v>84</v>
      </c>
      <c r="B86" s="13" t="inlineStr">
        <is>
          <t>tx_arrhythmia_exam</t>
        </is>
      </c>
      <c r="C86" s="14" t="inlineStr">
        <is>
          <t>계산 제외 (제도성·조건부)</t>
        </is>
      </c>
      <c r="D86" s="13" t="inlineStr">
        <is>
          <t>부정맥질환특정검사비</t>
        </is>
      </c>
      <c r="E86" s="15" t="inlineStr"/>
      <c r="F86" s="15" t="inlineStr">
        <is>
          <t>질병코드 조건 없음 — 담보명·치료행위로만 판정</t>
        </is>
      </c>
      <c r="G86" s="12" t="inlineStr">
        <is>
          <t>분류만 (금액 계산 안 함)</t>
        </is>
      </c>
      <c r="H86" s="12" t="inlineStr">
        <is>
          <t>—</t>
        </is>
      </c>
      <c r="I86" s="15" t="inlineStr"/>
      <c r="J86" s="15" t="inlineStr"/>
      <c r="K86" s="15" t="inlineStr"/>
      <c r="L86" s="15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86" s="15" t="inlineStr"/>
      <c r="N86" s="15" t="inlineStr"/>
      <c r="O86" s="15" t="inlineStr">
        <is>
          <t>부정맥질환특정검사비(케345) — 별표 수가코드 검사 조건부(사례 계산 제외). 종전 tx_etc_care 가 I47·I48 진단만으로 지급 계산(v8.61)</t>
        </is>
      </c>
      <c r="P86" s="12" t="n">
        <v>1</v>
      </c>
      <c r="Q86" s="15" t="inlineStr"/>
      <c r="R86" s="15" t="inlineStr">
        <is>
          <t>갱신형 부정맥질환특정검사비</t>
        </is>
      </c>
      <c r="S86" s="11" t="inlineStr"/>
      <c r="T86" s="11" t="inlineStr"/>
    </row>
    <row r="87">
      <c r="A87" s="7" t="n">
        <v>85</v>
      </c>
      <c r="B87" s="8" t="inlineStr">
        <is>
          <t>tx_hc_kcd</t>
        </is>
      </c>
      <c r="C87" s="9" t="inlineStr">
        <is>
          <t>치료비 (치료행위)</t>
        </is>
      </c>
      <c r="D87" s="8" t="inlineStr">
        <is>
          <t>(갑상선질환고주파열치료비|유방병변진공보조장치이용절제치료비|자궁근종고강도초음파집속술치료비)</t>
        </is>
      </c>
      <c r="E87" s="10" t="inlineStr"/>
      <c r="F87" s="10" t="inlineStr">
        <is>
          <t>특약 마스터(db.json)에 실린 약관 KCD 목록과 대조</t>
        </is>
      </c>
      <c r="G87" s="7" t="inlineStr">
        <is>
          <t>계산함</t>
        </is>
      </c>
      <c r="H87" s="7" t="inlineStr">
        <is>
          <t>최초 1회</t>
        </is>
      </c>
      <c r="I87" s="10" t="inlineStr"/>
      <c r="J87" s="10" t="inlineStr"/>
      <c r="K87" s="10" t="inlineStr"/>
      <c r="L87" s="10" t="inlineStr">
        <is>
          <t>약관이 진료행위(수가)코드를 열거한 항목은 그 목록에 있을 때만</t>
        </is>
      </c>
      <c r="M87" s="10" t="inlineStr">
        <is>
          <t>치료비</t>
        </is>
      </c>
      <c r="N87" s="10" t="inlineStr">
        <is>
          <t>약관 대상 질병 진단 후 약관이 정한 시술(수가코드) · 최초 1회</t>
        </is>
      </c>
      <c r="O87" s="10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87" s="7" t="n">
        <v>8</v>
      </c>
      <c r="Q87" s="10" t="inlineStr"/>
      <c r="R87" s="10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갱신형특정질환3대치료비[갑상선질환 고주파열치료비(최초1회한)]</t>
        </is>
      </c>
      <c r="S87" s="11" t="inlineStr"/>
      <c r="T87" s="11" t="inlineStr"/>
    </row>
    <row r="88">
      <c r="A88" s="12" t="n">
        <v>86</v>
      </c>
      <c r="B88" s="13" t="inlineStr">
        <is>
          <t>tx_anesth6</t>
        </is>
      </c>
      <c r="C88" s="14" t="inlineStr">
        <is>
          <t>치료비 (치료행위)</t>
        </is>
      </c>
      <c r="D88" s="13" t="inlineStr">
        <is>
          <t>전신마취치료비\(급여,6시간이상\)</t>
        </is>
      </c>
      <c r="E88" s="15" t="inlineStr"/>
      <c r="F88" s="15" t="inlineStr">
        <is>
          <t>질병코드 조건 없음 — 담보명·치료행위로만 판정</t>
        </is>
      </c>
      <c r="G88" s="12" t="inlineStr">
        <is>
          <t>계산함</t>
        </is>
      </c>
      <c r="H88" s="12" t="inlineStr">
        <is>
          <t>받을 때마다</t>
        </is>
      </c>
      <c r="I88" s="15" t="inlineStr">
        <is>
          <t>6시간 이상 전신마취 수술  (anes6)</t>
        </is>
      </c>
      <c r="J88" s="15" t="inlineStr"/>
      <c r="K88" s="15" t="inlineStr"/>
      <c r="L88" s="15" t="inlineStr"/>
      <c r="M88" s="15" t="inlineStr">
        <is>
          <t>치료비</t>
        </is>
      </c>
      <c r="N88" s="15" t="inlineStr">
        <is>
          <t>종합병원 전신마취 6시간 이상 · 치료 1회당</t>
        </is>
      </c>
      <c r="O88" s="15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88" s="12" t="n">
        <v>2</v>
      </c>
      <c r="Q88" s="15" t="inlineStr"/>
      <c r="R88" s="15" t="inlineStr">
        <is>
          <t>종합병원 전신마취치료비 (급여, 6시간이상)
종합병원 전신마취치료비 (급여, 6시간이상)</t>
        </is>
      </c>
      <c r="S88" s="11" t="inlineStr"/>
      <c r="T88" s="11" t="inlineStr"/>
    </row>
    <row r="89">
      <c r="A89" s="7" t="n">
        <v>87</v>
      </c>
      <c r="B89" s="8" t="inlineStr">
        <is>
          <t>tx_anesth4</t>
        </is>
      </c>
      <c r="C89" s="9" t="inlineStr">
        <is>
          <t>치료비 (치료행위)</t>
        </is>
      </c>
      <c r="D89" s="8" t="inlineStr">
        <is>
          <t>전신마취치료비\(급여,4시간이상\)</t>
        </is>
      </c>
      <c r="E89" s="10" t="inlineStr"/>
      <c r="F89" s="10" t="inlineStr">
        <is>
          <t>질병코드 조건 없음 — 담보명·치료행위로만 판정</t>
        </is>
      </c>
      <c r="G89" s="7" t="inlineStr">
        <is>
          <t>계산함</t>
        </is>
      </c>
      <c r="H89" s="7" t="inlineStr">
        <is>
          <t>받을 때마다</t>
        </is>
      </c>
      <c r="I89" s="10" t="inlineStr">
        <is>
          <t>4시간 이상 전신마취 수술  (anes4)</t>
        </is>
      </c>
      <c r="J89" s="10" t="inlineStr"/>
      <c r="K89" s="10" t="inlineStr"/>
      <c r="L89" s="10" t="inlineStr"/>
      <c r="M89" s="10" t="inlineStr">
        <is>
          <t>치료비</t>
        </is>
      </c>
      <c r="N89" s="10" t="inlineStr">
        <is>
          <t>종합병원 전신마취 4시간 이상 · 치료 1회당</t>
        </is>
      </c>
      <c r="O89" s="10" t="inlineStr">
        <is>
          <t>종합병원 전신마취치료비(급여, 4시간이상) — 6시간 이상이면 이 담보도 함께 지급된다(별개 특약 · 각각 제1조 충족)(v8.61)</t>
        </is>
      </c>
      <c r="P89" s="7" t="n">
        <v>2</v>
      </c>
      <c r="Q89" s="10" t="inlineStr"/>
      <c r="R89" s="10" t="inlineStr">
        <is>
          <t>종합병원 전신마취치료비 (급여, 4시간이상)
종합병원 전신마취치료비 (급여, 4시간이상)</t>
        </is>
      </c>
      <c r="S89" s="11" t="inlineStr"/>
      <c r="T89" s="11" t="inlineStr"/>
    </row>
    <row r="90">
      <c r="A90" s="12" t="n">
        <v>88</v>
      </c>
      <c r="B90" s="13" t="inlineStr">
        <is>
          <t>tx_anesth</t>
        </is>
      </c>
      <c r="C90" s="14" t="inlineStr">
        <is>
          <t>치료비 (치료행위)</t>
        </is>
      </c>
      <c r="D90" s="13" t="inlineStr">
        <is>
          <t>전신마취치료비</t>
        </is>
      </c>
      <c r="E90" s="15" t="inlineStr">
        <is>
          <t>시간이상</t>
        </is>
      </c>
      <c r="F90" s="15" t="inlineStr">
        <is>
          <t>질병코드 조건 없음 — 담보명·치료행위로만 판정</t>
        </is>
      </c>
      <c r="G90" s="12" t="inlineStr">
        <is>
          <t>계산함</t>
        </is>
      </c>
      <c r="H90" s="12" t="inlineStr">
        <is>
          <t>받을 때마다</t>
        </is>
      </c>
      <c r="I90" s="15" t="inlineStr">
        <is>
          <t>종합병원 전신마취 수술  (anes)</t>
        </is>
      </c>
      <c r="J90" s="15" t="inlineStr"/>
      <c r="K90" s="15" t="inlineStr"/>
      <c r="L90" s="15" t="inlineStr"/>
      <c r="M90" s="15" t="inlineStr">
        <is>
          <t>치료비</t>
        </is>
      </c>
      <c r="N90" s="15" t="inlineStr">
        <is>
          <t>종합병원 전신마취 · 치료 1회당</t>
        </is>
      </c>
      <c r="O90" s="15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90" s="12" t="n">
        <v>2</v>
      </c>
      <c r="Q90" s="15" t="inlineStr"/>
      <c r="R90" s="15" t="inlineStr">
        <is>
          <t>종합병원 전신마취치료비(급여)
종합병원 전신마취치료비(급여)</t>
        </is>
      </c>
      <c r="S90" s="11" t="inlineStr"/>
      <c r="T90" s="11" t="inlineStr"/>
    </row>
    <row r="91">
      <c r="A91" s="7" t="n">
        <v>89</v>
      </c>
      <c r="B91" s="8" t="inlineStr">
        <is>
          <t>tx_rehab</t>
        </is>
      </c>
      <c r="C91" s="9" t="inlineStr">
        <is>
          <t>치료비 (치료행위)</t>
        </is>
      </c>
      <c r="D91" s="8" t="inlineStr">
        <is>
          <t>재활치료비</t>
        </is>
      </c>
      <c r="E91" s="10" t="inlineStr"/>
      <c r="F91" s="10" t="inlineStr">
        <is>
          <t>질병코드 조건 없음 — 담보명·치료행위로만 판정</t>
        </is>
      </c>
      <c r="G91" s="7" t="inlineStr">
        <is>
          <t>계산함</t>
        </is>
      </c>
      <c r="H91" s="7" t="inlineStr">
        <is>
          <t>받을 때마다</t>
        </is>
      </c>
      <c r="I91" s="10" t="inlineStr">
        <is>
          <t>재활치료  (rehab)</t>
        </is>
      </c>
      <c r="J91" s="10" t="inlineStr"/>
      <c r="K91" s="10" t="inlineStr"/>
      <c r="L91" s="10" t="inlineStr"/>
      <c r="M91" s="10" t="inlineStr">
        <is>
          <t>치료비</t>
        </is>
      </c>
      <c r="N91" s="10" t="inlineStr">
        <is>
          <t>재활치료</t>
        </is>
      </c>
      <c r="O91" s="10" t="inlineStr">
        <is>
          <t>재활치료비</t>
        </is>
      </c>
      <c r="P91" s="7" t="n">
        <v>1</v>
      </c>
      <c r="Q91" s="10" t="inlineStr"/>
      <c r="R91" s="10" t="inlineStr">
        <is>
          <t>상해재활치료비 (급여,1일1회한,연간15회한)</t>
        </is>
      </c>
      <c r="S91" s="11" t="inlineStr"/>
      <c r="T91" s="11" t="inlineStr"/>
    </row>
    <row r="92">
      <c r="A92" s="12" t="n">
        <v>90</v>
      </c>
      <c r="B92" s="13" t="inlineStr">
        <is>
          <t>tx_exam</t>
        </is>
      </c>
      <c r="C92" s="14" t="inlineStr">
        <is>
          <t>치료비 (치료행위)</t>
        </is>
      </c>
      <c r="D92" s="13" t="inlineStr">
        <is>
          <t>(MRI|CT|PET|양전자단층촬영|초음파|내시경|NGS유전자|생검).*(검사비|촬영검사비)</t>
        </is>
      </c>
      <c r="E92" s="15" t="inlineStr"/>
      <c r="F92" s="15" t="inlineStr">
        <is>
          <t>마스터에 약관 KCD 목록이 있으면 대조 (없으면 조건 없이 계산하고 로그)</t>
        </is>
      </c>
      <c r="G92" s="12" t="inlineStr">
        <is>
          <t>계산함</t>
        </is>
      </c>
      <c r="H92" s="12" t="inlineStr">
        <is>
          <t>연 1회</t>
        </is>
      </c>
      <c r="I92" s="15" t="inlineStr">
        <is>
          <t>CT 검사  (x_ct)
MRI 검사  (x_mri)
PET 검사  (x_pet)
초음파 검사  (x_us)
내시경 검사  (x_endo)
NGS 유전자패널검사  (x_ngs)
조직검사(생검)  (x_bio)</t>
        </is>
      </c>
      <c r="J92" s="15" t="inlineStr"/>
      <c r="K92" s="15" t="inlineStr"/>
      <c r="L92" s="15" t="inlineStr"/>
      <c r="M92" s="15" t="inlineStr">
        <is>
          <t>치료비</t>
        </is>
      </c>
      <c r="N92" s="15" t="inlineStr">
        <is>
          <t>검사 · 연간 1회</t>
        </is>
      </c>
      <c r="O92" s="15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92" s="12" t="n">
        <v>3</v>
      </c>
      <c r="Q92" s="15" t="inlineStr"/>
      <c r="R92" s="15" t="inlineStr">
        <is>
          <t>갱신형 3대질환 MRI촬영검사비(급여, 연간1회한)
갱신형 양전자단층촬영(PET)검사비(급여, 연간1회한)
상해MRI/CT검사비 (급여,연간1회한)</t>
        </is>
      </c>
      <c r="S92" s="11" t="inlineStr"/>
      <c r="T92" s="11" t="inlineStr"/>
    </row>
    <row r="93">
      <c r="A93" s="7" t="n">
        <v>91</v>
      </c>
      <c r="B93" s="8" t="inlineStr">
        <is>
          <t>tx_procedure</t>
        </is>
      </c>
      <c r="C93" s="9" t="inlineStr">
        <is>
          <t>치료비 (치료행위)</t>
        </is>
      </c>
      <c r="D93" s="8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93" s="10" t="inlineStr"/>
      <c r="F93" s="10" t="inlineStr">
        <is>
          <t>특약 마스터(db.json)에 실린 약관 KCD 목록과 대조</t>
        </is>
      </c>
      <c r="G93" s="7" t="inlineStr">
        <is>
          <t>계산함</t>
        </is>
      </c>
      <c r="H93" s="7" t="inlineStr">
        <is>
          <t>연 1회</t>
        </is>
      </c>
      <c r="I93" s="10" t="inlineStr">
        <is>
          <t>수술  (surg)</t>
        </is>
      </c>
      <c r="J93" s="10" t="inlineStr"/>
      <c r="K93" s="10" t="inlineStr"/>
      <c r="L93" s="10" t="inlineStr"/>
      <c r="M93" s="10" t="inlineStr">
        <is>
          <t>치료비</t>
        </is>
      </c>
      <c r="N93" s="10" t="inlineStr">
        <is>
          <t>약관 대상 시술 · 연간 1회</t>
        </is>
      </c>
      <c r="O93" s="10" t="inlineStr">
        <is>
          <t>특정 시술·치료비</t>
        </is>
      </c>
      <c r="P93" s="7" t="n">
        <v>4</v>
      </c>
      <c r="Q93" s="10" t="inlineStr"/>
      <c r="R93" s="10" t="inlineStr">
        <is>
          <t>갱신형 특정질환3대치료비
추간판장애(디스크질환) 신경차단술치료비(급여,연간1회한)
특정이물제거치료비Ⅰ(급여,연간1회한)
갱신형특정질환3대치료비</t>
        </is>
      </c>
      <c r="S93" s="11" t="inlineStr"/>
      <c r="T93" s="11" t="inlineStr"/>
    </row>
    <row r="94">
      <c r="A94" s="12" t="n">
        <v>92</v>
      </c>
      <c r="B94" s="13" t="inlineStr">
        <is>
          <t>tx_emergency</t>
        </is>
      </c>
      <c r="C94" s="14" t="inlineStr">
        <is>
          <t>치료비 (치료행위)</t>
        </is>
      </c>
      <c r="D94" s="13" t="inlineStr">
        <is>
          <t>응급실내원비</t>
        </is>
      </c>
      <c r="E94" s="15" t="inlineStr"/>
      <c r="F94" s="15" t="inlineStr">
        <is>
          <t>질병코드 조건 없음 — 담보명·치료행위로만 판정</t>
        </is>
      </c>
      <c r="G94" s="12" t="inlineStr">
        <is>
          <t>계산함</t>
        </is>
      </c>
      <c r="H94" s="12" t="inlineStr">
        <is>
          <t>받을 때마다</t>
        </is>
      </c>
      <c r="I94" s="15" t="inlineStr">
        <is>
          <t>응급실 진료  (er)</t>
        </is>
      </c>
      <c r="J94" s="15" t="inlineStr"/>
      <c r="K94" s="15" t="inlineStr"/>
      <c r="L94" s="15" t="inlineStr"/>
      <c r="M94" s="15" t="inlineStr">
        <is>
          <t>치료비</t>
        </is>
      </c>
      <c r="N94" s="15" t="inlineStr">
        <is>
          <t>응급실 내원</t>
        </is>
      </c>
      <c r="O94" s="15" t="inlineStr">
        <is>
          <t>응급실 내원비</t>
        </is>
      </c>
      <c r="P94" s="12" t="n">
        <v>5</v>
      </c>
      <c r="Q94" s="15" t="inlineStr"/>
      <c r="R94" s="15" t="inlineStr">
        <is>
          <t>응급실내원비(응급)
상해 응급실내원비(응급)
응급실내원비(응급)
응급실내원비(1-3등급)
의료기관 및 민간 구급차 이용 응급실내원비(1-3등급)</t>
        </is>
      </c>
      <c r="S94" s="11" t="inlineStr"/>
      <c r="T94" s="11" t="inlineStr"/>
    </row>
    <row r="95">
      <c r="A95" s="7" t="n">
        <v>93</v>
      </c>
      <c r="B95" s="8" t="inlineStr">
        <is>
          <t>ls_monthly</t>
        </is>
      </c>
      <c r="C95" s="9" t="inlineStr">
        <is>
          <t>생활지원금</t>
        </is>
      </c>
      <c r="D95" s="8" t="inlineStr">
        <is>
          <t>통합생활지원비</t>
        </is>
      </c>
      <c r="E95" s="10" t="inlineStr"/>
      <c r="F95" s="10" t="inlineStr">
        <is>
          <t>질병코드 조건 없음 — 담보명·치료행위로만 판정</t>
        </is>
      </c>
      <c r="G95" s="7" t="inlineStr">
        <is>
          <t>분류만 (금액 계산 안 함)</t>
        </is>
      </c>
      <c r="H95" s="7" t="inlineStr">
        <is>
          <t>—</t>
        </is>
      </c>
      <c r="I95" s="10" t="inlineStr"/>
      <c r="J95" s="10" t="inlineStr"/>
      <c r="K95" s="10" t="inlineStr"/>
      <c r="L95" s="10" t="inlineStr"/>
      <c r="M95" s="10" t="inlineStr"/>
      <c r="N95" s="10" t="inlineStr"/>
      <c r="O95" s="10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95" s="7" t="n">
        <v>11</v>
      </c>
      <c r="Q95" s="10" t="inlineStr"/>
      <c r="R95" s="10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95" s="11" t="inlineStr"/>
      <c r="T95" s="11" t="inlineStr"/>
    </row>
    <row r="96">
      <c r="A96" s="12" t="n">
        <v>94</v>
      </c>
      <c r="B96" s="13" t="inlineStr">
        <is>
          <t>tx_aneurysm_surg</t>
        </is>
      </c>
      <c r="C96" s="14" t="inlineStr">
        <is>
          <t>치료비 (치료행위)</t>
        </is>
      </c>
      <c r="D96" s="13" t="inlineStr">
        <is>
          <t>뇌동맥류수술비</t>
        </is>
      </c>
      <c r="E96" s="15" t="inlineStr"/>
      <c r="F96" s="15" t="inlineStr">
        <is>
          <t>질병코드 조건 없음 — 담보명·치료행위로만 판정</t>
        </is>
      </c>
      <c r="G96" s="12" t="inlineStr">
        <is>
          <t>계산함</t>
        </is>
      </c>
      <c r="H96" s="12" t="inlineStr">
        <is>
          <t>연 1회</t>
        </is>
      </c>
      <c r="I96" s="15" t="inlineStr">
        <is>
          <t>수술  (surg)</t>
        </is>
      </c>
      <c r="J96" s="15" t="inlineStr"/>
      <c r="K96" s="15" t="inlineStr"/>
      <c r="L96" s="15" t="inlineStr">
        <is>
          <t>1-7종 분류표의 수술구분이 「뇌동맥류수술」일 때만</t>
        </is>
      </c>
      <c r="M96" s="15" t="inlineStr">
        <is>
          <t>수술비</t>
        </is>
      </c>
      <c r="N96" s="15" t="inlineStr">
        <is>
          <t>뇌동맥류수술(약관 별표 1-7종 수술분류표 「뇌동맥류수술」 B011~B018) · 연간 1회</t>
        </is>
      </c>
      <c r="O96" s="15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96" s="16" t="n">
        <v>0</v>
      </c>
      <c r="Q96" s="17" t="inlineStr">
        <is>
          <t>특약 마스터에 이 담보명이 없음 — 상품에 없는 담보이거나 이름이 달라진 것</t>
        </is>
      </c>
      <c r="R96" s="15" t="inlineStr"/>
      <c r="S96" s="11" t="inlineStr"/>
      <c r="T96" s="11" t="inlineStr"/>
    </row>
    <row r="97">
      <c r="A97" s="7" t="n">
        <v>95</v>
      </c>
      <c r="B97" s="8" t="inlineStr">
        <is>
          <t>tx_etc_care</t>
        </is>
      </c>
      <c r="C97" s="9" t="inlineStr">
        <is>
          <t>치료비 (치료행위)</t>
        </is>
      </c>
      <c r="D97" s="8" t="inlineStr">
        <is>
          <t>치료비|생활비|생활지원비|지원금|입원비|검사비|대기등록</t>
        </is>
      </c>
      <c r="E97" s="10" t="inlineStr"/>
      <c r="F97" s="10" t="inlineStr">
        <is>
          <t>특약 마스터(db.json)에 실린 약관 KCD 목록과 대조</t>
        </is>
      </c>
      <c r="G97" s="7" t="inlineStr">
        <is>
          <t>계산함</t>
        </is>
      </c>
      <c r="H97" s="7" t="inlineStr">
        <is>
          <t>연 1회</t>
        </is>
      </c>
      <c r="I97" s="10" t="inlineStr"/>
      <c r="J97" s="10" t="inlineStr"/>
      <c r="K97" s="10" t="inlineStr"/>
      <c r="L97" s="10" t="inlineStr"/>
      <c r="M97" s="10" t="inlineStr">
        <is>
          <t>치료비</t>
        </is>
      </c>
      <c r="N97" s="10" t="inlineStr">
        <is>
          <t>약관 대상 치료</t>
        </is>
      </c>
      <c r="O97" s="10" t="inlineStr">
        <is>
          <t>그 밖의 치료비 — 약관 KCD 목록이 있을 때만 판정</t>
        </is>
      </c>
      <c r="P97" s="7" t="n">
        <v>8</v>
      </c>
      <c r="Q97" s="10" t="inlineStr"/>
      <c r="R97" s="10" t="inlineStr">
        <is>
          <t>암진단및치료비Ⅱ
암진단및치료비Ⅱ
갱신형 영구치상실치료비
갱신형 치석제거(스케일링)치료비
갱신형 발치치료비</t>
        </is>
      </c>
      <c r="S97" s="11" t="inlineStr"/>
      <c r="T97" s="11" t="inlineStr"/>
    </row>
  </sheetData>
  <autoFilter ref="A2:T97"/>
  <dataValidations count="1">
    <dataValidation sqref="S3:S97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95개'!C3:C97,B7&amp;"*")</f>
        <v/>
      </c>
      <c r="D7" s="23">
        <f>SUMIF('규칙 95개'!C3:C97,B7&amp;"*",'규칙 95개'!$P$3:$P$97)</f>
        <v/>
      </c>
    </row>
    <row r="8">
      <c r="B8" s="22" t="inlineStr">
        <is>
          <t>수술비</t>
        </is>
      </c>
      <c r="C8" s="23">
        <f>COUNTIF('규칙 95개'!C3:C97,B8&amp;"*")</f>
        <v/>
      </c>
      <c r="D8" s="23">
        <f>SUMIF('규칙 95개'!C3:C97,B8&amp;"*",'규칙 95개'!$P$3:$P$97)</f>
        <v/>
      </c>
    </row>
    <row r="9">
      <c r="B9" s="22" t="inlineStr">
        <is>
          <t>입원·통원 일당</t>
        </is>
      </c>
      <c r="C9" s="23">
        <f>COUNTIF('규칙 95개'!C3:C97,B9&amp;"*")</f>
        <v/>
      </c>
      <c r="D9" s="23">
        <f>SUMIF('규칙 95개'!C3:C97,B9&amp;"*",'규칙 95개'!$P$3:$P$97)</f>
        <v/>
      </c>
    </row>
    <row r="10">
      <c r="B10" s="22" t="inlineStr">
        <is>
          <t>치료비 (치료행위)</t>
        </is>
      </c>
      <c r="C10" s="23">
        <f>COUNTIF('규칙 95개'!C3:C97,B10&amp;"*")</f>
        <v/>
      </c>
      <c r="D10" s="23">
        <f>SUMIF('규칙 95개'!C3:C97,B10&amp;"*",'규칙 95개'!$P$3:$P$97)</f>
        <v/>
      </c>
    </row>
    <row r="11">
      <c r="B11" s="22" t="inlineStr">
        <is>
          <t>간병</t>
        </is>
      </c>
      <c r="C11" s="23">
        <f>COUNTIF('규칙 95개'!C3:C97,B11&amp;"*")</f>
        <v/>
      </c>
      <c r="D11" s="23">
        <f>SUMIF('규칙 95개'!C3:C97,B11&amp;"*",'규칙 95개'!$P$3:$P$97)</f>
        <v/>
      </c>
    </row>
    <row r="12">
      <c r="B12" s="22" t="inlineStr">
        <is>
          <t>사망·후유장해</t>
        </is>
      </c>
      <c r="C12" s="23">
        <f>COUNTIF('규칙 95개'!C3:C97,B12&amp;"*")</f>
        <v/>
      </c>
      <c r="D12" s="23">
        <f>SUMIF('규칙 95개'!C3:C97,B12&amp;"*",'규칙 95개'!$P$3:$P$97)</f>
        <v/>
      </c>
    </row>
    <row r="13">
      <c r="B13" s="22" t="inlineStr">
        <is>
          <t>생활지원금</t>
        </is>
      </c>
      <c r="C13" s="23">
        <f>COUNTIF('규칙 95개'!C3:C97,B13&amp;"*")</f>
        <v/>
      </c>
      <c r="D13" s="23">
        <f>SUMIF('규칙 95개'!C3:C97,B13&amp;"*",'규칙 95개'!$P$3:$P$97)</f>
        <v/>
      </c>
    </row>
    <row r="14">
      <c r="B14" s="22" t="inlineStr">
        <is>
          <t>의료사례 비대상 (운전자·재물·법률·배상·치아)</t>
        </is>
      </c>
      <c r="C14" s="23">
        <f>COUNTIF('규칙 95개'!C3:C97,B14&amp;"*")</f>
        <v/>
      </c>
      <c r="D14" s="23">
        <f>SUMIF('규칙 95개'!C3:C97,B14&amp;"*",'규칙 95개'!$P$3:$P$97)</f>
        <v/>
      </c>
    </row>
    <row r="15">
      <c r="B15" s="22" t="inlineStr">
        <is>
          <t>계산 제외 (제도성·조건부)</t>
        </is>
      </c>
      <c r="C15" s="23">
        <f>COUNTIF('규칙 95개'!C3:C97,B15&amp;"*")</f>
        <v/>
      </c>
      <c r="D15" s="23">
        <f>SUMIF('규칙 95개'!C3:C97,B15&amp;"*",'규칙 95개'!$P$3:$P$97)</f>
        <v/>
      </c>
    </row>
    <row r="16">
      <c r="B16" s="22" t="inlineStr">
        <is>
          <t>계산 제외 + 사유 기록</t>
        </is>
      </c>
      <c r="C16" s="23">
        <f>COUNTIF('규칙 95개'!C3:C97,B16&amp;"*")</f>
        <v/>
      </c>
      <c r="D16" s="23">
        <f>SUMIF('규칙 95개'!C3:C97,B16&amp;"*",'규칙 95개'!$P$3:$P$97)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95개'!H3:H97,B21&amp;"*")</f>
        <v/>
      </c>
      <c r="D21" s="23">
        <f>SUMIF('규칙 95개'!H3:H97,B21&amp;"*",'규칙 95개'!$P$3:$P$97)</f>
        <v/>
      </c>
    </row>
    <row r="22">
      <c r="B22" s="22" t="inlineStr">
        <is>
          <t>연 1회</t>
        </is>
      </c>
      <c r="C22" s="23">
        <f>COUNTIF('규칙 95개'!H3:H97,B22&amp;"*")</f>
        <v/>
      </c>
      <c r="D22" s="23">
        <f>SUMIF('규칙 95개'!H3:H97,B22&amp;"*",'규칙 95개'!$P$3:$P$97)</f>
        <v/>
      </c>
    </row>
    <row r="23">
      <c r="B23" s="22" t="inlineStr">
        <is>
          <t>받을 때마다</t>
        </is>
      </c>
      <c r="C23" s="23">
        <f>COUNTIF('규칙 95개'!H3:H97,B23&amp;"*")</f>
        <v/>
      </c>
      <c r="D23" s="23">
        <f>SUMIF('규칙 95개'!H3:H97,B23&amp;"*",'규칙 95개'!$P$3:$P$97)</f>
        <v/>
      </c>
    </row>
    <row r="24">
      <c r="B24" s="22" t="inlineStr">
        <is>
          <t>—</t>
        </is>
      </c>
      <c r="C24" s="23">
        <f>COUNTIF('규칙 95개'!H3:H97,B24&amp;"*")</f>
        <v/>
      </c>
      <c r="D24" s="23">
        <f>SUMIF('규칙 95개'!H3:H97,B24&amp;"*",'규칙 95개'!$P$3:$P$97)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95개'!F3:F97,B29&amp;"*")</f>
        <v/>
      </c>
      <c r="D29" s="23">
        <f>SUMIF('규칙 95개'!F3:F97,B29&amp;"*",'규칙 95개'!$P$3:$P$97)</f>
        <v/>
      </c>
    </row>
    <row r="30">
      <c r="B30" s="22" t="inlineStr">
        <is>
          <t>유사암 — 제자리암·경계성종양·갑상선암·기타피부암</t>
        </is>
      </c>
      <c r="C30" s="23">
        <f>COUNTIF('규칙 95개'!F3:F97,B30&amp;"*")</f>
        <v/>
      </c>
      <c r="D30" s="23">
        <f>SUMIF('규칙 95개'!F3:F97,B30&amp;"*",'규칙 95개'!$P$3:$P$97)</f>
        <v/>
      </c>
    </row>
    <row r="31">
      <c r="B31" s="22" t="inlineStr">
        <is>
          <t>암 또는 유사암</t>
        </is>
      </c>
      <c r="C31" s="23">
        <f>COUNTIF('규칙 95개'!F3:F97,B31&amp;"*")</f>
        <v/>
      </c>
      <c r="D31" s="23">
        <f>SUMIF('규칙 95개'!F3:F97,B31&amp;"*",'규칙 95개'!$P$3:$P$97)</f>
        <v/>
      </c>
    </row>
    <row r="32">
      <c r="B32" s="22" t="inlineStr">
        <is>
          <t>특약 마스터(db.json)에 실린 약관 KCD 목록과 대조</t>
        </is>
      </c>
      <c r="C32" s="23">
        <f>COUNTIF('규칙 95개'!F3:F97,B32&amp;"*")</f>
        <v/>
      </c>
      <c r="D32" s="23">
        <f>SUMIF('규칙 95개'!F3:F97,B32&amp;"*",'규칙 95개'!$P$3:$P$97)</f>
        <v/>
      </c>
    </row>
    <row r="33">
      <c r="B33" s="22" t="inlineStr">
        <is>
          <t>131대질병 그룹표(g131.json)와 대조</t>
        </is>
      </c>
      <c r="C33" s="23">
        <f>COUNTIF('규칙 95개'!F3:F97,B33&amp;"*")</f>
        <v/>
      </c>
      <c r="D33" s="23">
        <f>SUMIF('규칙 95개'!F3:F97,B33&amp;"*",'규칙 95개'!$P$3:$P$97)</f>
        <v/>
      </c>
    </row>
    <row r="34">
      <c r="B34" s="22" t="inlineStr">
        <is>
          <t>질병코드 그룹표(rules.json)와 대조</t>
        </is>
      </c>
      <c r="C34" s="23">
        <f>COUNTIF('규칙 95개'!F3:F97,B34&amp;"*")</f>
        <v/>
      </c>
      <c r="D34" s="23">
        <f>SUMIF('규칙 95개'!F3:F97,B34&amp;"*",'규칙 95개'!$P$3:$P$97)</f>
        <v/>
      </c>
    </row>
    <row r="35">
      <c r="B35" s="22" t="inlineStr">
        <is>
          <t>약관 별표 진료행위(수가)코드와 대조</t>
        </is>
      </c>
      <c r="C35" s="23">
        <f>COUNTIF('규칙 95개'!F3:F97,B35&amp;"*")</f>
        <v/>
      </c>
      <c r="D35" s="23">
        <f>SUMIF('규칙 95개'!F3:F97,B35&amp;"*",'규칙 95개'!$P$3:$P$97)</f>
        <v/>
      </c>
    </row>
    <row r="36">
      <c r="B36" s="22" t="inlineStr">
        <is>
          <t>질병코드 조건 없음 — 담보명·치료행위로만 판정</t>
        </is>
      </c>
      <c r="C36" s="23">
        <f>COUNTIF('규칙 95개'!F3:F97,B36&amp;"*")</f>
        <v/>
      </c>
      <c r="D36" s="23">
        <f>SUMIF('규칙 95개'!F3:F97,B36&amp;"*",'규칙 95개'!$P$3:$P$97)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1758</v>
      </c>
    </row>
    <row r="41">
      <c r="B41" s="22" t="inlineStr">
        <is>
          <t>규칙에 걸린 담보 수</t>
        </is>
      </c>
      <c r="C41" s="23" t="n">
        <v>1758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4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9" t="inlineStr">
        <is>
          <t>icu</t>
        </is>
      </c>
      <c r="B12" s="29" t="inlineStr">
        <is>
          <t>중환자실 입원</t>
        </is>
      </c>
      <c r="C12" s="30" t="inlineStr">
        <is>
          <t>아직 안 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통합간편가입</t>
        </is>
      </c>
    </row>
    <row r="13">
      <c r="B13" s="35" t="inlineStr">
        <is>
          <t>건강가입</t>
        </is>
      </c>
    </row>
    <row r="14">
      <c r="B14" s="35" t="inlineStr">
        <is>
          <t>355간편가입</t>
        </is>
      </c>
    </row>
    <row r="15">
      <c r="B15" s="35" t="inlineStr">
        <is>
          <t>간편가입</t>
        </is>
      </c>
    </row>
    <row r="16">
      <c r="B16" s="35" t="inlineStr">
        <is>
          <t>건강고지형</t>
        </is>
      </c>
    </row>
    <row r="17">
      <c r="B17" s="35" t="inlineStr">
        <is>
          <t>통합간편고지형</t>
        </is>
      </c>
    </row>
    <row r="18">
      <c r="B18" s="35" t="inlineStr">
        <is>
          <t>355간편고지형</t>
        </is>
      </c>
    </row>
    <row r="19">
      <c r="B19" s="35" t="inlineStr">
        <is>
          <t>일반고지형</t>
        </is>
      </c>
    </row>
    <row r="20">
      <c r="B20" s="35" t="inlineStr">
        <is>
          <t>통합간편심사형</t>
        </is>
      </c>
    </row>
    <row r="21">
      <c r="B21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2026-09-25T13:52:49Z</dcterms:created>
  <dcterms:modified xmlns:dcterms="http://purl.org/dc/terms/" xmlns:xsi="http://www.w3.org/2001/XMLSchema-instance" xsi:type="dcterms:W3CDTF">2026-09-25T13:52:49Z</dcterms:modified>
</cp:coreProperties>
</file>