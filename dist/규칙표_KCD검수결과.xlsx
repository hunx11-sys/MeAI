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규칙 111개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치료행위 어휘" sheetId="4" state="visible" r:id="rId4"/>
    <sheet xmlns:r="http://schemas.openxmlformats.org/officeDocument/2006/relationships" name="질병코드 그룹표" sheetId="5" state="visible" r:id="rId5"/>
    <sheet xmlns:r="http://schemas.openxmlformats.org/officeDocument/2006/relationships" name="담보명에서 읽는 조건" sheetId="6" state="visible" r:id="rId6"/>
    <sheet xmlns:r="http://schemas.openxmlformats.org/officeDocument/2006/relationships" name="제외 상품·꼬리표" sheetId="7" state="visible" r:id="rId7"/>
    <sheet xmlns:r="http://schemas.openxmlformats.org/officeDocument/2006/relationships" name="KCD 검수 결과" sheetId="8" state="visible" r:id="rId8"/>
    <sheet xmlns:r="http://schemas.openxmlformats.org/officeDocument/2006/relationships" name="빠진 코드 59개" sheetId="9" state="visible" r:id="rId9"/>
    <sheet xmlns:r="http://schemas.openxmlformats.org/officeDocument/2006/relationships" name="이상 없던 항목" sheetId="10" state="visible" r:id="rId10"/>
    <sheet xmlns:r="http://schemas.openxmlformats.org/officeDocument/2006/relationships" name="2차 검수 · 검사비 항목" sheetId="11" state="visible" r:id="rId11"/>
  </sheets>
  <definedNames>
    <definedName name="_xlnm._FilterDatabase" localSheetId="1" hidden="1">'규칙 111개'!$A$2:$T$113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61A1F"/>
      <sz val="18"/>
    </font>
    <font>
      <name val="맑은 고딕"/>
      <color rgb="006B7280"/>
      <sz val="10"/>
    </font>
    <font>
      <name val="맑은 고딕"/>
      <color rgb="003A3F45"/>
      <sz val="10"/>
    </font>
    <font>
      <name val="맑은 고딕"/>
      <b val="1"/>
      <color rgb="00C12027"/>
      <sz val="11.5"/>
    </font>
    <font>
      <name val="맑은 고딕"/>
      <b val="1"/>
      <color rgb="00FFFFFF"/>
      <sz val="9.5"/>
    </font>
    <font>
      <name val="맑은 고딕"/>
      <i val="1"/>
      <color rgb="008A9099"/>
      <sz val="8"/>
    </font>
    <font>
      <name val="맑은 고딕"/>
      <color rgb="003A3F45"/>
      <sz val="9"/>
    </font>
    <font>
      <name val="맑은 고딕"/>
      <color rgb="00161A1F"/>
      <sz val="9"/>
    </font>
    <font>
      <name val="맑은 고딕"/>
      <b val="1"/>
      <color rgb="00161A1F"/>
      <sz val="9"/>
    </font>
    <font>
      <name val="맑은 고딕"/>
      <b val="1"/>
      <color rgb="00C12027"/>
      <sz val="9"/>
    </font>
    <font>
      <name val="맑은 고딕"/>
      <b val="1"/>
      <sz val="15"/>
    </font>
    <font>
      <name val="맑은 고딕"/>
      <color rgb="006B7280"/>
      <sz val="9"/>
    </font>
    <font>
      <name val="맑은 고딕"/>
      <sz val="9.5"/>
    </font>
    <font>
      <name val="맑은 고딕"/>
      <b val="1"/>
      <sz val="9.5"/>
    </font>
    <font>
      <name val="맑은 고딕"/>
      <color rgb="008E1319"/>
      <sz val="9"/>
    </font>
    <font>
      <name val="맑은 고딕"/>
      <color rgb="003A3F45"/>
      <sz val="9.5"/>
    </font>
    <font>
      <name val="맑은 고딕"/>
      <color rgb="00A6ACB2"/>
      <sz val="9.5"/>
    </font>
    <font>
      <name val="맑은 고딕"/>
      <b val="1"/>
      <color rgb="003A3F45"/>
      <sz val="9.5"/>
    </font>
  </fonts>
  <fills count="7">
    <fill>
      <patternFill/>
    </fill>
    <fill>
      <patternFill patternType="gray125"/>
    </fill>
    <fill>
      <patternFill patternType="solid">
        <fgColor rgb="001A2340"/>
      </patternFill>
    </fill>
    <fill>
      <patternFill patternType="solid">
        <fgColor rgb="00F4F6F8"/>
      </patternFill>
    </fill>
    <fill>
      <patternFill patternType="solid">
        <fgColor rgb="00FFFBE6"/>
      </patternFill>
    </fill>
    <fill>
      <patternFill patternType="solid">
        <fgColor rgb="00FBF8F5"/>
      </patternFill>
    </fill>
    <fill>
      <patternFill patternType="solid">
        <fgColor rgb="00FDF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center"/>
    </xf>
    <xf numFmtId="0" fontId="14" fillId="6" borderId="1" applyAlignment="1" pivotButton="0" quotePrefix="0" xfId="0">
      <alignment horizontal="left"/>
    </xf>
    <xf numFmtId="0" fontId="14" fillId="6" borderId="1" applyAlignment="1" pivotButton="0" quotePrefix="0" xfId="0">
      <alignment horizontal="center"/>
    </xf>
    <xf numFmtId="0" fontId="15" fillId="0" borderId="0" pivotButton="0" quotePrefix="0" xfId="0"/>
    <xf numFmtId="0" fontId="16" fillId="0" borderId="1" applyAlignment="1" pivotButton="0" quotePrefix="0" xfId="0">
      <alignment horizontal="left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center"/>
    </xf>
    <xf numFmtId="0" fontId="18" fillId="0" borderId="1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2" customWidth="1" min="2" max="2"/>
  </cols>
  <sheetData>
    <row r="2" ht="30" customHeight="1">
      <c r="B2" s="1" t="inlineStr">
        <is>
          <t>보험금 지급 규칙표 — 검수용</t>
        </is>
      </c>
    </row>
    <row r="3" ht="17" customHeight="1">
      <c r="B3" s="2" t="inlineStr">
        <is>
          <t>메리츠 스마트 제안서 생성기 v8.70 · rules.json 의 규칙 111줄</t>
        </is>
      </c>
    </row>
    <row r="4" ht="17" customHeight="1">
      <c r="B4" s="3" t="inlineStr"/>
    </row>
    <row r="5" ht="21" customHeight="1">
      <c r="B5" s="4" t="inlineStr">
        <is>
          <t>이 표가 하는 일</t>
        </is>
      </c>
    </row>
    <row r="6" ht="17" customHeight="1">
      <c r="B6" s="3" t="inlineStr">
        <is>
          <t>고객 설계서에서 담보명을 하나 읽으면, 이 표를 위에서부터 훑어 처음 걸리는 한 줄로 그 담보를 계산합니다.</t>
        </is>
      </c>
    </row>
    <row r="7" ht="17" customHeight="1">
      <c r="B7" s="3" t="inlineStr">
        <is>
          <t>두 줄에 다 걸려도 위에 있는 줄만 쓰기 때문에 「순번」이 곧 우선순위입니다. 순서를 바꾸면 계산이 바뀝니다.</t>
        </is>
      </c>
    </row>
    <row r="8" ht="17" customHeight="1">
      <c r="B8" s="3" t="inlineStr">
        <is>
          <t>어느 줄에도 걸리지 않으면 금액을 만들지 않고 사유만 남깁니다 — 틀린 금액이 아니라 빈칸으로 나타납니다.</t>
        </is>
      </c>
    </row>
    <row r="9" ht="17" customHeight="1">
      <c r="B9" s="3" t="inlineStr"/>
    </row>
    <row r="10" ht="21" customHeight="1">
      <c r="B10" s="4" t="inlineStr">
        <is>
          <t>무엇을 봐 주셔야 하나</t>
        </is>
      </c>
    </row>
    <row r="11" ht="17" customHeight="1">
      <c r="B11" s="3" t="inlineStr">
        <is>
          <t>1. 「담보명 조건」이 우리 담보를 제대로 집어내는지 — 빠진 담보, 엉뚱하게 걸리는 담보</t>
        </is>
      </c>
    </row>
    <row r="12" ht="17" customHeight="1">
      <c r="B12" s="3" t="inlineStr">
        <is>
          <t>2. 「지급 횟수」가 약관과 맞는지 — 최초 1회인데 연 1회로 적혀 있지 않은지</t>
        </is>
      </c>
    </row>
    <row r="13" ht="17" customHeight="1">
      <c r="B13" s="3" t="inlineStr">
        <is>
          <t>3. 「그 밖의 조건」이 약관 조건을 빠뜨리지 않았는지 — 병원 종별, 며칠 이상, 몇 종 이상</t>
        </is>
      </c>
    </row>
    <row r="14" ht="17" customHeight="1">
      <c r="B14" s="3" t="inlineStr">
        <is>
          <t>4. 「적용 담보 수」가 0인 줄 — 지금 마스터에 걸리는 담보가 없는 규칙입니다</t>
        </is>
      </c>
    </row>
    <row r="15" ht="17" customHeight="1">
      <c r="B15" s="3" t="inlineStr">
        <is>
          <t>5. 「지급 사유 문구」가 고객에게 그대로 인쇄되는 문장이므로 표현이 맞는지</t>
        </is>
      </c>
    </row>
    <row r="16" ht="17" customHeight="1">
      <c r="B16" s="3" t="inlineStr">
        <is>
          <t>※ 병원 종별·1인실·N일 이상·N일 한도·수술 종 같은 조건은 규칙에 적지 않습니다 — 담보명 글자에서 자동으로 읽습니다.</t>
        </is>
      </c>
    </row>
    <row r="17" ht="17" customHeight="1">
      <c r="B17" s="3" t="inlineStr">
        <is>
          <t xml:space="preserve">   그래서 「그 밖의 조건」이 비어 있어도 조건이 없는 것이 아닙니다. 「담보명에서 읽는 조건」 시트를 함께 봐 주세요.</t>
        </is>
      </c>
    </row>
    <row r="18" ht="17" customHeight="1">
      <c r="B18" s="3" t="inlineStr"/>
    </row>
    <row r="19" ht="21" customHeight="1">
      <c r="B19" s="4" t="inlineStr">
        <is>
          <t>적어 주시는 칸</t>
        </is>
      </c>
    </row>
    <row r="20" ht="17" customHeight="1">
      <c r="B20" s="3" t="inlineStr">
        <is>
          <t>맨 오른쪽 두 칸(「검수 결과」·「검수 의견」)만 비어 있습니다. 나머지는 프로그램이 읽어 쓴 값이라 여기서 고쳐도 계산에 반영되지 않습니다.</t>
        </is>
      </c>
    </row>
    <row r="21" ht="17" customHeight="1">
      <c r="B21" s="3" t="inlineStr">
        <is>
          <t>고쳐야 할 것은 의견 칸에 적어 주시면 규칙 파일에 반영하겠습니다.</t>
        </is>
      </c>
    </row>
    <row r="22" ht="17" customHeight="1">
      <c r="B22" s="3" t="inlineStr"/>
    </row>
    <row r="23" ht="21" customHeight="1">
      <c r="B23" s="4" t="inlineStr">
        <is>
          <t>질병코드(KCD)에 대하여</t>
        </is>
      </c>
    </row>
    <row r="24" ht="17" customHeight="1">
      <c r="B24" s="3" t="inlineStr">
        <is>
          <t>질병코드는 어떤 경우에도 프로그램이 만들어내지 않습니다. 약관 별표에서 뽑아 둔 목록(특약 마스터 · 그룹표)만 씁니다.</t>
        </is>
      </c>
    </row>
    <row r="25" ht="17" customHeight="1">
      <c r="B25" s="3" t="inlineStr">
        <is>
          <t>그래서 「질병코드 판정」이 "…와 대조"로 적힌 줄은, 그 대조표에 코드가 없으면 지급하지 않고 사유를 남깁니다.</t>
        </is>
      </c>
    </row>
    <row r="26" ht="17" customHeight="1">
      <c r="B26" s="3" t="inlineStr"/>
    </row>
    <row r="27" ht="21" customHeight="1">
      <c r="B27" s="4" t="inlineStr">
        <is>
          <t>시트 안내</t>
        </is>
      </c>
    </row>
    <row r="28" ht="17" customHeight="1">
      <c r="B28" s="3" t="inlineStr">
        <is>
          <t>규칙 111개 — 규칙표 본문. 한 줄이 규칙 하나입니다.</t>
        </is>
      </c>
    </row>
    <row r="29" ht="17" customHeight="1">
      <c r="B29" s="3" t="inlineStr">
        <is>
          <t>요약 — 보상 유형별·지급 횟수별 줄 수 (본문을 세는 수식으로 되어 있어 본문을 고치면 함께 바뜁니다).</t>
        </is>
      </c>
    </row>
    <row r="30" ht="17" customHeight="1">
      <c r="B30" s="3" t="inlineStr">
        <is>
          <t>치료행위 어휘 — 「필요한 치료행위」 칸에 쓰는 약어와 한글 이름.</t>
        </is>
      </c>
    </row>
    <row r="31" ht="17" customHeight="1">
      <c r="B31" s="3" t="inlineStr">
        <is>
          <t>질병코드 그룹표 — 「…그룹표와 대조」로 판정하는 줄이 참조하는 분류표 87종.</t>
        </is>
      </c>
    </row>
    <row r="32" ht="17" customHeight="1">
      <c r="B32" s="3" t="inlineStr">
        <is>
          <t>담보명에서 읽는 조건 — 규칙에 안 적혀 있고 담보명 글자에서 자동으로 읽는 조건들.</t>
        </is>
      </c>
    </row>
    <row r="33" ht="17" customHeight="1">
      <c r="B33" s="3" t="inlineStr">
        <is>
          <t>제외 상품·고지 꼬리표 — 지면을 붙이지 않는 상품, 담보명 뒤에서 떼어 내는 꼬리표.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9" customWidth="1" min="3" max="3"/>
    <col width="46" customWidth="1" min="4" max="4"/>
    <col width="26" customWidth="1" min="5" max="5"/>
    <col width="34" customWidth="1" min="6" max="6"/>
    <col width="13" customWidth="1" min="7" max="7"/>
    <col width="12" customWidth="1" min="8" max="8"/>
    <col width="24" customWidth="1" min="9" max="9"/>
    <col width="18" customWidth="1" min="10" max="10"/>
    <col width="11" customWidth="1" min="11" max="11"/>
    <col width="34" customWidth="1" min="12" max="12"/>
    <col width="12" customWidth="1" min="13" max="13"/>
    <col width="34" customWidth="1" min="14" max="14"/>
    <col width="40" customWidth="1" min="15" max="15"/>
    <col width="11" customWidth="1" min="16" max="16"/>
    <col width="40" customWidth="1" min="17" max="17"/>
    <col width="40" customWidth="1" min="18" max="18"/>
    <col width="11" customWidth="1" min="19" max="19"/>
    <col width="34" customWidth="1" min="20" max="20"/>
  </cols>
  <sheetData>
    <row r="1" ht="30" customHeight="1">
      <c r="A1" s="5" t="inlineStr">
        <is>
          <t>순번</t>
        </is>
      </c>
      <c r="B1" s="5" t="inlineStr">
        <is>
          <t>규칙 ID</t>
        </is>
      </c>
      <c r="C1" s="5" t="inlineStr">
        <is>
          <t>보상 유형</t>
        </is>
      </c>
      <c r="D1" s="5" t="inlineStr">
        <is>
          <t>담보명 조건</t>
        </is>
      </c>
      <c r="E1" s="5" t="inlineStr">
        <is>
          <t>제외 조건</t>
        </is>
      </c>
      <c r="F1" s="5" t="inlineStr">
        <is>
          <t>질병코드(KCD) 판정</t>
        </is>
      </c>
      <c r="G1" s="5" t="inlineStr">
        <is>
          <t>사례 금액 계산</t>
        </is>
      </c>
      <c r="H1" s="5" t="inlineStr">
        <is>
          <t>지급 횟수</t>
        </is>
      </c>
      <c r="I1" s="5" t="inlineStr">
        <is>
          <t>필요한 치료행위</t>
        </is>
      </c>
      <c r="J1" s="5" t="inlineStr">
        <is>
          <t>모두 필요한 치료행위</t>
        </is>
      </c>
      <c r="K1" s="5" t="inlineStr">
        <is>
          <t>질병 계열</t>
        </is>
      </c>
      <c r="L1" s="5" t="inlineStr">
        <is>
          <t>그 밖의 조건</t>
        </is>
      </c>
      <c r="M1" s="5" t="inlineStr">
        <is>
          <t>지면 묶음</t>
        </is>
      </c>
      <c r="N1" s="5" t="inlineStr">
        <is>
          <t>지급 사유 문구</t>
        </is>
      </c>
      <c r="O1" s="5" t="inlineStr">
        <is>
          <t>규칙 설명(메모)</t>
        </is>
      </c>
      <c r="P1" s="5" t="inlineStr">
        <is>
          <t>적용 담보 수</t>
        </is>
      </c>
      <c r="Q1" s="5" t="inlineStr">
        <is>
          <t>0건인 이유</t>
        </is>
      </c>
      <c r="R1" s="5" t="inlineStr">
        <is>
          <t>적용 담보 예시</t>
        </is>
      </c>
      <c r="S1" s="5" t="inlineStr">
        <is>
          <t>검수 결과</t>
        </is>
      </c>
      <c r="T1" s="5" t="inlineStr">
        <is>
          <t>검수 의견</t>
        </is>
      </c>
    </row>
    <row r="2" ht="34" customHeight="1">
      <c r="A2" s="6" t="inlineStr">
        <is>
          <t>위에서부터 검사하는 순서. 먼저 걸린 규칙 하나만 적용된다</t>
        </is>
      </c>
      <c r="B2" s="6" t="inlineStr">
        <is>
          <t>코드에서 쓰는 이름</t>
        </is>
      </c>
      <c r="C2" s="6" t="inlineStr">
        <is>
          <t>이 담보를 어떤 보상으로 계산할지</t>
        </is>
      </c>
      <c r="D2" s="6" t="inlineStr">
        <is>
          <t>담보명이 이 조건에 걸리면 이 규칙을 쓴다 (| 는 "또는")</t>
        </is>
      </c>
      <c r="E2" s="6" t="inlineStr">
        <is>
          <t>담보명이 여기에 걸리면 이 규칙을 쓰지 않고 다음 줄로 넘어간다</t>
        </is>
      </c>
      <c r="F2" s="6" t="inlineStr">
        <is>
          <t>고객의 질병코드를 무엇과 대조해 지급 여부를 정하는가</t>
        </is>
      </c>
      <c r="G2" s="6" t="inlineStr">
        <is>
          <t>치료사례 지면에서 금액을 계산하는 유형인가 (아니면 담보 분류만)</t>
        </is>
      </c>
      <c r="H2" s="6" t="inlineStr">
        <is>
          <t>한 사례에서 몇 번까지 지급하는가</t>
        </is>
      </c>
      <c r="I2" s="6" t="inlineStr">
        <is>
          <t>사례에서 이 치료를 받았어야 지급 (하나라도 해당되면)</t>
        </is>
      </c>
      <c r="J2" s="6" t="inlineStr">
        <is>
          <t>나열된 치료를 모두 받았을 때만 지급</t>
        </is>
      </c>
      <c r="K2" s="6" t="inlineStr">
        <is>
          <t>사례가 선언한 질병 계열 한정</t>
        </is>
      </c>
      <c r="L2" s="6" t="inlineStr">
        <is>
          <t>위 칸으로 안 적히는 조건들</t>
        </is>
      </c>
      <c r="M2" s="6" t="inlineStr">
        <is>
          <t>제안서에서 어느 묶음으로 보여주는가</t>
        </is>
      </c>
      <c r="N2" s="6" t="inlineStr">
        <is>
          <t>제안서에 "왜 지급되는가"로 인쇄되는 문장</t>
        </is>
      </c>
      <c r="O2" s="6" t="inlineStr">
        <is>
          <t>규칙을 넣은 이유·근거 (코드 주석)</t>
        </is>
      </c>
      <c r="P2" s="6" t="inlineStr">
        <is>
          <t>특약 마스터 1,758건 중 이 규칙에 걸리는 담보 수</t>
        </is>
      </c>
      <c r="Q2" s="6" t="inlineStr">
        <is>
          <t>적용 담보가 0건인 줄만 채워집니다 — 이름이 없는 것인지, 위쪽 줄이 먼저 잡아가는 것인지</t>
        </is>
      </c>
      <c r="R2" s="6" t="inlineStr">
        <is>
          <t>실제로 걸린 담보 이름 (최대 5건)</t>
        </is>
      </c>
      <c r="S2" s="6" t="inlineStr">
        <is>
          <t>검수자가 적는 칸 — O / X / 보류</t>
        </is>
      </c>
      <c r="T2" s="6" t="inlineStr">
        <is>
          <t>검수자가 적는 칸</t>
        </is>
      </c>
    </row>
    <row r="3">
      <c r="A3" s="7" t="n">
        <v>1</v>
      </c>
      <c r="B3" s="8" t="inlineStr">
        <is>
          <t>skip_admin</t>
        </is>
      </c>
      <c r="C3" s="9" t="inlineStr">
        <is>
          <t>계산 제외 (제도성·조건부)</t>
        </is>
      </c>
      <c r="D3" s="8" t="inlineStr">
        <is>
          <t>지정대리청구|보험료납입지원|납입면제|건강관리서비스|보험료할인</t>
        </is>
      </c>
      <c r="E3" s="10" t="inlineStr"/>
      <c r="F3" s="10" t="inlineStr">
        <is>
          <t>질병코드 조건 없음 — 담보명·치료행위로만 판정</t>
        </is>
      </c>
      <c r="G3" s="7" t="inlineStr">
        <is>
          <t>분류만 (금액 계산 안 함)</t>
        </is>
      </c>
      <c r="H3" s="7" t="inlineStr">
        <is>
          <t>—</t>
        </is>
      </c>
      <c r="I3" s="10" t="inlineStr"/>
      <c r="J3" s="10" t="inlineStr"/>
      <c r="K3" s="10" t="inlineStr"/>
      <c r="L3" s="10" t="inlineStr"/>
      <c r="M3" s="10" t="inlineStr"/>
      <c r="N3" s="10" t="inlineStr"/>
      <c r="O3" s="10" t="inlineStr">
        <is>
          <t>제도성·서비스 특약 (보험금 지급 담보 아님)</t>
        </is>
      </c>
      <c r="P3" s="7" t="n">
        <v>9</v>
      </c>
      <c r="Q3" s="10" t="inlineStr"/>
      <c r="R3" s="10" t="inlineStr">
        <is>
          <t>보험료납입지원(유사암진단)(2종)
보험료납입지원(유사암진단)(3종)
보험료납입지원(유사암진단)
운전자용 보험료납입면제진단비 (교통상해50% 및 자동차사고부상(1-7급))
비운전자용 보험료납입면제진단비 (교통상해50% 및 자동차사고부상(1-7급))</t>
        </is>
      </c>
      <c r="S3" s="11" t="inlineStr"/>
      <c r="T3" s="11" t="inlineStr"/>
    </row>
    <row r="4">
      <c r="A4" s="12" t="n">
        <v>2</v>
      </c>
      <c r="B4" s="13" t="inlineStr">
        <is>
          <t>tx_hc</t>
        </is>
      </c>
      <c r="C4" s="14" t="inlineStr">
        <is>
          <t>치료비 (치료행위)</t>
        </is>
      </c>
      <c r="D4" s="13" t="inlineStr">
        <is>
          <t>(대장용종제거수술비|장루\(인공항문\)조성및폐쇄수술비|체외충격파쇄석술치료비|특정NGS유전자패널검사비|자궁경부원추형절제술치료비|특정단순창상봉합술치료비|견봉성형술및회전근개파열술치료비)</t>
        </is>
      </c>
      <c r="E4" s="15" t="inlineStr"/>
      <c r="F4" s="15" t="inlineStr">
        <is>
          <t>약관 별표 진료행위(수가)코드와 대조</t>
        </is>
      </c>
      <c r="G4" s="12" t="inlineStr">
        <is>
          <t>계산함</t>
        </is>
      </c>
      <c r="H4" s="12" t="inlineStr">
        <is>
          <t>연 1회</t>
        </is>
      </c>
      <c r="I4" s="15" t="inlineStr"/>
      <c r="J4" s="15" t="inlineStr"/>
      <c r="K4" s="15" t="inlineStr"/>
      <c r="L4" s="15" t="inlineStr"/>
      <c r="M4" s="15" t="inlineStr">
        <is>
          <t>치료비</t>
        </is>
      </c>
      <c r="N4" s="15" t="inlineStr">
        <is>
          <t>약관 별표 진료행위(수가코드)에 해당하는 치료 · 연간 1회</t>
        </is>
      </c>
      <c r="O4" s="15" t="inlineStr">
        <is>
          <t>진료행위(수가)코드로 정한 치료비 — 별표 수가코드 ∩ 사례 단계 수가코드로 판정(v8.14)</t>
        </is>
      </c>
      <c r="P4" s="12" t="n">
        <v>11</v>
      </c>
      <c r="Q4" s="15" t="inlineStr"/>
      <c r="R4" s="15" t="inlineStr">
        <is>
          <t>갱신형 특정NGS유전자패널검사비 (급여,연간1회한)
갱신형 특정NGS유전자패널검사비 (급여,연간1회한)
갱신형 체외충격파쇄석술치료비 (급여,연간1회한)
특정단순창상봉합술치료비 (급여,연간3회한)
견봉성형술 및 회전근개파열술치료비(급여,연간1회한)</t>
        </is>
      </c>
      <c r="S4" s="11" t="inlineStr"/>
      <c r="T4" s="11" t="inlineStr"/>
    </row>
    <row r="5">
      <c r="A5" s="7" t="n">
        <v>3</v>
      </c>
      <c r="B5" s="8" t="inlineStr">
        <is>
          <t>dx_cancer_group30</t>
        </is>
      </c>
      <c r="C5" s="9" t="inlineStr">
        <is>
          <t>진단비</t>
        </is>
      </c>
      <c r="D5" s="8" t="inlineStr">
        <is>
          <t>암종별\(30종\)통합암진단비</t>
        </is>
      </c>
      <c r="E5" s="10" t="inlineStr"/>
      <c r="F5" s="10" t="inlineStr">
        <is>
          <t>질병코드 그룹표(rules.json)와 대조</t>
        </is>
      </c>
      <c r="G5" s="7" t="inlineStr">
        <is>
          <t>계산함</t>
        </is>
      </c>
      <c r="H5" s="7" t="inlineStr">
        <is>
          <t>최초 1회</t>
        </is>
      </c>
      <c r="I5" s="10" t="inlineStr"/>
      <c r="J5" s="10" t="inlineStr"/>
      <c r="K5" s="10" t="inlineStr">
        <is>
          <t>암</t>
        </is>
      </c>
      <c r="L5" s="10" t="inlineStr"/>
      <c r="M5" s="10" t="inlineStr">
        <is>
          <t>진단비</t>
        </is>
      </c>
      <c r="N5" s="10" t="inlineStr">
        <is>
          <t>약관 별표 암종구분에 해당하는 암 진단확정 · 암종별 각각 최초 1회</t>
        </is>
      </c>
      <c r="O5" s="10" t="inlineStr">
        <is>
          <t>암종별(30종)통합암진단비 — 세부급부 [암종구분]을 kcd_groups(별표24/43)로 판정 · 다른 원발암이 생기면 그 암종에서 다시 지급(v8.12)</t>
        </is>
      </c>
      <c r="P5" s="7" t="n">
        <v>124</v>
      </c>
      <c r="Q5" s="10" t="inlineStr"/>
      <c r="R5" s="10" t="inlineStr">
        <is>
          <t>암종별(30종)통합암진단비(유사암제외)
암종별(30종)통합암진단비(유사암제외)[입술,혀 및 구강암]
암종별(30종)통합암진단비(유사암제외)[주침샘,편도,인두 및 구강기타암]
암종별(30종)통합암진단비(유사암제외)[특정소화기암Ⅱ]
암종별(30종)통합암진단비(유사암제외)[위암]</t>
        </is>
      </c>
      <c r="S5" s="11" t="inlineStr"/>
      <c r="T5" s="11" t="inlineStr"/>
    </row>
    <row r="6">
      <c r="A6" s="12" t="n">
        <v>4</v>
      </c>
      <c r="B6" s="13" t="inlineStr">
        <is>
          <t>dx_recur</t>
        </is>
      </c>
      <c r="C6" s="14" t="inlineStr">
        <is>
          <t>진단비</t>
        </is>
      </c>
      <c r="D6" s="13" t="inlineStr">
        <is>
          <t>재진단암진단비|재발암및잔여암진단비</t>
        </is>
      </c>
      <c r="E6" s="15" t="inlineStr"/>
      <c r="F6" s="15" t="inlineStr">
        <is>
          <t>암 — 유사암 제외 (약관 별표 암분류로 판정)</t>
        </is>
      </c>
      <c r="G6" s="12" t="inlineStr">
        <is>
          <t>계산함</t>
        </is>
      </c>
      <c r="H6" s="12" t="inlineStr">
        <is>
          <t>최초 1회</t>
        </is>
      </c>
      <c r="I6" s="15" t="inlineStr"/>
      <c r="J6" s="15" t="inlineStr"/>
      <c r="K6" s="15" t="inlineStr">
        <is>
          <t>암</t>
        </is>
      </c>
      <c r="L6" s="15" t="inlineStr">
        <is>
          <t>재진단 단계에서만 (첫 진단 단계에서는 계산 안 함)</t>
        </is>
      </c>
      <c r="M6" s="15" t="inlineStr">
        <is>
          <t>진단비</t>
        </is>
      </c>
      <c r="N6" s="15" t="inlineStr">
        <is>
          <t>첫번째암 진단 후 대기기간(1·2·5년) 경과 뒤 재진단·재발 시</t>
        </is>
      </c>
      <c r="O6" s="15" t="inlineStr">
        <is>
          <t>재진단암·재발암및잔여암 진단비 — 첫 진단 단계에서는 0원, 사례의 재진단 단계에서만 지급(v8.12)</t>
        </is>
      </c>
      <c r="P6" s="12" t="n">
        <v>8</v>
      </c>
      <c r="Q6" s="15" t="inlineStr"/>
      <c r="R6" s="15" t="inlineStr">
        <is>
          <t>재진단암진단비(1년 대기형)
갱신형 재진단암진단비(1년 대기형)
재진단암진단비(5년대기형,기타피부암,갑상선암및전립선암포함)
재진단암진단비(2년대기형)
재진단암진단비(5회한,1년대기형,기타피부암,갑상선암및전립선암포함)</t>
        </is>
      </c>
      <c r="S6" s="11" t="inlineStr"/>
      <c r="T6" s="11" t="inlineStr"/>
    </row>
    <row r="7">
      <c r="A7" s="7" t="n">
        <v>5</v>
      </c>
      <c r="B7" s="8" t="inlineStr">
        <is>
          <t>day_daycare</t>
        </is>
      </c>
      <c r="C7" s="9" t="inlineStr">
        <is>
          <t>입원·통원 일당</t>
        </is>
      </c>
      <c r="D7" s="8" t="inlineStr">
        <is>
          <t>낮병동입원일당</t>
        </is>
      </c>
      <c r="E7" s="10" t="inlineStr"/>
      <c r="F7" s="10" t="inlineStr">
        <is>
          <t>암 또는 유사암</t>
        </is>
      </c>
      <c r="G7" s="7" t="inlineStr">
        <is>
          <t>계산함</t>
        </is>
      </c>
      <c r="H7" s="7" t="inlineStr">
        <is>
          <t>받을 때마다 (기본값)</t>
        </is>
      </c>
      <c r="I7" s="10" t="inlineStr"/>
      <c r="J7" s="10" t="inlineStr"/>
      <c r="K7" s="10" t="inlineStr"/>
      <c r="L7" s="10" t="inlineStr">
        <is>
          <t>지급 단위 : 낮병동 입원 1일당</t>
        </is>
      </c>
      <c r="M7" s="10" t="inlineStr">
        <is>
          <t>입원일당</t>
        </is>
      </c>
      <c r="N7" s="10" t="inlineStr"/>
      <c r="O7" s="10" t="inlineStr">
        <is>
          <t>암직접치료 낮병동입원일당(급여) — 낮병동 입원 1일당 · 연간 한도는 담보명 'N일한도'에서(v8.12)</t>
        </is>
      </c>
      <c r="P7" s="7" t="n">
        <v>2</v>
      </c>
      <c r="Q7" s="10" t="inlineStr"/>
      <c r="R7" s="10" t="inlineStr">
        <is>
          <t>종합병원암직접치료낮병동입원일당(급여,1일1회한,연간20일한도)
종합병원암직접치료낮병동입원일당(급여,1일1회한,연간20일한도)</t>
        </is>
      </c>
      <c r="S7" s="11" t="inlineStr"/>
      <c r="T7" s="11" t="inlineStr"/>
    </row>
    <row r="8">
      <c r="A8" s="12" t="n">
        <v>6</v>
      </c>
      <c r="B8" s="13" t="inlineStr">
        <is>
          <t>nonmed_drive</t>
        </is>
      </c>
      <c r="C8" s="14" t="inlineStr">
        <is>
          <t>의료사례 비대상 (운전자·재물·법률·배상·치아)</t>
        </is>
      </c>
      <c r="D8" s="13" t="inlineStr">
        <is>
          <t>벌금|법률비용|교통사고처리지원|변호사선임|형사합의|면허정지|면허취소|자동차사고부상치료비|차량손해|렌트|견인|운반비용|취득세|보복운전|자동차사고성형|자전거사고|대중교통이용중|변호사|소송|출석비용</t>
        </is>
      </c>
      <c r="E8" s="15" t="inlineStr"/>
      <c r="F8" s="15" t="inlineStr">
        <is>
          <t>질병코드 조건 없음 — 담보명·치료행위로만 판정</t>
        </is>
      </c>
      <c r="G8" s="12" t="inlineStr">
        <is>
          <t>분류만 (금액 계산 안 함)</t>
        </is>
      </c>
      <c r="H8" s="12" t="inlineStr">
        <is>
          <t>—</t>
        </is>
      </c>
      <c r="I8" s="15" t="inlineStr"/>
      <c r="J8" s="15" t="inlineStr"/>
      <c r="K8" s="15" t="inlineStr"/>
      <c r="L8" s="15" t="inlineStr"/>
      <c r="M8" s="15" t="inlineStr"/>
      <c r="N8" s="15" t="inlineStr"/>
      <c r="O8" s="15" t="inlineStr">
        <is>
          <t>운전자·교통 비용담보</t>
        </is>
      </c>
      <c r="P8" s="12" t="n">
        <v>55</v>
      </c>
      <c r="Q8" s="15" t="inlineStr"/>
      <c r="R8" s="15" t="inlineStr">
        <is>
          <t>민사소송법률비용
의료사고법률비용
행정소송법률비용
대중교통이용중 교통상해후유장해(3-100%)
의료사고법률비용</t>
        </is>
      </c>
      <c r="S8" s="11" t="inlineStr"/>
      <c r="T8" s="11" t="inlineStr"/>
    </row>
    <row r="9">
      <c r="A9" s="7" t="n">
        <v>7</v>
      </c>
      <c r="B9" s="8" t="inlineStr">
        <is>
          <t>nonmed_prop</t>
        </is>
      </c>
      <c r="C9" s="9" t="inlineStr">
        <is>
          <t>의료사례 비대상 (운전자·재물·법률·배상·치아)</t>
        </is>
      </c>
      <c r="D9" s="8" t="inlineStr">
        <is>
          <t>가전제품|누출손해|임시거주비|붕괴|스프링클러|도난|골프용품|홀인원|알바트로스|직거래사기|명예훼손|층간소음|강력범죄|배상책임|재물|화재|풍수재|배터리|차액지원</t>
        </is>
      </c>
      <c r="E9" s="10" t="inlineStr"/>
      <c r="F9" s="10" t="inlineStr">
        <is>
          <t>질병코드 조건 없음 — 담보명·치료행위로만 판정</t>
        </is>
      </c>
      <c r="G9" s="7" t="inlineStr">
        <is>
          <t>분류만 (금액 계산 안 함)</t>
        </is>
      </c>
      <c r="H9" s="7" t="inlineStr">
        <is>
          <t>—</t>
        </is>
      </c>
      <c r="I9" s="10" t="inlineStr"/>
      <c r="J9" s="10" t="inlineStr"/>
      <c r="K9" s="10" t="inlineStr"/>
      <c r="L9" s="10" t="inlineStr"/>
      <c r="M9" s="10" t="inlineStr"/>
      <c r="N9" s="10" t="inlineStr"/>
      <c r="O9" s="10" t="inlineStr">
        <is>
          <t>재물·배상·생활 비용담보</t>
        </is>
      </c>
      <c r="P9" s="7" t="n">
        <v>46</v>
      </c>
      <c r="Q9" s="10" t="inlineStr"/>
      <c r="R9" s="10" t="inlineStr">
        <is>
          <t>20대가전제품 고장수리비용
12대가전제품 고장수리비용
신8대가전제품 고장수리비용
갱신형 가족일상생활중배상책임(Ⅳ)
강력범죄피해(일상생활중)</t>
        </is>
      </c>
      <c r="S9" s="11" t="inlineStr"/>
      <c r="T9" s="11" t="inlineStr"/>
    </row>
    <row r="10">
      <c r="A10" s="12" t="n">
        <v>8</v>
      </c>
      <c r="B10" s="13" t="inlineStr">
        <is>
          <t>nonmed_dental</t>
        </is>
      </c>
      <c r="C10" s="14" t="inlineStr">
        <is>
          <t>의료사례 비대상 (운전자·재물·법률·배상·치아)</t>
        </is>
      </c>
      <c r="D10" s="13" t="inlineStr">
        <is>
          <t>치아|임플란트|보철|크라운|인레이|온레이|틀니|치조골|충전치료|치주</t>
        </is>
      </c>
      <c r="E10" s="15" t="inlineStr">
        <is>
          <t>치아파절|치아탈구</t>
        </is>
      </c>
      <c r="F10" s="15" t="inlineStr">
        <is>
          <t>질병코드 조건 없음 — 담보명·치료행위로만 판정</t>
        </is>
      </c>
      <c r="G10" s="12" t="inlineStr">
        <is>
          <t>분류만 (금액 계산 안 함)</t>
        </is>
      </c>
      <c r="H10" s="12" t="inlineStr">
        <is>
          <t>—</t>
        </is>
      </c>
      <c r="I10" s="15" t="inlineStr"/>
      <c r="J10" s="15" t="inlineStr"/>
      <c r="K10" s="15" t="inlineStr"/>
      <c r="L10" s="15" t="inlineStr"/>
      <c r="M10" s="15" t="inlineStr"/>
      <c r="N10" s="15" t="inlineStr"/>
      <c r="O10" s="15" t="inlineStr">
        <is>
          <t>치아·구강 담보 — '치아파절 제외/포함'은 골절·상해수술 담보의 꼬리말이지 치아 담보가 아니다(v8.61)</t>
        </is>
      </c>
      <c r="P10" s="12" t="n">
        <v>30</v>
      </c>
      <c r="Q10" s="15" t="inlineStr"/>
      <c r="R10" s="15" t="inlineStr">
        <is>
          <t>자동차사고치아보철치료비
갱신형 치아보철치료비보장(임플란트 무제한)(2년감액형)
갱신형 치아보철치료비보장(임플란트 무제한)(1년감액형)
갱신형 치아보철치료비보장(임플란트 연간3개한)(2년감액형)
갱신형 치아보철치료비보장(임플란트 연간3개한)(1년감액형)</t>
        </is>
      </c>
      <c r="S10" s="11" t="inlineStr"/>
      <c r="T10" s="11" t="inlineStr"/>
    </row>
    <row r="11">
      <c r="A11" s="7" t="n">
        <v>9</v>
      </c>
      <c r="B11" s="8" t="inlineStr">
        <is>
          <t>skip_rate_table</t>
        </is>
      </c>
      <c r="C11" s="9" t="inlineStr">
        <is>
          <t>계산 제외 (제도성·조건부)</t>
        </is>
      </c>
      <c r="D11" s="8" t="inlineStr">
        <is>
          <t>신골절치료비|신깁스치료비|상해흉터복원수술비|한방치료비</t>
        </is>
      </c>
      <c r="E11" s="10" t="inlineStr"/>
      <c r="F11" s="10" t="inlineStr">
        <is>
          <t>질병코드 조건 없음 — 담보명·치료행위로만 판정</t>
        </is>
      </c>
      <c r="G11" s="7" t="inlineStr">
        <is>
          <t>분류만 (금액 계산 안 함)</t>
        </is>
      </c>
      <c r="H11" s="7" t="inlineStr">
        <is>
          <t>—</t>
        </is>
      </c>
      <c r="I11" s="10" t="inlineStr"/>
      <c r="J11" s="10" t="inlineStr"/>
      <c r="K11" s="10" t="inlineStr"/>
      <c r="L11" s="10" t="inlineStr">
        <is>
          <t>기록 사유 : 가입금액에 약관 지급률표·회당 비율·cm당 금액을 곱해 정하는 담보(신골절치료비·신깁스치료비 = 별표 지급률표 × 가입금액, 상해흉터복원수술비 = 수술 1cm당 14만원·7만원(500만원 한도), 한방치료비 = 첩약 1회당 100%·약침 1회당 20%) — 지급률표가 데이터에 없어 사례 계산 제외</t>
        </is>
      </c>
      <c r="M11" s="10" t="inlineStr"/>
      <c r="N11" s="10" t="inlineStr"/>
      <c r="O11" s="10" t="inlineStr">
        <is>
          <t>지급률·회당·cm당 금액 담보 — 가입금액 전액이 붙지 않게 계산 제외 + 사유 기록(v8.61)</t>
        </is>
      </c>
      <c r="P11" s="7" t="n">
        <v>16</v>
      </c>
      <c r="Q11" s="10" t="inlineStr"/>
      <c r="R11" s="10" t="inlineStr">
        <is>
          <t>신골절치료비(치아파절포함)
상해흉터복원수술비
신골절치료비(치아파절포함)
갱신형 신골절치료비(치아파절포함)
신깁스치료비</t>
        </is>
      </c>
      <c r="S11" s="11" t="inlineStr"/>
      <c r="T11" s="11" t="inlineStr"/>
    </row>
    <row r="12">
      <c r="A12" s="12" t="n">
        <v>10</v>
      </c>
      <c r="B12" s="13" t="inlineStr">
        <is>
          <t>skip_conditional</t>
        </is>
      </c>
      <c r="C12" s="14" t="inlineStr">
        <is>
          <t>계산 제외 (제도성·조건부)</t>
        </is>
      </c>
      <c r="D12" s="13" t="inlineStr">
        <is>
          <t>호스피스|생식세포동결|안전사고피해치료비|중대한재생불량성빈혈진단비</t>
        </is>
      </c>
      <c r="E12" s="15" t="inlineStr"/>
      <c r="F12" s="15" t="inlineStr">
        <is>
          <t>질병코드 조건 없음 — 담보명·치료행위로만 판정</t>
        </is>
      </c>
      <c r="G12" s="12" t="inlineStr">
        <is>
          <t>분류만 (금액 계산 안 함)</t>
        </is>
      </c>
      <c r="H12" s="12" t="inlineStr">
        <is>
          <t>—</t>
        </is>
      </c>
      <c r="I12" s="15" t="inlineStr"/>
      <c r="J12" s="15" t="inlineStr"/>
      <c r="K12" s="15" t="inlineStr"/>
      <c r="L12" s="15" t="inlineStr">
        <is>
          <t>기록 사유 : 질병코드가 아니라 상태·행위 조건으로 지급사유를 정하는 담보(말기암 호스피스전문기관 입원형·가정형 치료, 암 진단 후 생식세포 동결, 폭력사고 확인서, 재생불량성빈혈의 혈액검사 수치 기준) — 사례로 단정할 수 없어 계산 제외</t>
        </is>
      </c>
      <c r="M12" s="15" t="inlineStr"/>
      <c r="N12" s="15" t="inlineStr"/>
      <c r="O12" s="15" t="inlineStr">
        <is>
          <t>상태·행위 조건부 담보 — 계산 제외 + 사유 기록(v8.61)</t>
        </is>
      </c>
      <c r="P12" s="12" t="n">
        <v>4</v>
      </c>
      <c r="Q12" s="15" t="inlineStr"/>
      <c r="R12" s="15" t="inlineStr">
        <is>
          <t>안전사고피해치료비
중대한재생불량성빈혈진단비
말기암호스피스완화치료(입원형및가정형)
갱신형암진단후생식세포동결보존비(최초1회한)</t>
        </is>
      </c>
      <c r="S12" s="11" t="inlineStr"/>
      <c r="T12" s="11" t="inlineStr"/>
    </row>
    <row r="13">
      <c r="A13" s="7" t="n">
        <v>11</v>
      </c>
      <c r="B13" s="8" t="inlineStr">
        <is>
          <t>skip_subhc_shared</t>
        </is>
      </c>
      <c r="C13" s="9" t="inlineStr">
        <is>
          <t>계산 제외 (제도성·조건부)</t>
        </is>
      </c>
      <c r="D13" s="8" t="inlineStr">
        <is>
          <t>특정급여시술치료비|특정비급여,신의료기술치료비|철심제거수술비|부목치료비|^(신경차단술|단순창상봉합술),연간1회한$</t>
        </is>
      </c>
      <c r="E13" s="10" t="inlineStr"/>
      <c r="F13" s="10" t="inlineStr">
        <is>
          <t>질병코드 조건 없음 — 담보명·치료행위로만 판정</t>
        </is>
      </c>
      <c r="G13" s="7" t="inlineStr">
        <is>
          <t>분류만 (금액 계산 안 함)</t>
        </is>
      </c>
      <c r="H13" s="7" t="inlineStr">
        <is>
          <t>—</t>
        </is>
      </c>
      <c r="I13" s="10" t="inlineStr"/>
      <c r="J13" s="10" t="inlineStr"/>
      <c r="K13" s="10" t="inlineStr"/>
      <c r="L13" s="10" t="inlineStr">
        <is>
          <t>기록 사유 : 약관은 세부보장(흡인·천자 / 신경차단술 / 화상처치 / 도수정복술 / 단순창상봉합술 / 기타시술, 1종~4종, 철심제거·부목)마다 다른 수가코드를 열거하지만 특약 마스터의 세부보장 수가코드 목록이 부모 담보 전체 목록과 같아 세부별로 가를 수 없다 — 한 시술에 세부보장 전부가 지급되지 않게 계산 제외 (tool.html 별표 구분별로 나눈 뒤 kcd:'hc' 판정으로 전환)</t>
        </is>
      </c>
      <c r="M13" s="10" t="inlineStr"/>
      <c r="N13" s="10" t="inlineStr"/>
      <c r="O13" s="10" t="inlineStr">
        <is>
          <t>세부보장별 수가코드 담보 — 마스터 목록이 나뉘기 전까지 계산 제외 + 사유 기록(v8.61)</t>
        </is>
      </c>
      <c r="P13" s="7" t="n">
        <v>53</v>
      </c>
      <c r="Q13" s="10" t="inlineStr"/>
      <c r="R13" s="10" t="inlineStr">
        <is>
          <t>상해특정급여시술치료비
상해특정급여시술치료비[흡인,천자,절개,배액,배농,연간1회한]
상해특정급여시술치료비[신경차단술,연간1회한]
상해특정급여시술치료비[화상처치,연간1회한]
상해특정급여시술치료비[도수정복술,연간1회한]</t>
        </is>
      </c>
      <c r="S13" s="11" t="inlineStr"/>
      <c r="T13" s="11" t="inlineStr"/>
    </row>
    <row r="14">
      <c r="A14" s="12" t="n">
        <v>12</v>
      </c>
      <c r="B14" s="13" t="inlineStr">
        <is>
          <t>skip_procedure_defined</t>
        </is>
      </c>
      <c r="C14" s="14" t="inlineStr">
        <is>
          <t>계산 제외 (제도성·조건부)</t>
        </is>
      </c>
      <c r="D14" s="13" t="inlineStr">
        <is>
          <t>조혈모세포이식수술비|5대장기이식수술비|인공관절수술비|각막이식수술비|유방절제수술복원치료비|7대장기이식대기등록</t>
        </is>
      </c>
      <c r="E14" s="15" t="inlineStr"/>
      <c r="F14" s="15" t="inlineStr">
        <is>
          <t>질병코드 조건 없음 — 담보명·치료행위로만 판정</t>
        </is>
      </c>
      <c r="G14" s="12" t="inlineStr">
        <is>
          <t>분류만 (금액 계산 안 함)</t>
        </is>
      </c>
      <c r="H14" s="12" t="inlineStr">
        <is>
          <t>—</t>
        </is>
      </c>
      <c r="I14" s="15" t="inlineStr"/>
      <c r="J14" s="15" t="inlineStr"/>
      <c r="K14" s="15" t="inlineStr"/>
      <c r="L14" s="15" t="inlineStr">
        <is>
          <t>기록 사유 : 약관이 질병코드가 아니라 시술 자체(조혈모세포이식·5대장기이식·인공관절치환술·각막이식·유방전절제(Total Mastectomy)·이식대기등록)로 지급사유를 정하고 마스터에 수가코드 목록도 없다 — 사례에 그 시술 표시가 없어 계산 제외</t>
        </is>
      </c>
      <c r="M14" s="15" t="inlineStr"/>
      <c r="N14" s="15" t="inlineStr"/>
      <c r="O14" s="15" t="inlineStr">
        <is>
          <t>시술로 정하는 수술비(코드·수가 목록 없음) — 계산 제외 + 사유 기록(v8.61)</t>
        </is>
      </c>
      <c r="P14" s="12" t="n">
        <v>8</v>
      </c>
      <c r="Q14" s="15" t="inlineStr"/>
      <c r="R14" s="15" t="inlineStr">
        <is>
          <t>조혈모세포이식수술비
5대장기이식수술비
유방절제수술복원치료비(부분절제제외)
인공관절수술비
각막이식수술비</t>
        </is>
      </c>
      <c r="S14" s="11" t="inlineStr"/>
      <c r="T14" s="11" t="inlineStr"/>
    </row>
    <row r="15">
      <c r="A15" s="7" t="n">
        <v>13</v>
      </c>
      <c r="B15" s="8" t="inlineStr">
        <is>
          <t>tx_cast</t>
        </is>
      </c>
      <c r="C15" s="9" t="inlineStr">
        <is>
          <t>치료비 (치료행위)</t>
        </is>
      </c>
      <c r="D15" s="8" t="inlineStr">
        <is>
          <t>^(갱신형)?깁스치료비$|\[깁스치료비\]$</t>
        </is>
      </c>
      <c r="E15" s="10" t="inlineStr"/>
      <c r="F15" s="10" t="inlineStr">
        <is>
          <t>질병코드 조건 없음 — 담보명·치료행위로만 판정</t>
        </is>
      </c>
      <c r="G15" s="7" t="inlineStr">
        <is>
          <t>계산함</t>
        </is>
      </c>
      <c r="H15" s="7" t="inlineStr">
        <is>
          <t>받을 때마다</t>
        </is>
      </c>
      <c r="I15" s="10" t="inlineStr">
        <is>
          <t>※ 이름 미정  (cast)</t>
        </is>
      </c>
      <c r="J15" s="10" t="inlineStr"/>
      <c r="K15" s="10" t="inlineStr"/>
      <c r="L15" s="10" t="inlineStr"/>
      <c r="M15" s="10" t="inlineStr">
        <is>
          <t>치료비</t>
        </is>
      </c>
      <c r="N15" s="10" t="inlineStr">
        <is>
          <t>깁스(Cast) 치료</t>
        </is>
      </c>
      <c r="O15" s="10" t="inlineStr">
        <is>
          <t>깁스치료비 — 질병코드 조건 없음(약관 제1조 '깁스(Cast)치료를 받았을 때'), 사례 단계에 깁스 치료(cast)가 있을 때만 계산(v8.61)</t>
        </is>
      </c>
      <c r="P15" s="7" t="n">
        <v>4</v>
      </c>
      <c r="Q15" s="10" t="inlineStr"/>
      <c r="R15" s="10" t="inlineStr">
        <is>
          <t>깁스치료비
깁스치료비
통합골절치료비[깁스치료비]
깁스치료비</t>
        </is>
      </c>
      <c r="S15" s="11" t="inlineStr"/>
      <c r="T15" s="11" t="inlineStr"/>
    </row>
    <row r="16">
      <c r="A16" s="12" t="n">
        <v>14</v>
      </c>
      <c r="B16" s="13" t="inlineStr">
        <is>
          <t>tx_trauma_center</t>
        </is>
      </c>
      <c r="C16" s="14" t="inlineStr">
        <is>
          <t>치료비 (치료행위)</t>
        </is>
      </c>
      <c r="D16" s="13" t="inlineStr">
        <is>
          <t>통합외상치료비</t>
        </is>
      </c>
      <c r="E16" s="15" t="inlineStr"/>
      <c r="F16" s="15" t="inlineStr">
        <is>
          <t>질병코드 조건 없음 — 담보명·치료행위로만 판정</t>
        </is>
      </c>
      <c r="G16" s="12" t="inlineStr">
        <is>
          <t>계산함</t>
        </is>
      </c>
      <c r="H16" s="12" t="inlineStr">
        <is>
          <t>연 1회 (기본값)</t>
        </is>
      </c>
      <c r="I16" s="15" t="inlineStr">
        <is>
          <t>권역외상센터 진료  (trauma_center)</t>
        </is>
      </c>
      <c r="J16" s="15" t="inlineStr"/>
      <c r="K16" s="15" t="inlineStr"/>
      <c r="L16" s="15" t="inlineStr">
        <is>
          <t>원인 한정 : 상해만</t>
        </is>
      </c>
      <c r="M16" s="15" t="inlineStr"/>
      <c r="N16" s="15" t="inlineStr">
        <is>
          <t>권역외상센터 중등증 이상 외상(ISS 9점 이상) 치료 · 1사고당 1회</t>
        </is>
      </c>
      <c r="O16" s="15" t="inlineStr">
        <is>
          <t>통합외상치료비 — 질병코드 조건 없음(ISS 점수 기준), 사례에 권역외상센터 치료가 있을 때만 계산(v8.9)</t>
        </is>
      </c>
      <c r="P16" s="12" t="n">
        <v>3</v>
      </c>
      <c r="Q16" s="15" t="inlineStr"/>
      <c r="R16" s="15" t="inlineStr">
        <is>
          <t>통합외상치료비(권역외상센터)
통합외상치료비(권역외상센터)
통합외상치료비(권역외상센터)</t>
        </is>
      </c>
      <c r="S16" s="11" t="inlineStr"/>
      <c r="T16" s="11" t="inlineStr"/>
    </row>
    <row r="17">
      <c r="A17" s="7" t="n">
        <v>15</v>
      </c>
      <c r="B17" s="8" t="inlineStr">
        <is>
          <t>care_nano</t>
        </is>
      </c>
      <c r="C17" s="9" t="inlineStr">
        <is>
          <t>간병</t>
        </is>
      </c>
      <c r="D17" s="8" t="inlineStr">
        <is>
          <t>간호[·ㆍ]?간병통합</t>
        </is>
      </c>
      <c r="E17" s="10" t="inlineStr"/>
      <c r="F17" s="10" t="inlineStr">
        <is>
          <t>질병코드 조건 없음 — 담보명·치료행위로만 판정</t>
        </is>
      </c>
      <c r="G17" s="7" t="inlineStr">
        <is>
          <t>분류만 (금액 계산 안 함)</t>
        </is>
      </c>
      <c r="H17" s="7" t="inlineStr">
        <is>
          <t>—</t>
        </is>
      </c>
      <c r="I17" s="10" t="inlineStr"/>
      <c r="J17" s="10" t="inlineStr"/>
      <c r="K17" s="10" t="inlineStr"/>
      <c r="L17" s="10" t="inlineStr">
        <is>
          <t>종류 : 간호·간병통합서비스
지급 방식 : 하루</t>
        </is>
      </c>
      <c r="M17" s="10" t="inlineStr"/>
      <c r="N17" s="10" t="inlineStr"/>
      <c r="O17" s="10" t="inlineStr">
        <is>
          <t>간호·간병통합병실 사용 일당</t>
        </is>
      </c>
      <c r="P17" s="7" t="n">
        <v>21</v>
      </c>
      <c r="Q17" s="10" t="inlineStr"/>
      <c r="R17" s="10" t="inlineStr">
        <is>
          <t>간호·간병통합서비스 사용 일반상해입원일당(181일이상)(요양,정신,한방병원제외)
간호·간병통합서비스 사용 일반상해입원일당(1일이상 180일한도)
간호·간병통합서비스 사용 질병입원일당(181일이상)(요양,정신,한방병원제외)
간호·간병통합서비스 사용 질병입원일당(1일이상 180일한도)
갱신형 간병인지원 일반상해입원일당(간 호·간병통합서비스 사용추가보장)(1일이상 180일한도)</t>
        </is>
      </c>
      <c r="S17" s="11" t="inlineStr"/>
      <c r="T17" s="11" t="inlineStr"/>
    </row>
    <row r="18">
      <c r="A18" s="12" t="n">
        <v>16</v>
      </c>
      <c r="B18" s="13" t="inlineStr">
        <is>
          <t>care_use</t>
        </is>
      </c>
      <c r="C18" s="14" t="inlineStr">
        <is>
          <t>간병</t>
        </is>
      </c>
      <c r="D18" s="13" t="inlineStr">
        <is>
          <t>간병인사용</t>
        </is>
      </c>
      <c r="E18" s="15" t="inlineStr"/>
      <c r="F18" s="15" t="inlineStr">
        <is>
          <t>질병코드 조건 없음 — 담보명·치료행위로만 판정</t>
        </is>
      </c>
      <c r="G18" s="12" t="inlineStr">
        <is>
          <t>분류만 (금액 계산 안 함)</t>
        </is>
      </c>
      <c r="H18" s="12" t="inlineStr">
        <is>
          <t>—</t>
        </is>
      </c>
      <c r="I18" s="15" t="inlineStr"/>
      <c r="J18" s="15" t="inlineStr"/>
      <c r="K18" s="15" t="inlineStr"/>
      <c r="L18" s="15" t="inlineStr">
        <is>
          <t>종류 : 간병인사용일당
지급 방식 : 하루</t>
        </is>
      </c>
      <c r="M18" s="15" t="inlineStr"/>
      <c r="N18" s="15" t="inlineStr"/>
      <c r="O18" s="15" t="inlineStr">
        <is>
          <t>간병인 사용비용 일당</t>
        </is>
      </c>
      <c r="P18" s="12" t="n">
        <v>51</v>
      </c>
      <c r="Q18" s="15" t="inlineStr"/>
      <c r="R18" s="15" t="inlineStr">
        <is>
          <t>간병인사용 일반상해입원일당(plus)(1일이상 180일한도)(요양병원제외)
간병인사용 일반상해입원일당(plus)(181일이상)(요양,정신,한방병원제외)
간병인사용 일반상해입원일당(1일이상 180일한도)(요양병원)
간병인사용 일반상해입원일당(plus)(1일이상 180일한도)(요양병원제외)(체증형)
간병인사용 일반상해입원일당(1일이상 180일한도)(요양병원)(체증형)</t>
        </is>
      </c>
      <c r="S18" s="11" t="inlineStr"/>
      <c r="T18" s="11" t="inlineStr"/>
    </row>
    <row r="19">
      <c r="A19" s="7" t="n">
        <v>17</v>
      </c>
      <c r="B19" s="8" t="inlineStr">
        <is>
          <t>care_support</t>
        </is>
      </c>
      <c r="C19" s="9" t="inlineStr">
        <is>
          <t>간병</t>
        </is>
      </c>
      <c r="D19" s="8" t="inlineStr">
        <is>
          <t>간병인지원</t>
        </is>
      </c>
      <c r="E19" s="10" t="inlineStr"/>
      <c r="F19" s="10" t="inlineStr">
        <is>
          <t>질병코드 조건 없음 — 담보명·치료행위로만 판정</t>
        </is>
      </c>
      <c r="G19" s="7" t="inlineStr">
        <is>
          <t>분류만 (금액 계산 안 함)</t>
        </is>
      </c>
      <c r="H19" s="7" t="inlineStr">
        <is>
          <t>—</t>
        </is>
      </c>
      <c r="I19" s="10" t="inlineStr"/>
      <c r="J19" s="10" t="inlineStr"/>
      <c r="K19" s="10" t="inlineStr"/>
      <c r="L19" s="10" t="inlineStr">
        <is>
          <t>종류 : 간병인지원
지급 방식 : 현물</t>
        </is>
      </c>
      <c r="M19" s="10" t="inlineStr"/>
      <c r="N19" s="10" t="inlineStr"/>
      <c r="O19" s="10" t="inlineStr">
        <is>
          <t>간병인 직접 지원(현물)</t>
        </is>
      </c>
      <c r="P19" s="7" t="n">
        <v>30</v>
      </c>
      <c r="Q19" s="10" t="inlineStr"/>
      <c r="R19" s="10" t="inlineStr">
        <is>
          <t>갱신형 간병인지원 요양성특정질병입원일당(Ⅰ)(181일이상)(요양병원)
갱신형 간병인지원 질병입원일당(Ⅰ)(1일이상 180일한도)
갱신형 간병인지원 일반상해입원일당 (Ⅰ)(181일이상)(요양,정신,한방병원제외)
갱신형 간병인지원 질병입원일당(Ⅰ)(181일이상)(요양,정신,한방병원제외)
갱신형 간병인지원 질병입원일당(Ⅰ)(1일 이상 30일한도)</t>
        </is>
      </c>
      <c r="S19" s="11" t="inlineStr"/>
      <c r="T19" s="11" t="inlineStr"/>
    </row>
    <row r="20">
      <c r="A20" s="12" t="n">
        <v>18</v>
      </c>
      <c r="B20" s="13" t="inlineStr">
        <is>
          <t>care_cost</t>
        </is>
      </c>
      <c r="C20" s="14" t="inlineStr">
        <is>
          <t>간병</t>
        </is>
      </c>
      <c r="D20" s="13" t="inlineStr">
        <is>
          <t>간병인비용지원</t>
        </is>
      </c>
      <c r="E20" s="15" t="inlineStr"/>
      <c r="F20" s="15" t="inlineStr">
        <is>
          <t>질병코드 조건 없음 — 담보명·치료행위로만 판정</t>
        </is>
      </c>
      <c r="G20" s="12" t="inlineStr">
        <is>
          <t>분류만 (금액 계산 안 함)</t>
        </is>
      </c>
      <c r="H20" s="12" t="inlineStr">
        <is>
          <t>—</t>
        </is>
      </c>
      <c r="I20" s="15" t="inlineStr"/>
      <c r="J20" s="15" t="inlineStr"/>
      <c r="K20" s="15" t="inlineStr"/>
      <c r="L20" s="15" t="inlineStr">
        <is>
          <t>종류 : 간병인비용지원
지급 방식 : 정액</t>
        </is>
      </c>
      <c r="M20" s="15" t="inlineStr"/>
      <c r="N20" s="15" t="inlineStr"/>
      <c r="O20" s="15" t="inlineStr">
        <is>
          <t>간병인비용 정액 지원</t>
        </is>
      </c>
      <c r="P20" s="12" t="n">
        <v>16</v>
      </c>
      <c r="Q20" s="15" t="inlineStr"/>
      <c r="R20" s="15" t="inlineStr">
        <is>
          <t>일반상해입원 간병인비용지원(간병인비용 200만원 이상)(요양병원제외)
일반상해입원 간병인비용지원(간병인비용 500만원 이상)(요양병원제외)
일반상해입원 간병인비용지원(간병인비용 1,000만원 이상)(요양병원제외)
일반상해입원 간병인비용지원(간병인비용 2,000만원 이상)(요양병원제외)
질병입원 간병인비용지원(간병인비용 200만원 이상)(요양병원제외)</t>
        </is>
      </c>
      <c r="S20" s="11" t="inlineStr"/>
      <c r="T20" s="11" t="inlineStr"/>
    </row>
    <row r="21">
      <c r="A21" s="7" t="n">
        <v>19</v>
      </c>
      <c r="B21" s="8" t="inlineStr">
        <is>
          <t>care_ltc</t>
        </is>
      </c>
      <c r="C21" s="9" t="inlineStr">
        <is>
          <t>간병</t>
        </is>
      </c>
      <c r="D21" s="8" t="inlineStr">
        <is>
          <t>치매간병비|장기요양급여금|치매생활비</t>
        </is>
      </c>
      <c r="E21" s="10" t="inlineStr"/>
      <c r="F21" s="10" t="inlineStr">
        <is>
          <t>질병코드 조건 없음 — 담보명·치료행위로만 판정</t>
        </is>
      </c>
      <c r="G21" s="7" t="inlineStr">
        <is>
          <t>분류만 (금액 계산 안 함)</t>
        </is>
      </c>
      <c r="H21" s="7" t="inlineStr">
        <is>
          <t>—</t>
        </is>
      </c>
      <c r="I21" s="10" t="inlineStr"/>
      <c r="J21" s="10" t="inlineStr"/>
      <c r="K21" s="10" t="inlineStr"/>
      <c r="L21" s="10" t="inlineStr">
        <is>
          <t>종류 : 치매·장기요양
지급 방식 : 정액</t>
        </is>
      </c>
      <c r="M21" s="10" t="inlineStr"/>
      <c r="N21" s="10" t="inlineStr"/>
      <c r="O21" s="10" t="inlineStr">
        <is>
          <t>치매·장기요양 간병</t>
        </is>
      </c>
      <c r="P21" s="7" t="n">
        <v>6</v>
      </c>
      <c r="Q21" s="10" t="inlineStr"/>
      <c r="R21" s="10" t="inlineStr">
        <is>
          <t>장기요양급여금(1-4등급)
장기요양급여금(1-2등급)
장기요양급여금(1등급)
중증치매간병비
경증이상 치매간병비</t>
        </is>
      </c>
      <c r="S21" s="11" t="inlineStr"/>
      <c r="T21" s="11" t="inlineStr"/>
    </row>
    <row r="22">
      <c r="A22" s="12" t="n">
        <v>20</v>
      </c>
      <c r="B22" s="13" t="inlineStr">
        <is>
          <t>life_death</t>
        </is>
      </c>
      <c r="C22" s="14" t="inlineStr">
        <is>
          <t>사망·후유장해</t>
        </is>
      </c>
      <c r="D22" s="13" t="inlineStr">
        <is>
          <t>사망</t>
        </is>
      </c>
      <c r="E22" s="15" t="inlineStr"/>
      <c r="F22" s="15" t="inlineStr">
        <is>
          <t>질병코드 조건 없음 — 담보명·치료행위로만 판정</t>
        </is>
      </c>
      <c r="G22" s="12" t="inlineStr">
        <is>
          <t>분류만 (금액 계산 안 함)</t>
        </is>
      </c>
      <c r="H22" s="12" t="inlineStr">
        <is>
          <t>—</t>
        </is>
      </c>
      <c r="I22" s="15" t="inlineStr"/>
      <c r="J22" s="15" t="inlineStr"/>
      <c r="K22" s="15" t="inlineStr"/>
      <c r="L22" s="15" t="inlineStr">
        <is>
          <t>종류 : 사망</t>
        </is>
      </c>
      <c r="M22" s="15" t="inlineStr"/>
      <c r="N22" s="15" t="inlineStr"/>
      <c r="O22" s="15" t="inlineStr">
        <is>
          <t>사망보험금</t>
        </is>
      </c>
      <c r="P22" s="12" t="n">
        <v>19</v>
      </c>
      <c r="Q22" s="15" t="inlineStr"/>
      <c r="R22" s="15" t="inlineStr">
        <is>
          <t>질병사망
일반상해사망
일반상해사망(추가)
갱신형 일반상해사망
질병사망</t>
        </is>
      </c>
      <c r="S22" s="11" t="inlineStr"/>
      <c r="T22" s="11" t="inlineStr"/>
    </row>
    <row r="23">
      <c r="A23" s="7" t="n">
        <v>21</v>
      </c>
      <c r="B23" s="8" t="inlineStr">
        <is>
          <t>life_disability</t>
        </is>
      </c>
      <c r="C23" s="9" t="inlineStr">
        <is>
          <t>사망·후유장해</t>
        </is>
      </c>
      <c r="D23" s="8" t="inlineStr">
        <is>
          <t>후유장해</t>
        </is>
      </c>
      <c r="E23" s="10" t="inlineStr"/>
      <c r="F23" s="10" t="inlineStr">
        <is>
          <t>질병코드 조건 없음 — 담보명·치료행위로만 판정</t>
        </is>
      </c>
      <c r="G23" s="7" t="inlineStr">
        <is>
          <t>분류만 (금액 계산 안 함)</t>
        </is>
      </c>
      <c r="H23" s="7" t="inlineStr">
        <is>
          <t>—</t>
        </is>
      </c>
      <c r="I23" s="10" t="inlineStr"/>
      <c r="J23" s="10" t="inlineStr"/>
      <c r="K23" s="10" t="inlineStr"/>
      <c r="L23" s="10" t="inlineStr">
        <is>
          <t>종류 : 후유장해</t>
        </is>
      </c>
      <c r="M23" s="10" t="inlineStr"/>
      <c r="N23" s="10" t="inlineStr"/>
      <c r="O23" s="10" t="inlineStr">
        <is>
          <t>후유장해보험금</t>
        </is>
      </c>
      <c r="P23" s="7" t="n">
        <v>68</v>
      </c>
      <c r="Q23" s="10" t="inlineStr"/>
      <c r="R23" s="10" t="inlineStr">
        <is>
          <t>일반상해80%이상후유장해
질병80%이상후유장해
일반상해80%이상후유장해 생활자금
일반상해50%이상후유장해 생활자금
일반상해50%이상후유장해</t>
        </is>
      </c>
      <c r="S23" s="11" t="inlineStr"/>
      <c r="T23" s="11" t="inlineStr"/>
    </row>
    <row r="24">
      <c r="A24" s="12" t="n">
        <v>22</v>
      </c>
      <c r="B24" s="13" t="inlineStr">
        <is>
          <t>itc_unknown</t>
        </is>
      </c>
      <c r="C24" s="14" t="inlineStr">
        <is>
          <t>계산 제외 + 사유 기록</t>
        </is>
      </c>
      <c r="D24" s="13" t="inlineStr">
        <is>
          <t>통합치료비</t>
        </is>
      </c>
      <c r="E24" s="15" t="inlineStr"/>
      <c r="F24" s="15" t="inlineStr">
        <is>
          <t>질병코드 조건 없음 — 담보명·치료행위로만 판정</t>
        </is>
      </c>
      <c r="G24" s="12" t="inlineStr">
        <is>
          <t>분류만 (금액 계산 안 함)</t>
        </is>
      </c>
      <c r="H24" s="12" t="inlineStr">
        <is>
          <t>—</t>
        </is>
      </c>
      <c r="I24" s="15" t="inlineStr"/>
      <c r="J24" s="15" t="inlineStr"/>
      <c r="K24" s="15" t="inlineStr"/>
      <c r="L24" s="15" t="inlineStr"/>
      <c r="M24" s="15" t="inlineStr"/>
      <c r="N24" s="15" t="inlineStr"/>
      <c r="O24" s="15" t="inlineStr">
        <is>
          <t xml:space="preserve">
[v8.3: 약관 지급금액표(product_data.json)에 연동되지 않은 통합치료비. 정액 치료비(tx_etc_care)로 흘러가 오계산되던 것을 계산 제외+로그로 바꿈]</t>
        </is>
      </c>
      <c r="P24" s="12" t="n">
        <v>46</v>
      </c>
      <c r="Q24" s="15" t="inlineStr"/>
      <c r="R24" s="15" t="inlineStr">
        <is>
          <t>상해 통합치료비(실속형)
특정순환계질환 통합치료비
상급종합병원,권역심뇌혈관질환센터 특정순환계질환 통합치료비
암 통합치료비(기본형)
암 통합치료비(실속형)</t>
        </is>
      </c>
      <c r="S24" s="11" t="inlineStr"/>
      <c r="T24" s="11" t="inlineStr"/>
    </row>
    <row r="25">
      <c r="A25" s="7" t="n">
        <v>23</v>
      </c>
      <c r="B25" s="8" t="inlineStr">
        <is>
          <t>tx_thromb_combo</t>
        </is>
      </c>
      <c r="C25" s="9" t="inlineStr">
        <is>
          <t>치료비 (치료행위)</t>
        </is>
      </c>
      <c r="D25" s="8" t="inlineStr">
        <is>
          <t>특정혈전치료비</t>
        </is>
      </c>
      <c r="E25" s="10" t="inlineStr"/>
      <c r="F25" s="10" t="inlineStr">
        <is>
          <t>특약 마스터(db.json)에 실린 약관 KCD 목록과 대조</t>
        </is>
      </c>
      <c r="G25" s="7" t="inlineStr">
        <is>
          <t>계산함</t>
        </is>
      </c>
      <c r="H25" s="7" t="inlineStr">
        <is>
          <t>연 1회</t>
        </is>
      </c>
      <c r="I25" s="10" t="inlineStr">
        <is>
          <t>혈전용해치료(약물)  (thromb)
기계적 혈전제거술  (thrombectomy)</t>
        </is>
      </c>
      <c r="J25" s="10" t="inlineStr">
        <is>
          <t>혈전용해치료(약물)  (thromb)
기계적 혈전제거술  (thrombectomy)</t>
        </is>
      </c>
      <c r="K25" s="10" t="inlineStr"/>
      <c r="L25" s="10" t="inlineStr"/>
      <c r="M25" s="10" t="inlineStr">
        <is>
          <t>치료비</t>
        </is>
      </c>
      <c r="N25" s="10" t="inlineStr">
        <is>
          <t>혈전용해치료 + 급여 기계적혈전제거술을 모두 받은 때 · 연간 1회</t>
        </is>
      </c>
      <c r="O25" s="10" t="inlineStr">
        <is>
          <t>뇌혈관·허혈성심장질환 특정혈전치료비 — 두 치료를 모두 받아야 지급(약관 제1조)</t>
        </is>
      </c>
      <c r="P25" s="7" t="n">
        <v>6</v>
      </c>
      <c r="Q25" s="10" t="inlineStr"/>
      <c r="R25" s="10" t="inlineStr">
        <is>
          <t>뇌혈관질환진단및치료비Ⅱ[뇌혈관질환 특정혈전치료비(연간1회한)]
허혈성심장질환진단및치료비Ⅱ[허혈성심장질환 특정혈전치료비(연간1회한)]
뇌혈관질환진단및치료비[뇌혈관질환 특정혈전치료비(연간1회한)]
허혈성심장질환진단및치료비[허혈성심장질환 특정혈전치료비(연간1회한)]
뇌혈관질환진단및치료비Ⅱ[뇌혈관질환 특정혈전치료비(연간1회한)]</t>
        </is>
      </c>
      <c r="S25" s="11" t="inlineStr"/>
      <c r="T25" s="11" t="inlineStr"/>
    </row>
    <row r="26">
      <c r="A26" s="12" t="n">
        <v>24</v>
      </c>
      <c r="B26" s="13" t="inlineStr">
        <is>
          <t>dx_cancer_stage4</t>
        </is>
      </c>
      <c r="C26" s="14" t="inlineStr">
        <is>
          <t>계산 제외 (제도성·조건부)</t>
        </is>
      </c>
      <c r="D26" s="13" t="inlineStr">
        <is>
          <t>원격전이포함4기</t>
        </is>
      </c>
      <c r="E26" s="15" t="inlineStr"/>
      <c r="F26" s="15" t="inlineStr">
        <is>
          <t>질병코드 조건 없음 — 담보명·치료행위로만 판정</t>
        </is>
      </c>
      <c r="G26" s="12" t="inlineStr">
        <is>
          <t>분류만 (금액 계산 안 함)</t>
        </is>
      </c>
      <c r="H26" s="12" t="inlineStr">
        <is>
          <t>—</t>
        </is>
      </c>
      <c r="I26" s="15" t="inlineStr"/>
      <c r="J26" s="15" t="inlineStr"/>
      <c r="K26" s="15" t="inlineStr"/>
      <c r="L26" s="15" t="inlineStr">
        <is>
          <t>기록 사유 : 원격전이(4기) 진단 시에만 지급되는 조건부 진단비 — 일반 암 진단 사례에서는 계산에서 제외</t>
        </is>
      </c>
      <c r="M26" s="15" t="inlineStr"/>
      <c r="N26" s="15" t="inlineStr"/>
      <c r="O26" s="15" t="inlineStr">
        <is>
          <t>원격전이포함 4기 진단비 — 병기 조건부(사례 계산 제외)</t>
        </is>
      </c>
      <c r="P26" s="12" t="n">
        <v>18</v>
      </c>
      <c r="Q26" s="15" t="inlineStr"/>
      <c r="R26" s="15" t="inlineStr">
        <is>
          <t>원격전이포함 4기 통합암진단비(유사암제외)
원격전이포함 4기 기타피부암 및 갑상선암진단비
원격전이포함 4기 통합암진단비(유사암제외)
원격전이포함 4기 기타피부암 및 갑상선암진단비
원격전이포함4기통합암진단비(유사암제외)</t>
        </is>
      </c>
      <c r="S26" s="11" t="inlineStr"/>
      <c r="T26" s="11" t="inlineStr"/>
    </row>
    <row r="27">
      <c r="A27" s="7" t="n">
        <v>25</v>
      </c>
      <c r="B27" s="8" t="inlineStr">
        <is>
          <t>tx_cancer_main_group</t>
        </is>
      </c>
      <c r="C27" s="9" t="inlineStr">
        <is>
          <t>치료비 (치료행위)</t>
        </is>
      </c>
      <c r="D27" s="8" t="inlineStr">
        <is>
          <t>통합암주요치료비</t>
        </is>
      </c>
      <c r="E27" s="10" t="inlineStr"/>
      <c r="F27" s="10" t="inlineStr">
        <is>
          <t>질병코드 그룹표(rules.json)와 대조</t>
        </is>
      </c>
      <c r="G27" s="7" t="inlineStr">
        <is>
          <t>계산함</t>
        </is>
      </c>
      <c r="H27" s="7" t="inlineStr">
        <is>
          <t>연 1회</t>
        </is>
      </c>
      <c r="I27" s="10" t="inlineStr">
        <is>
          <t>수술  (surg)
항암 화학약물치료(급여)  (chemo)
항암 방사선치료  (rad)</t>
        </is>
      </c>
      <c r="J27" s="10" t="inlineStr"/>
      <c r="K27" s="10" t="inlineStr">
        <is>
          <t>암</t>
        </is>
      </c>
      <c r="L27" s="10" t="inlineStr"/>
      <c r="M27" s="10" t="inlineStr">
        <is>
          <t>암 치료</t>
        </is>
      </c>
      <c r="N27" s="10" t="inlineStr">
        <is>
          <t>약관 별표 암종구분에 해당하는 암의 주요치료(수술·항암약물·항암방사선) 중 하나 이상 · 연간 1회</t>
        </is>
      </c>
      <c r="O27" s="10" t="inlineStr">
        <is>
          <t>통합암 주요치료비 — 암종 그룹별 · 주요치료 1가지만 받아도 연간 1회</t>
        </is>
      </c>
      <c r="P27" s="7" t="n">
        <v>64</v>
      </c>
      <c r="Q27" s="10" t="inlineStr"/>
      <c r="R27" s="10" t="inlineStr">
        <is>
          <t>통합암 주요치료비(연간1회한, 10년간)
통합암 주요치료비(체증형)(연간1회한, 10년간)
상급종합병원,국립암센터 통합암 주요치료비(연간1회한, 10년간)
상급종합병원,국립암센터 통합암 주요 치료비(체증형)(연간1회한, 10년간)
통합암 주요치료비(연간1회한, 10년간)</t>
        </is>
      </c>
      <c r="S27" s="11" t="inlineStr"/>
      <c r="T27" s="11" t="inlineStr"/>
    </row>
    <row r="28">
      <c r="A28" s="12" t="n">
        <v>26</v>
      </c>
      <c r="B28" s="13" t="inlineStr">
        <is>
          <t>skip_parent_composite</t>
        </is>
      </c>
      <c r="C28" s="14" t="inlineStr">
        <is>
          <t>계산 제외 (제도성·조건부)</t>
        </is>
      </c>
      <c r="D28" s="13" t="inlineStr">
        <is>
          <t>^(\(\d+년갱신\))?(갱신형)?(통합전이암진단비|통합골절치료비|신화상치료비|통합암진단비\(전이포함\)\(유사암제외\)|통합암진단비\(유사암제외\)|특정질환3대치료비|암진단및치료비Ⅱ|통합항암방사선약물치료비\(최대8회한\)|표적항암약물허가치료비\(연간약물종류개수별\)(\(비급여\(전액본인부담포함\)\))?\(연간1회한\))$</t>
        </is>
      </c>
      <c r="E28" s="15" t="inlineStr"/>
      <c r="F28" s="15" t="inlineStr">
        <is>
          <t>질병코드 조건 없음 — 담보명·치료행위로만 판정</t>
        </is>
      </c>
      <c r="G28" s="12" t="inlineStr">
        <is>
          <t>분류만 (금액 계산 안 함)</t>
        </is>
      </c>
      <c r="H28" s="12" t="inlineStr">
        <is>
          <t>—</t>
        </is>
      </c>
      <c r="I28" s="15" t="inlineStr"/>
      <c r="J28" s="15" t="inlineStr"/>
      <c r="K28" s="15" t="inlineStr"/>
      <c r="L28" s="15" t="inlineStr">
        <is>
          <t>기록 사유 : 세부보장 여러 개로 구성된 부모 담보(통합전이암진단비 4개 · 통합골절치료비 5개 · 통합암진단비(전이포함)(유사암제외)·통합암진단비(유사암제외) 5개) — 약관 제1조가 지급사유를 세부보장마다 따로 정하므로 설계서의 세부보장 행(예 통합암진단비(전이포함)(유사암제외)(특정소화기암(전이포함)진단비) · 통합전이암진단비[림프절전이암(암(유사암제외))진단비])으로 각각 계산하고 부모 행은 계산하지 않음. 마스터의 부모 KCD 목록은 세부보장 목록의 합집합이라 부모 이름으로 계산하면 원발암 진단만으로 전이암진단비가, 골절 진단만으로 골절치료비가 붙는다(v8.62)</t>
        </is>
      </c>
      <c r="M28" s="15" t="inlineStr"/>
      <c r="N28" s="15" t="inlineStr"/>
      <c r="O28" s="15" t="inlineStr">
        <is>
          <t>세부보장으로 구성된 부모 담보 — 부모 행은 계산 제외 + 사유 기록(v8.62)</t>
        </is>
      </c>
      <c r="P28" s="12" t="n">
        <v>29</v>
      </c>
      <c r="Q28" s="15" t="inlineStr"/>
      <c r="R28" s="15" t="inlineStr">
        <is>
          <t>신화상치료비
통합암진단비 (전이포함)(유사암제외)
갱신형 표적항암약물허가치료비(연간 약물종류 개수별)(연간1회한)
갱신형 표적항암약물허가치료비(연간 약물종류 개수별)(비급여(전액본인부담 포함))(연간1회한)
통합암진단비(유사암제외)</t>
        </is>
      </c>
      <c r="S28" s="11" t="inlineStr"/>
      <c r="T28" s="11" t="inlineStr"/>
    </row>
    <row r="29">
      <c r="A29" s="7" t="n">
        <v>27</v>
      </c>
      <c r="B29" s="8" t="inlineStr">
        <is>
          <t>skip_cancer_complication</t>
        </is>
      </c>
      <c r="C29" s="9" t="inlineStr">
        <is>
          <t>계산 제외 (제도성·조건부)</t>
        </is>
      </c>
      <c r="D29" s="8" t="inlineStr">
        <is>
          <t>항암방사선(약물)?치료후\d+대합병증진단비|^\d+대(중증|경증)?합병증진단비$</t>
        </is>
      </c>
      <c r="E29" s="10" t="inlineStr"/>
      <c r="F29" s="10" t="inlineStr">
        <is>
          <t>질병코드 조건 없음 — 담보명·치료행위로만 판정</t>
        </is>
      </c>
      <c r="G29" s="7" t="inlineStr">
        <is>
          <t>분류만 (금액 계산 안 함)</t>
        </is>
      </c>
      <c r="H29" s="7" t="inlineStr">
        <is>
          <t>—</t>
        </is>
      </c>
      <c r="I29" s="10" t="inlineStr"/>
      <c r="J29" s="10" t="inlineStr"/>
      <c r="K29" s="10" t="inlineStr"/>
      <c r="L29" s="10" t="inlineStr">
        <is>
          <t>기록 사유 : 암(유사암제외)·기타피부암·갑상선암 진단 후 항암방사선(약물)치료를 받고 그 날부터 1년(폐렴·뇌부종은 90일) 이내에 합병증(2대 심장질환·폐색전증 / 3대 호중구감소증·혈소판감소증·신경병증 / 5대중증·4대경증)으로 진단확정될 때 지급되는 조건부 담보(또93·또103 제2조) — 마스터 KCD 목록에 대상 암 코드와 합병증 코드가 함께 실려 있어 암 진단만으로 전액이 계산되던 것을 막는다. 사례로 단정할 수 없어 계산 제외(v8.62)</t>
        </is>
      </c>
      <c r="M29" s="10" t="inlineStr"/>
      <c r="N29" s="10" t="inlineStr"/>
      <c r="O29" s="10" t="inlineStr">
        <is>
          <t>항암치료 후 합병증진단비 — 치료·기간 조건부(사례 계산 제외)(v8.62)</t>
        </is>
      </c>
      <c r="P29" s="7" t="n">
        <v>6</v>
      </c>
      <c r="Q29" s="10" t="inlineStr"/>
      <c r="R29" s="10" t="inlineStr">
        <is>
          <t>항암방사선치료후9대합병증진단비
항암방사선치료후9대합병증진단비[5대중증합병증진단비]
항암방사선치료후9대합병증진단비[4대경증합병증진단비]
항암방사선약물치료후5대합병증진단비
항암방사선약물치료후5대합병증진단비[2대합병증진단비]</t>
        </is>
      </c>
      <c r="S29" s="11" t="inlineStr"/>
      <c r="T29" s="11" t="inlineStr"/>
    </row>
    <row r="30">
      <c r="A30" s="12" t="n">
        <v>28</v>
      </c>
      <c r="B30" s="13" t="inlineStr">
        <is>
          <t>dx_cancer_group</t>
        </is>
      </c>
      <c r="C30" s="14" t="inlineStr">
        <is>
          <t>진단비</t>
        </is>
      </c>
      <c r="D30" s="13" t="inlineStr">
        <is>
          <t>(특정소액암|특정소화기암|15대특정암|14대특정암|10대특정암|4대고액암)</t>
        </is>
      </c>
      <c r="E30" s="15" t="inlineStr">
        <is>
          <t>주요치료비|치료비|생활비|생활지원비|입원일당|통원일당|수술비|원격전이포함4기</t>
        </is>
      </c>
      <c r="F30" s="15" t="inlineStr">
        <is>
          <t>질병코드 그룹표(rules.json)와 대조</t>
        </is>
      </c>
      <c r="G30" s="12" t="inlineStr">
        <is>
          <t>계산함</t>
        </is>
      </c>
      <c r="H30" s="12" t="inlineStr">
        <is>
          <t>최초 1회</t>
        </is>
      </c>
      <c r="I30" s="15" t="inlineStr"/>
      <c r="J30" s="15" t="inlineStr"/>
      <c r="K30" s="15" t="inlineStr">
        <is>
          <t>암</t>
        </is>
      </c>
      <c r="L30" s="15" t="inlineStr"/>
      <c r="M30" s="15" t="inlineStr">
        <is>
          <t>진단비</t>
        </is>
      </c>
      <c r="N30" s="15" t="inlineStr">
        <is>
          <t>약관 별표 대상 암 진단확정 · 최초 1회</t>
        </is>
      </c>
      <c r="O30" s="15" t="inlineStr">
        <is>
          <t>암종 그룹 진단비(별표 암종구분) — 치료비·생활비·4기 조건부 담보는 제외
[v8.3: \d+대특정암 → 별표13 그룹명으로 한정(16대특정암진단비가 dx_cancer_sub·마스터 KCD로 판정되도록)]</t>
        </is>
      </c>
      <c r="P30" s="16" t="n">
        <v>0</v>
      </c>
      <c r="Q30" s="17" t="inlineStr">
        <is>
          <t>이름이 걸리는 담보 4건이 있으나 위쪽 줄이 먼저 잡아감 : 「dx_cancer_group30」 4건
→ 이 줄이 실제로 쓰이는지, 순서를 올려야 하는지 확인 필요</t>
        </is>
      </c>
      <c r="R30" s="15" t="inlineStr"/>
      <c r="S30" s="11" t="inlineStr"/>
      <c r="T30" s="11" t="inlineStr"/>
    </row>
    <row r="31">
      <c r="A31" s="7" t="n">
        <v>29</v>
      </c>
      <c r="B31" s="8" t="inlineStr">
        <is>
          <t>dx_cancer_major</t>
        </is>
      </c>
      <c r="C31" s="9" t="inlineStr">
        <is>
          <t>진단비</t>
        </is>
      </c>
      <c r="D31" s="8" t="inlineStr">
        <is>
          <t>(^|\])(갱신형)?(통합)?암진단비|암진단및치료비.*\[암진단비|^암치료,후유장해및진단비|^암후유장해및진단비</t>
        </is>
      </c>
      <c r="E31" s="10" t="inlineStr">
        <is>
          <t>(^|\])(갱신형)?유사암진단비|전이암|재진단암|중증갑상선암|16대특정암|5대고액치료비암|원격전이포함4기|소액암진단비|특정소액암\(|특정소화기암|\d+대특정암|\d+대고액암</t>
        </is>
      </c>
      <c r="F31" s="10" t="inlineStr">
        <is>
          <t>암 — 유사암 제외 (약관 별표 암분류로 판정)</t>
        </is>
      </c>
      <c r="G31" s="7" t="inlineStr">
        <is>
          <t>계산함</t>
        </is>
      </c>
      <c r="H31" s="7" t="inlineStr">
        <is>
          <t>최초 1회</t>
        </is>
      </c>
      <c r="I31" s="10" t="inlineStr"/>
      <c r="J31" s="10" t="inlineStr"/>
      <c r="K31" s="10" t="inlineStr">
        <is>
          <t>암</t>
        </is>
      </c>
      <c r="L31" s="10" t="inlineStr"/>
      <c r="M31" s="10" t="inlineStr">
        <is>
          <t>진단비</t>
        </is>
      </c>
      <c r="N31" s="10" t="inlineStr">
        <is>
          <t>암(유사암제외) 진단확정 · 최초 1회</t>
        </is>
      </c>
      <c r="O31" s="10" t="inlineStr">
        <is>
          <t>암진단비 — 별표3 악성신생물 분류로 판정</t>
        </is>
      </c>
      <c r="P31" s="7" t="n">
        <v>21</v>
      </c>
      <c r="Q31" s="10" t="inlineStr"/>
      <c r="R31" s="10" t="inlineStr">
        <is>
          <t>암진단비(유사암제외)
암진단비(유사암 및 소액암 제외)
암진단비(유사암제외)(감액및면책기간미적 용)
통합암진단비(유사암제외)(감액및면책기간 미적용)
암진단및치료비Ⅱ[암진단비(유사암제외)]</t>
        </is>
      </c>
      <c r="S31" s="11" t="inlineStr"/>
      <c r="T31" s="11" t="inlineStr"/>
    </row>
    <row r="32">
      <c r="A32" s="12" t="n">
        <v>30</v>
      </c>
      <c r="B32" s="13" t="inlineStr">
        <is>
          <t>dx_cancer_sim</t>
        </is>
      </c>
      <c r="C32" s="14" t="inlineStr">
        <is>
          <t>진단비</t>
        </is>
      </c>
      <c r="D32" s="13" t="inlineStr">
        <is>
          <t>유사암진단비</t>
        </is>
      </c>
      <c r="E32" s="15" t="inlineStr"/>
      <c r="F32" s="15" t="inlineStr">
        <is>
          <t>유사암 — 제자리암·경계성종양·갑상선암·기타피부암</t>
        </is>
      </c>
      <c r="G32" s="12" t="inlineStr">
        <is>
          <t>계산함</t>
        </is>
      </c>
      <c r="H32" s="12" t="inlineStr">
        <is>
          <t>최초 1회</t>
        </is>
      </c>
      <c r="I32" s="15" t="inlineStr"/>
      <c r="J32" s="15" t="inlineStr"/>
      <c r="K32" s="15" t="inlineStr">
        <is>
          <t>암 · 유사암</t>
        </is>
      </c>
      <c r="L32" s="15" t="inlineStr"/>
      <c r="M32" s="15" t="inlineStr">
        <is>
          <t>진단비</t>
        </is>
      </c>
      <c r="N32" s="15" t="inlineStr">
        <is>
          <t>유사암 진단확정 · 최초 1회</t>
        </is>
      </c>
      <c r="O32" s="15" t="inlineStr">
        <is>
          <t>유사암진단비 — 제자리암·경계성종양·기타피부암·갑상선암</t>
        </is>
      </c>
      <c r="P32" s="12" t="n">
        <v>11</v>
      </c>
      <c r="Q32" s="15" t="inlineStr"/>
      <c r="R32" s="15" t="inlineStr">
        <is>
          <t>유사암진단비
유사암진단비Ⅱ
유사암진단비(감액및면책기간미적용)
유사암진단비
갱신형 유사암진단비</t>
        </is>
      </c>
      <c r="S32" s="11" t="inlineStr"/>
      <c r="T32" s="11" t="inlineStr"/>
    </row>
    <row r="33">
      <c r="A33" s="7" t="n">
        <v>31</v>
      </c>
      <c r="B33" s="8" t="inlineStr">
        <is>
          <t>dx_cancer_meta_sim</t>
        </is>
      </c>
      <c r="C33" s="9" t="inlineStr">
        <is>
          <t>계산 제외 (제도성·조건부)</t>
        </is>
      </c>
      <c r="D33" s="8" t="inlineStr">
        <is>
          <t>(림프절전이암|특정전이암)\(기타피부암및갑상선암\)</t>
        </is>
      </c>
      <c r="E33" s="10" t="inlineStr"/>
      <c r="F33" s="10" t="inlineStr">
        <is>
          <t>질병코드 조건 없음 — 담보명·치료행위로만 판정</t>
        </is>
      </c>
      <c r="G33" s="7" t="inlineStr">
        <is>
          <t>분류만 (금액 계산 안 함)</t>
        </is>
      </c>
      <c r="H33" s="7" t="inlineStr">
        <is>
          <t>—</t>
        </is>
      </c>
      <c r="I33" s="10" t="inlineStr"/>
      <c r="J33" s="10" t="inlineStr"/>
      <c r="K33" s="10" t="inlineStr"/>
      <c r="L33" s="10" t="inlineStr">
        <is>
          <t>기록 사유 : 원발암이 기타피부암·갑상선암인 전이암에만 지급되는 세부보장 — 사례에 원발암 구분이 없어 계산 제외</t>
        </is>
      </c>
      <c r="M33" s="10" t="inlineStr"/>
      <c r="N33" s="10" t="inlineStr"/>
      <c r="O33" s="10" t="inlineStr">
        <is>
          <t>통합전이암진단비의 (기타피부암 및 갑상선암) 세부보장 — 원발암 조건부(사례 계산 제외)(v8.55)</t>
        </is>
      </c>
      <c r="P33" s="7" t="n">
        <v>4</v>
      </c>
      <c r="Q33" s="10" t="inlineStr"/>
      <c r="R33" s="10" t="inlineStr">
        <is>
          <t>통합전이암진단비[림프절전이암(기타피부암 및 갑상선암)진단비]
통합전이암진단비[특정전이암(기타피부암 및 갑상선암)진단비]
통합전이암진단비[림프절전이암(기타피부암 및 갑상선암)진단비]
통합전이암진단비[특정전이암(기타피부암 및 갑상선암)진단비]</t>
        </is>
      </c>
      <c r="S33" s="11" t="inlineStr"/>
      <c r="T33" s="11" t="inlineStr"/>
    </row>
    <row r="34">
      <c r="A34" s="12" t="n">
        <v>32</v>
      </c>
      <c r="B34" s="13" t="inlineStr">
        <is>
          <t>dx_cancer_meta_sim_primary</t>
        </is>
      </c>
      <c r="C34" s="14" t="inlineStr">
        <is>
          <t>계산 제외 (제도성·조건부)</t>
        </is>
      </c>
      <c r="D34" s="13" t="inlineStr">
        <is>
          <t>갑상선암및기타피부암의전이암</t>
        </is>
      </c>
      <c r="E34" s="15" t="inlineStr"/>
      <c r="F34" s="15" t="inlineStr">
        <is>
          <t>질병코드 조건 없음 — 담보명·치료행위로만 판정</t>
        </is>
      </c>
      <c r="G34" s="12" t="inlineStr">
        <is>
          <t>분류만 (금액 계산 안 함)</t>
        </is>
      </c>
      <c r="H34" s="12" t="inlineStr">
        <is>
          <t>—</t>
        </is>
      </c>
      <c r="I34" s="15" t="inlineStr"/>
      <c r="J34" s="15" t="inlineStr"/>
      <c r="K34" s="15" t="inlineStr"/>
      <c r="L34" s="15" t="inlineStr">
        <is>
          <t>기록 사유 : 갑상선암(C73)·기타피부암(C44)으로 먼저 진단된 뒤 다른 기관(organ)에 전이암이 생겨야 지급되는 담보(제1조·제3조③) — 사례에 원발암 구분이 없어 계산 제외. 림프절·중피성 및 연조직·혈액 및 림프계 전이는 면책(제4조)</t>
        </is>
      </c>
      <c r="M34" s="15" t="inlineStr"/>
      <c r="N34" s="15" t="inlineStr"/>
      <c r="O34" s="15" t="inlineStr">
        <is>
          <t>갑상선암 및 기타피부암의 전이암(림프절 등 전이제외)진단비(통65·또71·케125) — 원발암 조건부. 마스터 k 에 C44·C73 이 함께 실려 갑상선암 진단만으로 전이암진단비가 붙던 것을 막음(v8.61)</t>
        </is>
      </c>
      <c r="P34" s="12" t="n">
        <v>3</v>
      </c>
      <c r="Q34" s="15" t="inlineStr"/>
      <c r="R34" s="15" t="inlineStr">
        <is>
          <t>갑상선암 및 기타피부암의 전이암 (림프절 등 전이제외)진단비
갑상선암 및 기타피부암의 전이암 (림프절 등 전이제외)진단비
갑상선암및기타피부암의전이암(림프절등전이제외)진단비</t>
        </is>
      </c>
      <c r="S34" s="11" t="inlineStr"/>
      <c r="T34" s="11" t="inlineStr"/>
    </row>
    <row r="35">
      <c r="A35" s="7" t="n">
        <v>33</v>
      </c>
      <c r="B35" s="8" t="inlineStr">
        <is>
          <t>dx_thyroid_cond</t>
        </is>
      </c>
      <c r="C35" s="9" t="inlineStr">
        <is>
          <t>계산 제외 (제도성·조건부)</t>
        </is>
      </c>
      <c r="D35" s="8" t="inlineStr">
        <is>
          <t>중증갑상선암진단비|갑상선암\(초기제외\)진단비</t>
        </is>
      </c>
      <c r="E35" s="10" t="inlineStr"/>
      <c r="F35" s="10" t="inlineStr">
        <is>
          <t>질병코드 조건 없음 — 담보명·치료행위로만 판정</t>
        </is>
      </c>
      <c r="G35" s="7" t="inlineStr">
        <is>
          <t>분류만 (금액 계산 안 함)</t>
        </is>
      </c>
      <c r="H35" s="7" t="inlineStr">
        <is>
          <t>—</t>
        </is>
      </c>
      <c r="I35" s="10" t="inlineStr"/>
      <c r="J35" s="10" t="inlineStr"/>
      <c r="K35" s="10" t="inlineStr"/>
      <c r="L35" s="10" t="inlineStr">
        <is>
          <t>기록 사유 : 갑상선암(C73) 가운데 조직형(수질암·역형성암) 또는 크기·침범·전이(2.0cm 이상 · 갑상선 밖 · 림프절/원격전이)로 정하는 담보 — 질병코드만으로 단정할 수 없어 계산 제외</t>
        </is>
      </c>
      <c r="M35" s="10" t="inlineStr"/>
      <c r="N35" s="10" t="inlineStr"/>
      <c r="O35" s="10" t="inlineStr">
        <is>
          <t>중증갑상선암진단비 · 갑상선암(초기제외)진단비 — 조직형·병기 조건부(사례 계산 제외). 마스터 k 가 C73 한 줄이라 모든 갑상선암 진단에 붙던 것을 막음(v8.61)</t>
        </is>
      </c>
      <c r="P35" s="7" t="n">
        <v>8</v>
      </c>
      <c r="Q35" s="10" t="inlineStr"/>
      <c r="R35" s="10" t="inlineStr">
        <is>
          <t>갑상선암(초기제외)진단비
갑상선암(초기제외)진단비
중증갑상선암진단비
갱신형 중증갑상선암진단비
중증갑상선암진단비</t>
        </is>
      </c>
      <c r="S35" s="11" t="inlineStr"/>
      <c r="T35" s="11" t="inlineStr"/>
    </row>
    <row r="36">
      <c r="A36" s="12" t="n">
        <v>34</v>
      </c>
      <c r="B36" s="13" t="inlineStr">
        <is>
          <t>dx_cancer_meta</t>
        </is>
      </c>
      <c r="C36" s="14" t="inlineStr">
        <is>
          <t>진단비</t>
        </is>
      </c>
      <c r="D36" s="13" t="inlineStr">
        <is>
          <t>(림프절전이암|특정전이암).*진단비</t>
        </is>
      </c>
      <c r="E36" s="15" t="inlineStr">
        <is>
          <t>기타피부암|갑상선암</t>
        </is>
      </c>
      <c r="F36" s="15" t="inlineStr">
        <is>
          <t>질병코드 그룹표(rules.json)와 대조</t>
        </is>
      </c>
      <c r="G36" s="12" t="inlineStr">
        <is>
          <t>계산함</t>
        </is>
      </c>
      <c r="H36" s="12" t="inlineStr">
        <is>
          <t>최초 1회</t>
        </is>
      </c>
      <c r="I36" s="15" t="inlineStr"/>
      <c r="J36" s="15" t="inlineStr"/>
      <c r="K36" s="15" t="inlineStr">
        <is>
          <t>암</t>
        </is>
      </c>
      <c r="L36" s="15" t="inlineStr"/>
      <c r="M36" s="15" t="inlineStr">
        <is>
          <t>진단비</t>
        </is>
      </c>
      <c r="N36" s="15" t="inlineStr">
        <is>
          <t>약관 별표 전이암 분류표의 전이암 구분(림프절 C77 / 특정 C78~C80)에 해당하는 전이암 진단확정 · 구분별 각각 최초 1회</t>
        </is>
      </c>
      <c r="O36" s="15" t="inlineStr">
        <is>
          <t>전이암진단비 세부보장(림프절·특정) — 전이암 구분별로 한쪽만 지급. 마스터 목록이 C77~C80 한 줄이라 한 번의 전이로 두 세부보장이 모두 나가던 것을 고침(v8.55)</t>
        </is>
      </c>
      <c r="P36" s="12" t="n">
        <v>4</v>
      </c>
      <c r="Q36" s="15" t="inlineStr"/>
      <c r="R36" s="15" t="inlineStr">
        <is>
          <t>통합전이암진단비[림프절전이암(암(유사암제외))진단비]
통합전이암진단비[특정전이암(암(유사암제외))진단비]
통합전이암진단비[림프절전이암(암(유사암제외))진단비]
통합전이암진단비[특정전이암(암(유사암제외))진단비]</t>
        </is>
      </c>
      <c r="S36" s="11" t="inlineStr"/>
      <c r="T36" s="11" t="inlineStr"/>
    </row>
    <row r="37">
      <c r="A37" s="7" t="n">
        <v>35</v>
      </c>
      <c r="B37" s="8" t="inlineStr">
        <is>
          <t>dx_cancer_sub</t>
        </is>
      </c>
      <c r="C37" s="9" t="inlineStr">
        <is>
          <t>진단비</t>
        </is>
      </c>
      <c r="D37" s="8" t="inlineStr">
        <is>
          <t>(전이암|재진단암|중증갑상선암|갑상선암\(초기제외\)|16대특정암|5대고액치료비암|원격전이포함4기|소액암).*진단비</t>
        </is>
      </c>
      <c r="E37" s="10" t="inlineStr"/>
      <c r="F37" s="10" t="inlineStr">
        <is>
          <t>특약 마스터(db.json)에 실린 약관 KCD 목록과 대조</t>
        </is>
      </c>
      <c r="G37" s="7" t="inlineStr">
        <is>
          <t>계산함</t>
        </is>
      </c>
      <c r="H37" s="7" t="inlineStr">
        <is>
          <t>최초 1회</t>
        </is>
      </c>
      <c r="I37" s="10" t="inlineStr"/>
      <c r="J37" s="10" t="inlineStr"/>
      <c r="K37" s="10" t="inlineStr">
        <is>
          <t>암</t>
        </is>
      </c>
      <c r="L37" s="10" t="inlineStr"/>
      <c r="M37" s="10" t="inlineStr">
        <is>
          <t>진단비</t>
        </is>
      </c>
      <c r="N37" s="10" t="inlineStr">
        <is>
          <t>약관 대상 암 진단확정 · 최초 1회</t>
        </is>
      </c>
      <c r="O37" s="10" t="inlineStr">
        <is>
          <t>특정암·전이암 진단비 — 약관 KCD 목록 필수</t>
        </is>
      </c>
      <c r="P37" s="7" t="n">
        <v>10</v>
      </c>
      <c r="Q37" s="10" t="inlineStr"/>
      <c r="R37" s="10" t="inlineStr">
        <is>
          <t>5대고액치료비암진단비
16대특정암진단비
전이암진단비
전이암진단비(감액및면책기간미적용)
5대고액치료비암진단비</t>
        </is>
      </c>
      <c r="S37" s="11" t="inlineStr"/>
      <c r="T37" s="11" t="inlineStr"/>
    </row>
    <row r="38">
      <c r="A38" s="12" t="n">
        <v>36</v>
      </c>
      <c r="B38" s="13" t="inlineStr">
        <is>
          <t>dx_terminal</t>
        </is>
      </c>
      <c r="C38" s="14" t="inlineStr">
        <is>
          <t>계산 제외 (제도성·조건부)</t>
        </is>
      </c>
      <c r="D38" s="13" t="inlineStr">
        <is>
          <t>말기(폐질환|신부전증|간경화)진단비</t>
        </is>
      </c>
      <c r="E38" s="15" t="inlineStr"/>
      <c r="F38" s="15" t="inlineStr">
        <is>
          <t>질병코드 조건 없음 — 담보명·치료행위로만 판정</t>
        </is>
      </c>
      <c r="G38" s="12" t="inlineStr">
        <is>
          <t>분류만 (금액 계산 안 함)</t>
        </is>
      </c>
      <c r="H38" s="12" t="inlineStr">
        <is>
          <t>—</t>
        </is>
      </c>
      <c r="I38" s="15" t="inlineStr"/>
      <c r="J38" s="15" t="inlineStr"/>
      <c r="K38" s="15" t="inlineStr"/>
      <c r="L38" s="15" t="inlineStr">
        <is>
          <t>기록 사유 : 말기 상태로 정하는 진단비 — 말기폐질환은 영구 산소공급 + FEV1 정상예측치 25% 이하(별표), 말기신부전증은 N18 + 정기적 신장투석(제3조), 말기간경화는 복수·황달·정맥류·간성뇌증 — 질병코드만으로 단정할 수 없어 계산 제외</t>
        </is>
      </c>
      <c r="M38" s="15" t="inlineStr"/>
      <c r="N38" s="15" t="inlineStr"/>
      <c r="O38" s="15" t="inlineStr">
        <is>
          <t>말기폐질환·말기신부전증·말기간경화 진단비 — 상태 조건부(사례 계산 제외). 마스터 k(J09~J99 · N18)만 보면 폐렴·천식·만성콩팥병 진단에 전액이 붙는다(v8.61)</t>
        </is>
      </c>
      <c r="P38" s="12" t="n">
        <v>6</v>
      </c>
      <c r="Q38" s="15" t="inlineStr"/>
      <c r="R38" s="15" t="inlineStr">
        <is>
          <t>말기폐질환진단비
말기간경화진단비
말기신부전증진단비
말기간경화진단비
말기신부전증진단비</t>
        </is>
      </c>
      <c r="S38" s="11" t="inlineStr"/>
      <c r="T38" s="11" t="inlineStr"/>
    </row>
    <row r="39">
      <c r="A39" s="7" t="n">
        <v>37</v>
      </c>
      <c r="B39" s="8" t="inlineStr">
        <is>
          <t>dx_special_case</t>
        </is>
      </c>
      <c r="C39" s="9" t="inlineStr">
        <is>
          <t>진단비</t>
        </is>
      </c>
      <c r="D39" s="8" t="inlineStr">
        <is>
          <t>산정특례대상진단비</t>
        </is>
      </c>
      <c r="E39" s="10" t="inlineStr"/>
      <c r="F39" s="10" t="inlineStr">
        <is>
          <t>특약 마스터(db.json)에 실린 약관 KCD 목록과 대조</t>
        </is>
      </c>
      <c r="G39" s="7" t="inlineStr">
        <is>
          <t>계산함</t>
        </is>
      </c>
      <c r="H39" s="7" t="inlineStr">
        <is>
          <t>최초 1회</t>
        </is>
      </c>
      <c r="I39" s="10" t="inlineStr"/>
      <c r="J39" s="10" t="inlineStr"/>
      <c r="K39" s="10" t="inlineStr"/>
      <c r="L39" s="10" t="inlineStr"/>
      <c r="M39" s="10" t="inlineStr">
        <is>
          <t>진단비</t>
        </is>
      </c>
      <c r="N39" s="10" t="inlineStr">
        <is>
          <t>산정특례 등록 · 최초 1회</t>
        </is>
      </c>
      <c r="O39" s="10" t="inlineStr">
        <is>
          <t>중증질환자 산정특례 진단비 — 「등록된 경우」가 지급사유(등록 조건부). 암·유사암·뇌수막 양성신생물은 진단과 함께 등록, 뇌혈관·심장은 별표 수술 또는 혈전용해제 투여 단계에서 등록(scen_engine.special_reg), 그 밖(중증화상·중증외상·희귀·중증난치·결핵·중복암/재등록암)은 사례로 단정하지 않는다. dx_brain·dx_heart 보다 앞에 두어야 「중증질환자(뇌혈관질환) 산정특례대상 진단비」가 진단 단계에서 지급되지 않는다(v8.61)</t>
        </is>
      </c>
      <c r="P39" s="7" t="n">
        <v>27</v>
      </c>
      <c r="Q39" s="10" t="inlineStr"/>
      <c r="R39" s="10" t="inlineStr">
        <is>
          <t>갱신형 중증화상환자 산정특례대상 진단비(최초1회한)
갱신형 중증질환자(뇌혈관질환) 산정특례대상 진단비(연간1회한)
갱신형 중증질환자(심장질환) 산정특례대상 진단비(연간1회한)
갱신형 중증화상환자 산정특례대상 진단비(연간1회한)
갱신형 중증외상환자 산정특례대상 진단비(연간1회한)</t>
        </is>
      </c>
      <c r="S39" s="11" t="inlineStr"/>
      <c r="T39" s="11" t="inlineStr"/>
    </row>
    <row r="40">
      <c r="A40" s="12" t="n">
        <v>38</v>
      </c>
      <c r="B40" s="13" t="inlineStr">
        <is>
          <t>dx_circulatory</t>
        </is>
      </c>
      <c r="C40" s="14" t="inlineStr">
        <is>
          <t>진단비</t>
        </is>
      </c>
      <c r="D40" s="13" t="inlineStr">
        <is>
          <t>특정순환계질환진단비</t>
        </is>
      </c>
      <c r="E40" s="15" t="inlineStr"/>
      <c r="F40" s="15" t="inlineStr">
        <is>
          <t>특약 마스터(db.json)에 실린 약관 KCD 목록과 대조</t>
        </is>
      </c>
      <c r="G40" s="12" t="inlineStr">
        <is>
          <t>계산함</t>
        </is>
      </c>
      <c r="H40" s="12" t="inlineStr">
        <is>
          <t>최초 1회</t>
        </is>
      </c>
      <c r="I40" s="15" t="inlineStr"/>
      <c r="J40" s="15" t="inlineStr"/>
      <c r="K40" s="15" t="inlineStr">
        <is>
          <t>뇌질환 · 심장질환</t>
        </is>
      </c>
      <c r="L40" s="15" t="inlineStr">
        <is>
          <t>메모 : 약관 별표32 특정순환계질환 분류표(52코드)에 뇌혈관질환 I60~I69 가 들어 있어 뇌 진단 사례에서도 지급된다. 전에는 dx_heart(심장 계열만)에 걸려 뇌경색·뇌출혈 진단 칸에서 0 이었다(v8.62)</t>
        </is>
      </c>
      <c r="M40" s="15" t="inlineStr">
        <is>
          <t>진단비</t>
        </is>
      </c>
      <c r="N40" s="15" t="inlineStr">
        <is>
          <t>약관 별표 특정순환계질환(뇌혈관 I60~I69 포함) 진단확정 · 최초 1회</t>
        </is>
      </c>
      <c r="O40" s="15" t="inlineStr">
        <is>
          <t>특정순환계질환진단비 — 뇌·심장 두 계열 진단에 지급(약관 별표32)(v8.62)</t>
        </is>
      </c>
      <c r="P40" s="12" t="n">
        <v>3</v>
      </c>
      <c r="Q40" s="15" t="inlineStr"/>
      <c r="R40" s="15" t="inlineStr">
        <is>
          <t>특정순환계질환진단비
특정순환계질환진단비
갱신형 특정순환계질환진단비</t>
        </is>
      </c>
      <c r="S40" s="11" t="inlineStr"/>
      <c r="T40" s="11" t="inlineStr"/>
    </row>
    <row r="41">
      <c r="A41" s="7" t="n">
        <v>39</v>
      </c>
      <c r="B41" s="8" t="inlineStr">
        <is>
          <t>dx_brain</t>
        </is>
      </c>
      <c r="C41" s="9" t="inlineStr">
        <is>
          <t>진단비</t>
        </is>
      </c>
      <c r="D41" s="8" t="inlineStr">
        <is>
          <t>(뇌혈관질환|뇌졸중|뇌출혈|뇌경색|일과성뇌허혈발작|6대뇌질환|양성뇌종양|외상성뇌출혈).*(진단비|진단및치료비)</t>
        </is>
      </c>
      <c r="E41" s="10" t="inlineStr"/>
      <c r="F41" s="10" t="inlineStr">
        <is>
          <t>특약 마스터(db.json)에 실린 약관 KCD 목록과 대조</t>
        </is>
      </c>
      <c r="G41" s="7" t="inlineStr">
        <is>
          <t>계산함</t>
        </is>
      </c>
      <c r="H41" s="7" t="inlineStr">
        <is>
          <t>최초 1회</t>
        </is>
      </c>
      <c r="I41" s="10" t="inlineStr"/>
      <c r="J41" s="10" t="inlineStr"/>
      <c r="K41" s="10" t="inlineStr">
        <is>
          <t>뇌질환</t>
        </is>
      </c>
      <c r="L41" s="10" t="inlineStr"/>
      <c r="M41" s="10" t="inlineStr">
        <is>
          <t>진단비</t>
        </is>
      </c>
      <c r="N41" s="10" t="inlineStr">
        <is>
          <t>진단확정 · 최초 1회</t>
        </is>
      </c>
      <c r="O41" s="10" t="inlineStr">
        <is>
          <t>뇌혈관 진단비</t>
        </is>
      </c>
      <c r="P41" s="7" t="n">
        <v>24</v>
      </c>
      <c r="Q41" s="10" t="inlineStr"/>
      <c r="R41" s="10" t="inlineStr">
        <is>
          <t>뇌출혈진단비
뇌졸중진단비Ⅱ
뇌혈관질환진단비Ⅱ
뇌졸중진단비(감액기간미적용)
뇌혈관질환진단비(감액기간미적용)</t>
        </is>
      </c>
      <c r="S41" s="11" t="inlineStr"/>
      <c r="T41" s="11" t="inlineStr"/>
    </row>
    <row r="42">
      <c r="A42" s="12" t="n">
        <v>40</v>
      </c>
      <c r="B42" s="13" t="inlineStr">
        <is>
          <t>dx_heart</t>
        </is>
      </c>
      <c r="C42" s="14" t="inlineStr">
        <is>
          <t>진단비</t>
        </is>
      </c>
      <c r="D42" s="13" t="inlineStr">
        <is>
          <t>(허혈성심장질환|급성심근경색증|6대심장질환|특정순환계질환|심장질환).*(진단비|진단및치료비)</t>
        </is>
      </c>
      <c r="E42" s="15" t="inlineStr"/>
      <c r="F42" s="15" t="inlineStr">
        <is>
          <t>특약 마스터(db.json)에 실린 약관 KCD 목록과 대조</t>
        </is>
      </c>
      <c r="G42" s="12" t="inlineStr">
        <is>
          <t>계산함</t>
        </is>
      </c>
      <c r="H42" s="12" t="inlineStr">
        <is>
          <t>최초 1회</t>
        </is>
      </c>
      <c r="I42" s="15" t="inlineStr"/>
      <c r="J42" s="15" t="inlineStr"/>
      <c r="K42" s="15" t="inlineStr">
        <is>
          <t>심장질환</t>
        </is>
      </c>
      <c r="L42" s="15" t="inlineStr"/>
      <c r="M42" s="15" t="inlineStr">
        <is>
          <t>진단비</t>
        </is>
      </c>
      <c r="N42" s="15" t="inlineStr">
        <is>
          <t>진단확정 · 최초 1회</t>
        </is>
      </c>
      <c r="O42" s="15" t="inlineStr">
        <is>
          <t>심장 진단비</t>
        </is>
      </c>
      <c r="P42" s="12" t="n">
        <v>21</v>
      </c>
      <c r="Q42" s="15" t="inlineStr"/>
      <c r="R42" s="15" t="inlineStr">
        <is>
          <t>갱신형 6대심장질환진단비Ⅱ
급성심근경색증진단비Ⅱ
허혈성심장질환진단비Ⅱ
급성심근경색증진단비(감액기간미적용)
허혈성심장질환진단비(감액기간미적용)</t>
        </is>
      </c>
      <c r="S42" s="11" t="inlineStr"/>
      <c r="T42" s="11" t="inlineStr"/>
    </row>
    <row r="43">
      <c r="A43" s="7" t="n">
        <v>41</v>
      </c>
      <c r="B43" s="8" t="inlineStr">
        <is>
          <t>dx_burn_once</t>
        </is>
      </c>
      <c r="C43" s="9" t="inlineStr">
        <is>
          <t>진단비</t>
        </is>
      </c>
      <c r="D43" s="8" t="inlineStr">
        <is>
          <t>신화상치료비|화상진단비|중증화상및부식진단비</t>
        </is>
      </c>
      <c r="E43" s="10" t="inlineStr">
        <is>
          <t>수술비</t>
        </is>
      </c>
      <c r="F43" s="10" t="inlineStr">
        <is>
          <t>특약 마스터(db.json)에 실린 약관 KCD 목록과 대조</t>
        </is>
      </c>
      <c r="G43" s="7" t="inlineStr">
        <is>
          <t>계산함</t>
        </is>
      </c>
      <c r="H43" s="7" t="inlineStr">
        <is>
          <t>최초 1회</t>
        </is>
      </c>
      <c r="I43" s="10" t="inlineStr"/>
      <c r="J43" s="10" t="inlineStr"/>
      <c r="K43" s="10" t="inlineStr"/>
      <c r="L43" s="10" t="inlineStr">
        <is>
          <t>원인 한정 : 상해만
메모 : 신화상치료비[화상진단비]·[중증화상및부식진단비] 약관 「최초 1회에 한하여」(v8.63)</t>
        </is>
      </c>
      <c r="M43" s="10" t="inlineStr">
        <is>
          <t>진단비</t>
        </is>
      </c>
      <c r="N43" s="10" t="inlineStr">
        <is>
          <t>화상 진단 · 최초 1회</t>
        </is>
      </c>
      <c r="O43" s="10" t="inlineStr">
        <is>
          <t>신화상치료비 진단 세부보장 — 최초 1회(v8.63)</t>
        </is>
      </c>
      <c r="P43" s="7" t="n">
        <v>8</v>
      </c>
      <c r="Q43" s="10" t="inlineStr"/>
      <c r="R43" s="10" t="inlineStr">
        <is>
          <t>신화상치료비[화상진단비]
신화상치료비[중증화상및부식진단비]
신화상치료비[화상진단비]
신화상치료비[중증화상및부식진단비]
신화상치료비[화상진단비]</t>
        </is>
      </c>
      <c r="S43" s="11" t="inlineStr"/>
      <c r="T43" s="11" t="inlineStr"/>
    </row>
    <row r="44">
      <c r="A44" s="12" t="n">
        <v>42</v>
      </c>
      <c r="B44" s="13" t="inlineStr">
        <is>
          <t>dx_injury</t>
        </is>
      </c>
      <c r="C44" s="14" t="inlineStr">
        <is>
          <t>진단비</t>
        </is>
      </c>
      <c r="D44" s="13" t="inlineStr">
        <is>
          <t>(골절|화상|외상|깁스|창상|흉터|부상).*(진단비|치료비)</t>
        </is>
      </c>
      <c r="E44" s="15" t="inlineStr"/>
      <c r="F44" s="15" t="inlineStr">
        <is>
          <t>특약 마스터(db.json)에 실린 약관 KCD 목록과 대조</t>
        </is>
      </c>
      <c r="G44" s="12" t="inlineStr">
        <is>
          <t>계산함</t>
        </is>
      </c>
      <c r="H44" s="12" t="inlineStr">
        <is>
          <t>받을 때마다</t>
        </is>
      </c>
      <c r="I44" s="15" t="inlineStr"/>
      <c r="J44" s="15" t="inlineStr"/>
      <c r="K44" s="15" t="inlineStr"/>
      <c r="L44" s="15" t="inlineStr">
        <is>
          <t>원인 한정 : 상해만</t>
        </is>
      </c>
      <c r="M44" s="15" t="inlineStr">
        <is>
          <t>진단비</t>
        </is>
      </c>
      <c r="N44" s="15" t="inlineStr">
        <is>
          <t>상해 진단 · 치료</t>
        </is>
      </c>
      <c r="O44" s="15" t="inlineStr">
        <is>
          <t>골절·화상·외상 진단/치료비</t>
        </is>
      </c>
      <c r="P44" s="12" t="n">
        <v>21</v>
      </c>
      <c r="Q44" s="15" t="inlineStr"/>
      <c r="R44" s="15" t="inlineStr">
        <is>
          <t>골절(치아파절 제외)진단비Ⅱ
골절진단비Ⅱ
골절(치아파절 제외)진단비Ⅱ
5대골절진단비
갱신형 골절(치아파절 제외)진단비Ⅱ</t>
        </is>
      </c>
      <c r="S44" s="11" t="inlineStr"/>
      <c r="T44" s="11" t="inlineStr"/>
    </row>
    <row r="45">
      <c r="A45" s="7" t="n">
        <v>43</v>
      </c>
      <c r="B45" s="8" t="inlineStr">
        <is>
          <t>dx_etc</t>
        </is>
      </c>
      <c r="C45" s="9" t="inlineStr">
        <is>
          <t>진단비</t>
        </is>
      </c>
      <c r="D45" s="8" t="inlineStr">
        <is>
          <t>진단비</t>
        </is>
      </c>
      <c r="E45" s="10" t="inlineStr"/>
      <c r="F45" s="10" t="inlineStr">
        <is>
          <t>특약 마스터(db.json)에 실린 약관 KCD 목록과 대조</t>
        </is>
      </c>
      <c r="G45" s="7" t="inlineStr">
        <is>
          <t>계산함</t>
        </is>
      </c>
      <c r="H45" s="7" t="inlineStr">
        <is>
          <t>최초 1회</t>
        </is>
      </c>
      <c r="I45" s="10" t="inlineStr"/>
      <c r="J45" s="10" t="inlineStr"/>
      <c r="K45" s="10" t="inlineStr"/>
      <c r="L45" s="10" t="inlineStr"/>
      <c r="M45" s="10" t="inlineStr">
        <is>
          <t>진단비</t>
        </is>
      </c>
      <c r="N45" s="10" t="inlineStr">
        <is>
          <t>진단확정 · 최초 1회</t>
        </is>
      </c>
      <c r="O45" s="10" t="inlineStr">
        <is>
          <t>그 밖의 질병 진단비 — 약관 KCD 목록으로만 판정</t>
        </is>
      </c>
      <c r="P45" s="7" t="n">
        <v>94</v>
      </c>
      <c r="Q45" s="10" t="inlineStr"/>
      <c r="R45" s="10" t="inlineStr">
        <is>
          <t>대상포진진단비
통풍진단비
희귀난치성 7대질환진단비
만성당뇨합병증진단비
특정전염병진단비</t>
        </is>
      </c>
      <c r="S45" s="11" t="inlineStr"/>
      <c r="T45" s="11" t="inlineStr"/>
    </row>
    <row r="46">
      <c r="A46" s="12" t="n">
        <v>44</v>
      </c>
      <c r="B46" s="13" t="inlineStr">
        <is>
          <t>surg_grade_1_5</t>
        </is>
      </c>
      <c r="C46" s="14" t="inlineStr">
        <is>
          <t>수술비</t>
        </is>
      </c>
      <c r="D46" s="13" t="inlineStr">
        <is>
          <t>수술비Ⅱ?\(1-5종\)</t>
        </is>
      </c>
      <c r="E46" s="15" t="inlineStr"/>
      <c r="F46" s="15" t="inlineStr">
        <is>
          <t>질병코드 조건 없음 — 담보명·치료행위로만 판정</t>
        </is>
      </c>
      <c r="G46" s="12" t="inlineStr">
        <is>
          <t>계산함</t>
        </is>
      </c>
      <c r="H46" s="12" t="inlineStr">
        <is>
          <t>받을 때마다</t>
        </is>
      </c>
      <c r="I46" s="15" t="inlineStr"/>
      <c r="J46" s="15" t="inlineStr"/>
      <c r="K46" s="15" t="inlineStr"/>
      <c r="L46" s="15" t="inlineStr">
        <is>
          <t>수술 종 판정 : 1-5종 수술분류표Ⅱ (약관 별표76)</t>
        </is>
      </c>
      <c r="M46" s="15" t="inlineStr">
        <is>
          <t>수술비</t>
        </is>
      </c>
      <c r="N46" s="15" t="inlineStr">
        <is>
          <t>{j}종 수술 1회당</t>
        </is>
      </c>
      <c r="O46" s="15" t="inlineStr">
        <is>
          <t>1-5종 수술비(별표76 기준)</t>
        </is>
      </c>
      <c r="P46" s="12" t="n">
        <v>2</v>
      </c>
      <c r="Q46" s="15" t="inlineStr"/>
      <c r="R46" s="15" t="inlineStr">
        <is>
          <t>수술비Ⅱ(1-5종)
갱신형 수술비Ⅱ(1-5종)</t>
        </is>
      </c>
      <c r="S46" s="11" t="inlineStr"/>
      <c r="T46" s="11" t="inlineStr"/>
    </row>
    <row r="47">
      <c r="A47" s="7" t="n">
        <v>45</v>
      </c>
      <c r="B47" s="8" t="inlineStr">
        <is>
          <t>surg_plus_1_5</t>
        </is>
      </c>
      <c r="C47" s="9" t="inlineStr">
        <is>
          <t>수술비</t>
        </is>
      </c>
      <c r="D47" s="8" t="inlineStr">
        <is>
          <t>1-5종수술비\(plus\)</t>
        </is>
      </c>
      <c r="E47" s="10" t="inlineStr"/>
      <c r="F47" s="10" t="inlineStr">
        <is>
          <t>질병코드 조건 없음 — 담보명·치료행위로만 판정</t>
        </is>
      </c>
      <c r="G47" s="7" t="inlineStr">
        <is>
          <t>계산함</t>
        </is>
      </c>
      <c r="H47" s="7" t="inlineStr">
        <is>
          <t>연 1회</t>
        </is>
      </c>
      <c r="I47" s="10" t="inlineStr"/>
      <c r="J47" s="10" t="inlineStr"/>
      <c r="K47" s="10" t="inlineStr"/>
      <c r="L47" s="10" t="inlineStr">
        <is>
          <t>수술 종 판정 : 1-5종 수술분류표Ⅱ (약관 별표76)
(plus) 담보 — 수술 2회 이상일 때만</t>
        </is>
      </c>
      <c r="M47" s="10" t="inlineStr">
        <is>
          <t>수술비</t>
        </is>
      </c>
      <c r="N47" s="10" t="inlineStr">
        <is>
          <t>연간 2회 이상 수술 · 연간 1회한</t>
        </is>
      </c>
      <c r="O47" s="10" t="inlineStr">
        <is>
          <t>1-5종 수술비 plus(연간 2회 이상)</t>
        </is>
      </c>
      <c r="P47" s="7" t="n">
        <v>4</v>
      </c>
      <c r="Q47" s="10" t="inlineStr"/>
      <c r="R47" s="10" t="inlineStr">
        <is>
          <t>상해 1-5종수술비(plus)(연간2회이상)
질병 1-5종수술비(plus)(연간2회이상)
상해 1-5종수술비(plus)(연간2회이상)
질병 1-5종수술비(plus)(연간2회이상)</t>
        </is>
      </c>
      <c r="S47" s="11" t="inlineStr"/>
      <c r="T47" s="11" t="inlineStr"/>
    </row>
    <row r="48">
      <c r="A48" s="12" t="n">
        <v>46</v>
      </c>
      <c r="B48" s="13" t="inlineStr">
        <is>
          <t>surg_grade_1_7</t>
        </is>
      </c>
      <c r="C48" s="14" t="inlineStr">
        <is>
          <t>수술비</t>
        </is>
      </c>
      <c r="D48" s="13" t="inlineStr">
        <is>
          <t>수술비\(1-7종</t>
        </is>
      </c>
      <c r="E48" s="15" t="inlineStr"/>
      <c r="F48" s="15" t="inlineStr">
        <is>
          <t>질병코드 조건 없음 — 담보명·치료행위로만 판정</t>
        </is>
      </c>
      <c r="G48" s="12" t="inlineStr">
        <is>
          <t>계산함</t>
        </is>
      </c>
      <c r="H48" s="12" t="inlineStr">
        <is>
          <t>받을 때마다</t>
        </is>
      </c>
      <c r="I48" s="15" t="inlineStr"/>
      <c r="J48" s="15" t="inlineStr"/>
      <c r="K48" s="15" t="inlineStr"/>
      <c r="L48" s="15" t="inlineStr">
        <is>
          <t>수술 종 판정 : 1-7종 수술분류표 (약관 별표3)</t>
        </is>
      </c>
      <c r="M48" s="15" t="inlineStr">
        <is>
          <t>수술비</t>
        </is>
      </c>
      <c r="N48" s="15" t="inlineStr">
        <is>
          <t>{j}종 수술 1회당</t>
        </is>
      </c>
      <c r="O48" s="15" t="inlineStr">
        <is>
          <t>1-7종 수술비(별표3 기준)</t>
        </is>
      </c>
      <c r="P48" s="12" t="n">
        <v>7</v>
      </c>
      <c r="Q48" s="15" t="inlineStr"/>
      <c r="R48" s="15" t="inlineStr">
        <is>
          <t>수술비(1-7종, 연간3회한)[상해]
수술비(1-7종, 연간3회한)[질병]
수술비(1-7종, 연간3회한)[상해]
갱신형 수술비 (1-7종, 연간3회한)[상해]
수술비(1-7종, 연간3회한)[질병]</t>
        </is>
      </c>
      <c r="S48" s="11" t="inlineStr"/>
      <c r="T48" s="11" t="inlineStr"/>
    </row>
    <row r="49">
      <c r="A49" s="7" t="n">
        <v>47</v>
      </c>
      <c r="B49" s="8" t="inlineStr">
        <is>
          <t>surg_grade_1_7_row</t>
        </is>
      </c>
      <c r="C49" s="9" t="inlineStr">
        <is>
          <t>수술비</t>
        </is>
      </c>
      <c r="D49" s="8" t="inlineStr">
        <is>
          <t>^(갱신형)?수술비\[(상해|질병)\d종\]</t>
        </is>
      </c>
      <c r="E49" s="10" t="inlineStr"/>
      <c r="F49" s="10" t="inlineStr">
        <is>
          <t>질병코드 조건 없음 — 담보명·치료행위로만 판정</t>
        </is>
      </c>
      <c r="G49" s="7" t="inlineStr">
        <is>
          <t>계산함</t>
        </is>
      </c>
      <c r="H49" s="7" t="inlineStr">
        <is>
          <t>받을 때마다</t>
        </is>
      </c>
      <c r="I49" s="10" t="inlineStr"/>
      <c r="J49" s="10" t="inlineStr"/>
      <c r="K49" s="10" t="inlineStr"/>
      <c r="L49" s="10" t="inlineStr">
        <is>
          <t>수술 종 판정 : 1-7종 수술분류표 (약관 별표3)</t>
        </is>
      </c>
      <c r="M49" s="10" t="inlineStr">
        <is>
          <t>수술비</t>
        </is>
      </c>
      <c r="N49" s="10" t="inlineStr">
        <is>
          <t>1-7종 분류표 {j}종 수술 1회당</t>
        </is>
      </c>
      <c r="O49" s="10" t="inlineStr">
        <is>
          <t>1-7종 수술비의 종별 하위 행(설계서에서 ┗ 로 접힌 담보)</t>
        </is>
      </c>
      <c r="P49" s="16" t="n">
        <v>0</v>
      </c>
      <c r="Q49" s="17" t="inlineStr">
        <is>
          <t>특약 마스터에 이 담보명이 없음 — 상품에 없는 담보이거나 이름이 달라진 것</t>
        </is>
      </c>
      <c r="R49" s="10" t="inlineStr"/>
      <c r="S49" s="11" t="inlineStr"/>
      <c r="T49" s="11" t="inlineStr"/>
    </row>
    <row r="50">
      <c r="A50" s="12" t="n">
        <v>48</v>
      </c>
      <c r="B50" s="13" t="inlineStr">
        <is>
          <t>surg_new_basic</t>
        </is>
      </c>
      <c r="C50" s="14" t="inlineStr">
        <is>
          <t>수술비</t>
        </is>
      </c>
      <c r="D50" s="13" t="inlineStr">
        <is>
          <t>신수술비\[기본\]</t>
        </is>
      </c>
      <c r="E50" s="15" t="inlineStr"/>
      <c r="F50" s="15" t="inlineStr">
        <is>
          <t>질병코드 조건 없음 — 담보명·치료행위로만 판정</t>
        </is>
      </c>
      <c r="G50" s="12" t="inlineStr">
        <is>
          <t>계산함</t>
        </is>
      </c>
      <c r="H50" s="12" t="inlineStr">
        <is>
          <t>받을 때마다</t>
        </is>
      </c>
      <c r="I50" s="15" t="inlineStr"/>
      <c r="J50" s="15" t="inlineStr"/>
      <c r="K50" s="15" t="inlineStr"/>
      <c r="L50" s="15" t="inlineStr"/>
      <c r="M50" s="15" t="inlineStr">
        <is>
          <t>수술비</t>
        </is>
      </c>
      <c r="N50" s="15" t="inlineStr">
        <is>
          <t>신수술분류표[기본] {code} 수술 1회</t>
        </is>
      </c>
      <c r="O50" s="15" t="inlineStr">
        <is>
          <t>질병/상해 신수술비[기본] — 사례 수술코드(ADRG)가 약관 【별표 신수술분류표[기본]】(surg_new.json · 1-7종 분류표와 같은 630코드)에 있으면 세부보장(입원/통원) 가입금액 100%. 수술코드당 연간 3회한은 '매 회' 집계 범위 안(v8.70)</t>
        </is>
      </c>
      <c r="P50" s="16" t="n">
        <v>0</v>
      </c>
      <c r="Q50" s="17" t="inlineStr">
        <is>
          <t>특약 마스터에 이 담보명이 없음 — 상품에 없는 담보이거나 이름이 달라진 것</t>
        </is>
      </c>
      <c r="R50" s="15" t="inlineStr"/>
      <c r="S50" s="11" t="inlineStr"/>
      <c r="T50" s="11" t="inlineStr"/>
    </row>
    <row r="51">
      <c r="A51" s="7" t="n">
        <v>49</v>
      </c>
      <c r="B51" s="8" t="inlineStr">
        <is>
          <t>surg_new_major</t>
        </is>
      </c>
      <c r="C51" s="9" t="inlineStr">
        <is>
          <t>수술비</t>
        </is>
      </c>
      <c r="D51" s="8" t="inlineStr">
        <is>
          <t>신수술비\[주요수술\]</t>
        </is>
      </c>
      <c r="E51" s="10" t="inlineStr"/>
      <c r="F51" s="10" t="inlineStr">
        <is>
          <t>질병코드 조건 없음 — 담보명·치료행위로만 판정</t>
        </is>
      </c>
      <c r="G51" s="7" t="inlineStr">
        <is>
          <t>계산함</t>
        </is>
      </c>
      <c r="H51" s="7" t="inlineStr">
        <is>
          <t>받을 때마다</t>
        </is>
      </c>
      <c r="I51" s="10" t="inlineStr"/>
      <c r="J51" s="10" t="inlineStr"/>
      <c r="K51" s="10" t="inlineStr"/>
      <c r="L51" s="10" t="inlineStr"/>
      <c r="M51" s="10" t="inlineStr">
        <is>
          <t>수술비</t>
        </is>
      </c>
      <c r="N51" s="10" t="inlineStr">
        <is>
          <t>신수술분류표[주요수술] {code}({type}) 수술 1회</t>
        </is>
      </c>
      <c r="O51" s="10" t="inlineStr">
        <is>
          <t>질병/상해 신수술비[주요수술] — 사례 수술코드가 약관 【별표 질병/상해 신수술분류표[주요수술]】의 수술종류(장기이식·개두및두부·개흉·개복·각막조직피부이식및조직재건·경피적)에 들 때 그 세부보장 가입금액 100%(v8.70)</t>
        </is>
      </c>
      <c r="P51" s="16" t="n">
        <v>0</v>
      </c>
      <c r="Q51" s="17" t="inlineStr">
        <is>
          <t>특약 마스터에 이 담보명이 없음 — 상품에 없는 담보이거나 이름이 달라진 것</t>
        </is>
      </c>
      <c r="R51" s="10" t="inlineStr"/>
      <c r="S51" s="11" t="inlineStr"/>
      <c r="T51" s="11" t="inlineStr"/>
    </row>
    <row r="52">
      <c r="A52" s="12" t="n">
        <v>50</v>
      </c>
      <c r="B52" s="13" t="inlineStr">
        <is>
          <t>surg_arrhythmia</t>
        </is>
      </c>
      <c r="C52" s="14" t="inlineStr">
        <is>
          <t>수술비</t>
        </is>
      </c>
      <c r="D52" s="13" t="inlineStr">
        <is>
          <t>부정맥질환특정수술비|부정맥특정수술비</t>
        </is>
      </c>
      <c r="E52" s="15" t="inlineStr"/>
      <c r="F52" s="15" t="inlineStr">
        <is>
          <t>질병코드 그룹표(rules.json)와 대조</t>
        </is>
      </c>
      <c r="G52" s="12" t="inlineStr">
        <is>
          <t>계산함</t>
        </is>
      </c>
      <c r="H52" s="12" t="inlineStr">
        <is>
          <t>연 1회</t>
        </is>
      </c>
      <c r="I52" s="15" t="inlineStr"/>
      <c r="J52" s="15" t="inlineStr"/>
      <c r="K52" s="15" t="inlineStr"/>
      <c r="L52" s="15" t="inlineStr">
        <is>
          <t>질병코드 그룹표를 「6대심장질환_부정맥」로 지정
메모 : 대상질병은 케어프리 M-Basket 약관 【별표2】 6대심장질환 분류표의 '4.부정맥'을 따랐다. 해당 상품 약관으로 재확인 필요.</t>
        </is>
      </c>
      <c r="M52" s="15" t="inlineStr"/>
      <c r="N52" s="15" t="inlineStr">
        <is>
          <t>약관 별표 6대심장질환 중 부정맥(I47·I48·I49) 진단 후 특정부정맥수술(급여) · 연간 1회</t>
        </is>
      </c>
      <c r="O52" s="15" t="inlineStr">
        <is>
          <t>부정맥질환 특정수술비 — 별표 6대심장질환 중 부정맥</t>
        </is>
      </c>
      <c r="P52" s="16" t="n">
        <v>0</v>
      </c>
      <c r="Q52" s="17" t="inlineStr">
        <is>
          <t>특약 마스터에 이 담보명이 없음 — 상품에 없는 담보이거나 이름이 달라진 것</t>
        </is>
      </c>
      <c r="R52" s="15" t="inlineStr"/>
      <c r="S52" s="11" t="inlineStr"/>
      <c r="T52" s="11" t="inlineStr"/>
    </row>
    <row r="53">
      <c r="A53" s="7" t="n">
        <v>51</v>
      </c>
      <c r="B53" s="8" t="inlineStr">
        <is>
          <t>surg_131</t>
        </is>
      </c>
      <c r="C53" s="9" t="inlineStr">
        <is>
          <t>수술비</t>
        </is>
      </c>
      <c r="D53" s="8" t="inlineStr">
        <is>
          <t>13[01]대질병수술비</t>
        </is>
      </c>
      <c r="E53" s="10" t="inlineStr"/>
      <c r="F53" s="10" t="inlineStr">
        <is>
          <t>131대질병 그룹표(g131.json)와 대조</t>
        </is>
      </c>
      <c r="G53" s="7" t="inlineStr">
        <is>
          <t>계산함</t>
        </is>
      </c>
      <c r="H53" s="7" t="inlineStr">
        <is>
          <t>받을 때마다</t>
        </is>
      </c>
      <c r="I53" s="10" t="inlineStr"/>
      <c r="J53" s="10" t="inlineStr"/>
      <c r="K53" s="10" t="inlineStr"/>
      <c r="L53" s="10" t="inlineStr">
        <is>
          <t>암·유사암은 대상에서 제외</t>
        </is>
      </c>
      <c r="M53" s="10" t="inlineStr">
        <is>
          <t>수술비</t>
        </is>
      </c>
      <c r="N53" s="10" t="inlineStr">
        <is>
          <t>{g} 수술 · 1회</t>
        </is>
      </c>
      <c r="O53" s="10" t="inlineStr">
        <is>
          <t>131/130대질병수술비 — 그룹별 KCD 표(g131.json)로 판정 · 암/유사암 제외</t>
        </is>
      </c>
      <c r="P53" s="7" t="n">
        <v>36</v>
      </c>
      <c r="Q53" s="10" t="inlineStr"/>
      <c r="R53" s="10" t="inlineStr">
        <is>
          <t>130대질병수술비
130대질병수술비[뇌혈관질환]
130대질병수술비[심장질환]
130대질병수술비[특정31대질병]
130대질병수술비[다빈도61대질병]</t>
        </is>
      </c>
      <c r="S53" s="11" t="inlineStr"/>
      <c r="T53" s="11" t="inlineStr"/>
    </row>
    <row r="54">
      <c r="A54" s="12" t="n">
        <v>52</v>
      </c>
      <c r="B54" s="13" t="inlineStr">
        <is>
          <t>tx_breast_recon</t>
        </is>
      </c>
      <c r="C54" s="14" t="inlineStr">
        <is>
          <t>치료비 (치료행위)</t>
        </is>
      </c>
      <c r="D54" s="13" t="inlineStr">
        <is>
          <t>유방재건수술비</t>
        </is>
      </c>
      <c r="E54" s="15" t="inlineStr"/>
      <c r="F54" s="15" t="inlineStr">
        <is>
          <t>특약 마스터(db.json)에 실린 약관 KCD 목록과 대조</t>
        </is>
      </c>
      <c r="G54" s="12" t="inlineStr">
        <is>
          <t>계산함</t>
        </is>
      </c>
      <c r="H54" s="12" t="inlineStr">
        <is>
          <t>연 1회</t>
        </is>
      </c>
      <c r="I54" s="15" t="inlineStr">
        <is>
          <t>수술  (surg)</t>
        </is>
      </c>
      <c r="J54" s="15" t="inlineStr"/>
      <c r="K54" s="15" t="inlineStr"/>
      <c r="L54" s="15" t="inlineStr">
        <is>
          <t>약관이 진료행위(수가)코드를 열거한 항목은 그 목록에 있을 때만
메모 : 전에는 암수술비 규칙(암 전체)에 걸려 위암 개복·로봇수술에도 지급됐다(통183·케335·또255 제1조·제3조 : 유방암 + 유방재건수술 수가코드)(v8.63)</t>
        </is>
      </c>
      <c r="M54" s="15" t="inlineStr">
        <is>
          <t>수술비</t>
        </is>
      </c>
      <c r="N54" s="15" t="inlineStr">
        <is>
          <t>유방암(C50) 진단 후 유방재건수술(급여 · 약관 별표 수가코드 N7140~N7153) · 연간 1회</t>
        </is>
      </c>
      <c r="O54" s="15" t="inlineStr">
        <is>
          <t>유방암 유방재건수술비 — 유방암 코드 + 수가코드 판정(v8.63)</t>
        </is>
      </c>
      <c r="P54" s="12" t="n">
        <v>5</v>
      </c>
      <c r="Q54" s="15" t="inlineStr"/>
      <c r="R54" s="15" t="inlineStr">
        <is>
          <t>갱신형 유방암 유방재건수술비(급여, 연간1회한)
갱신형 유방암 유방재건수술비(급여, 연간1회한)(감액및면책기간미적용)
갱신형 유방암 유방재건수술비(급여, 연간1회한)
갱신형유방암유방재건수술비(급여,연간1회한)
갱신형유방암유방재건수술비(급여,연간1회한)</t>
        </is>
      </c>
      <c r="S54" s="11" t="inlineStr"/>
      <c r="T54" s="11" t="inlineStr"/>
    </row>
    <row r="55">
      <c r="A55" s="7" t="n">
        <v>53</v>
      </c>
      <c r="B55" s="8" t="inlineStr">
        <is>
          <t>surg_cancer</t>
        </is>
      </c>
      <c r="C55" s="9" t="inlineStr">
        <is>
          <t>수술비</t>
        </is>
      </c>
      <c r="D55" s="8" t="inlineStr">
        <is>
          <t>(^|\])(갱신형)?암수술비</t>
        </is>
      </c>
      <c r="E55" s="10" t="inlineStr">
        <is>
          <t>유사암수술비|다빈치로봇</t>
        </is>
      </c>
      <c r="F55" s="10" t="inlineStr">
        <is>
          <t>암 — 유사암 제외 (약관 별표 암분류로 판정)</t>
        </is>
      </c>
      <c r="G55" s="7" t="inlineStr">
        <is>
          <t>계산함</t>
        </is>
      </c>
      <c r="H55" s="7" t="inlineStr">
        <is>
          <t>받을 때마다</t>
        </is>
      </c>
      <c r="I55" s="10" t="inlineStr">
        <is>
          <t>수술  (surg)</t>
        </is>
      </c>
      <c r="J55" s="10" t="inlineStr"/>
      <c r="K55" s="10" t="inlineStr"/>
      <c r="L55" s="10" t="inlineStr"/>
      <c r="M55" s="10" t="inlineStr">
        <is>
          <t>수술비</t>
        </is>
      </c>
      <c r="N55" s="10" t="inlineStr">
        <is>
          <t>암 수술 1회당</t>
        </is>
      </c>
      <c r="O55" s="10" t="inlineStr">
        <is>
          <t>암수술비</t>
        </is>
      </c>
      <c r="P55" s="7" t="n">
        <v>12</v>
      </c>
      <c r="Q55" s="10" t="inlineStr"/>
      <c r="R55" s="10" t="inlineStr">
        <is>
          <t>암수술비(유사암제외)
암수술비(유사암제외)(25%체증형)
암수술비(유사암제외) (감액및면책기간미적용)
암수술비(유사암제외)(25%체증형) (감액및면책기간미적용)
암수술비(유사암제외)</t>
        </is>
      </c>
      <c r="S55" s="11" t="inlineStr"/>
      <c r="T55" s="11" t="inlineStr"/>
    </row>
    <row r="56">
      <c r="A56" s="12" t="n">
        <v>54</v>
      </c>
      <c r="B56" s="13" t="inlineStr">
        <is>
          <t>surg_cancer_sim</t>
        </is>
      </c>
      <c r="C56" s="14" t="inlineStr">
        <is>
          <t>수술비</t>
        </is>
      </c>
      <c r="D56" s="13" t="inlineStr">
        <is>
          <t>유사암수술비</t>
        </is>
      </c>
      <c r="E56" s="15" t="inlineStr"/>
      <c r="F56" s="15" t="inlineStr">
        <is>
          <t>유사암 — 제자리암·경계성종양·갑상선암·기타피부암</t>
        </is>
      </c>
      <c r="G56" s="12" t="inlineStr">
        <is>
          <t>계산함</t>
        </is>
      </c>
      <c r="H56" s="12" t="inlineStr">
        <is>
          <t>받을 때마다</t>
        </is>
      </c>
      <c r="I56" s="15" t="inlineStr">
        <is>
          <t>수술  (surg)</t>
        </is>
      </c>
      <c r="J56" s="15" t="inlineStr"/>
      <c r="K56" s="15" t="inlineStr"/>
      <c r="L56" s="15" t="inlineStr"/>
      <c r="M56" s="15" t="inlineStr">
        <is>
          <t>수술비</t>
        </is>
      </c>
      <c r="N56" s="15" t="inlineStr">
        <is>
          <t>유사암 수술 1회당</t>
        </is>
      </c>
      <c r="O56" s="15" t="inlineStr">
        <is>
          <t>유사암수술비</t>
        </is>
      </c>
      <c r="P56" s="12" t="n">
        <v>12</v>
      </c>
      <c r="Q56" s="15" t="inlineStr"/>
      <c r="R56" s="15" t="inlineStr">
        <is>
          <t>유사암수술비
유사암수술비(25%체증형)
유사암수술비(감액및면책기간미적용)
유사암수술비(25%체증형) (감액및면책기간미적용)
유사암수술비</t>
        </is>
      </c>
      <c r="S56" s="11" t="inlineStr"/>
      <c r="T56" s="11" t="inlineStr"/>
    </row>
    <row r="57">
      <c r="A57" s="7" t="n">
        <v>55</v>
      </c>
      <c r="B57" s="8" t="inlineStr">
        <is>
          <t>tx_hc_radiosurg</t>
        </is>
      </c>
      <c r="C57" s="9" t="inlineStr">
        <is>
          <t>치료비 (치료행위)</t>
        </is>
      </c>
      <c r="D57" s="8" t="inlineStr">
        <is>
          <t>뇌정위적방사선수술비</t>
        </is>
      </c>
      <c r="E57" s="10" t="inlineStr"/>
      <c r="F57" s="10" t="inlineStr">
        <is>
          <t>약관 별표 진료행위(수가)코드와 대조</t>
        </is>
      </c>
      <c r="G57" s="7" t="inlineStr">
        <is>
          <t>계산함</t>
        </is>
      </c>
      <c r="H57" s="7" t="inlineStr">
        <is>
          <t>연 1회</t>
        </is>
      </c>
      <c r="I57" s="10" t="inlineStr"/>
      <c r="J57" s="10" t="inlineStr"/>
      <c r="K57" s="10" t="inlineStr"/>
      <c r="L57" s="10" t="inlineStr"/>
      <c r="M57" s="10" t="inlineStr">
        <is>
          <t>수술비</t>
        </is>
      </c>
      <c r="N57" s="10" t="inlineStr">
        <is>
          <t>뇌정위적방사선수술(급여 · 감마나이프 HD113 · 사이버나이프 HD114 등) · 연간 1회</t>
        </is>
      </c>
      <c r="O57" s="10" t="inlineStr">
        <is>
          <t>뇌정위적방사선수술비 — 약관 제3조가 진료행위코드(HD113~HD115)로 정한다 · 별표 수가코드 ∩ 사례 단계 수가코드로 판정(v8.61)</t>
        </is>
      </c>
      <c r="P57" s="7" t="n">
        <v>3</v>
      </c>
      <c r="Q57" s="10" t="inlineStr"/>
      <c r="R57" s="10" t="inlineStr">
        <is>
          <t>갱신형 뇌정위적방사선수술비 (급여,연간1회한)
갱신형 뇌정위적방사선수술비 (급여,연간1회한)
갱신형뇌정위적방사선수술비(급여,연간1회한)</t>
        </is>
      </c>
      <c r="S57" s="11" t="inlineStr"/>
      <c r="T57" s="11" t="inlineStr"/>
    </row>
    <row r="58">
      <c r="A58" s="12" t="n">
        <v>56</v>
      </c>
      <c r="B58" s="13" t="inlineStr">
        <is>
          <t>surg_brain_heart</t>
        </is>
      </c>
      <c r="C58" s="14" t="inlineStr">
        <is>
          <t>수술비</t>
        </is>
      </c>
      <c r="D58" s="13" t="inlineStr">
        <is>
          <t>(뇌혈관질환|허혈성심장질환|뇌출혈).*수술비</t>
        </is>
      </c>
      <c r="E58" s="15" t="inlineStr"/>
      <c r="F58" s="15" t="inlineStr">
        <is>
          <t>특약 마스터(db.json)에 실린 약관 KCD 목록과 대조</t>
        </is>
      </c>
      <c r="G58" s="12" t="inlineStr">
        <is>
          <t>계산함</t>
        </is>
      </c>
      <c r="H58" s="12" t="inlineStr">
        <is>
          <t>받을 때마다</t>
        </is>
      </c>
      <c r="I58" s="15" t="inlineStr"/>
      <c r="J58" s="15" t="inlineStr"/>
      <c r="K58" s="15" t="inlineStr"/>
      <c r="L58" s="15" t="inlineStr">
        <is>
          <t>암·유사암은 대상에서 제외</t>
        </is>
      </c>
      <c r="M58" s="15" t="inlineStr">
        <is>
          <t>수술비</t>
        </is>
      </c>
      <c r="N58" s="15" t="inlineStr">
        <is>
          <t>진단확정 후 수술 1회당</t>
        </is>
      </c>
      <c r="O58" s="15" t="inlineStr">
        <is>
          <t>뇌혈관·허혈성심장질환 수술비 — 약관 KCD 목록으로 판정</t>
        </is>
      </c>
      <c r="P58" s="12" t="n">
        <v>17</v>
      </c>
      <c r="Q58" s="15" t="inlineStr"/>
      <c r="R58" s="15" t="inlineStr">
        <is>
          <t>뇌출혈수술비
뇌혈관질환수술비Ⅱ
뇌혈관질환수술비Ⅱ(25%체증형)
허혈성심장질환수술비Ⅱ
허혈성심장질환수술비Ⅱ(25%체증형)</t>
        </is>
      </c>
      <c r="S58" s="11" t="inlineStr"/>
      <c r="T58" s="11" t="inlineStr"/>
    </row>
    <row r="59">
      <c r="A59" s="7" t="n">
        <v>57</v>
      </c>
      <c r="B59" s="8" t="inlineStr">
        <is>
          <t>surg_hc</t>
        </is>
      </c>
      <c r="C59" s="9" t="inlineStr">
        <is>
          <t>수술비</t>
        </is>
      </c>
      <c r="D59" s="8" t="inlineStr">
        <is>
          <t>(폴립및양성종양수술비|십자인대수술비|반월판연골수술비|골관절고정수술비|자가연골\(세포\)이식수술비|관절치환수술비|신경성형수술비|척추고정수술비)</t>
        </is>
      </c>
      <c r="E59" s="10" t="inlineStr"/>
      <c r="F59" s="10" t="inlineStr">
        <is>
          <t>약관 별표 진료행위(수가)코드와 대조</t>
        </is>
      </c>
      <c r="G59" s="7" t="inlineStr">
        <is>
          <t>계산함</t>
        </is>
      </c>
      <c r="H59" s="7" t="inlineStr">
        <is>
          <t>받을 때마다</t>
        </is>
      </c>
      <c r="I59" s="10" t="inlineStr"/>
      <c r="J59" s="10" t="inlineStr"/>
      <c r="K59" s="10" t="inlineStr"/>
      <c r="L59" s="10" t="inlineStr"/>
      <c r="M59" s="10" t="inlineStr">
        <is>
          <t>수술비</t>
        </is>
      </c>
      <c r="N59" s="10" t="inlineStr">
        <is>
          <t>약관 별표 진료행위(수가코드)에 해당하는 수술 · 연간 1회</t>
        </is>
      </c>
      <c r="O59" s="10" t="inlineStr">
        <is>
          <t>진료행위(수가)코드로 정한 수술비(급여,연간1회한) — 약관에 질병코드가 없고 수가코드만 열거한다 · 별표 수가코드 ∩ 사례 단계 수가코드로 판정 · 담보명의 '연간1회한'으로 연 1회(v8.61)</t>
        </is>
      </c>
      <c r="P59" s="7" t="n">
        <v>10</v>
      </c>
      <c r="Q59" s="10" t="inlineStr"/>
      <c r="R59" s="10" t="inlineStr">
        <is>
          <t>갱신형 폴립및양성종양수술비(1-6종) (급여,연간1회한)
갱신형 폴립및양성종양수술비(1-6종) (급여,연간1회한)
십자인대수술비(급여,연간1회한)
반월판연골수술비 (급여,연간1회한)
골관절고정수술비 (급여,연간1회한)</t>
        </is>
      </c>
      <c r="S59" s="11" t="inlineStr"/>
      <c r="T59" s="11" t="inlineStr"/>
    </row>
    <row r="60">
      <c r="A60" s="12" t="n">
        <v>58</v>
      </c>
      <c r="B60" s="13" t="inlineStr">
        <is>
          <t>surg_appendix_once</t>
        </is>
      </c>
      <c r="C60" s="14" t="inlineStr">
        <is>
          <t>수술비</t>
        </is>
      </c>
      <c r="D60" s="13" t="inlineStr">
        <is>
          <t>충수염수술비</t>
        </is>
      </c>
      <c r="E60" s="15" t="inlineStr"/>
      <c r="F60" s="15" t="inlineStr">
        <is>
          <t>특약 마스터(db.json)에 실린 약관 KCD 목록과 대조</t>
        </is>
      </c>
      <c r="G60" s="12" t="inlineStr">
        <is>
          <t>계산함</t>
        </is>
      </c>
      <c r="H60" s="12" t="inlineStr">
        <is>
          <t>최초 1회</t>
        </is>
      </c>
      <c r="I60" s="15" t="inlineStr"/>
      <c r="J60" s="15" t="inlineStr"/>
      <c r="K60" s="15" t="inlineStr"/>
      <c r="L60" s="15" t="inlineStr">
        <is>
          <t>암·유사암은 대상에서 제외
메모 : 통73·케69 제1조 「최초 1회에 한하여」(v8.63)</t>
        </is>
      </c>
      <c r="M60" s="15" t="inlineStr">
        <is>
          <t>수술비</t>
        </is>
      </c>
      <c r="N60" s="15" t="inlineStr">
        <is>
          <t>충수염(K35~K38) 치료 목적 수술 · 최초 1회</t>
        </is>
      </c>
      <c r="O60" s="15" t="inlineStr">
        <is>
          <t>충수염수술비 — 최초 1회(v8.63)</t>
        </is>
      </c>
      <c r="P60" s="12" t="n">
        <v>2</v>
      </c>
      <c r="Q60" s="15" t="inlineStr"/>
      <c r="R60" s="15" t="inlineStr">
        <is>
          <t>충수염수술비
충수염수술비</t>
        </is>
      </c>
      <c r="S60" s="11" t="inlineStr"/>
      <c r="T60" s="11" t="inlineStr"/>
    </row>
    <row r="61">
      <c r="A61" s="7" t="n">
        <v>59</v>
      </c>
      <c r="B61" s="8" t="inlineStr">
        <is>
          <t>surg_group_kcd</t>
        </is>
      </c>
      <c r="C61" s="9" t="inlineStr">
        <is>
          <t>수술비</t>
        </is>
      </c>
      <c r="D61" s="8" t="inlineStr">
        <is>
          <t>(32대질병관혈수술비|5대질환.*수술비|특정희귀난치성질환수술비|남성특정비뇨기계질환수술비|안과질환수술비|간질환수술비|호흡기관련질병수술비|척추질병수술비|추간판장애.*수술비|충수염수술비|관절.*수술비|인공관절수술비|요실금수술비|각막이식수술비|조혈모세포이식수술비|5대장기이식수술비|무릎인대파열.*수술비|아킬레스힘줄손상수술비|이비인후과질환수술비|유방절제수술복원치료비|당뇨병수술비|시청각질환수술비|소아탈장수술비|척추측만증수술비|사시수술비|선천이상수술비|보호자임신.?출산질환수술비|보호자유산수술비|신생아질환수술비)</t>
        </is>
      </c>
      <c r="E61" s="10" t="inlineStr"/>
      <c r="F61" s="10" t="inlineStr">
        <is>
          <t>특약 마스터(db.json)에 실린 약관 KCD 목록과 대조</t>
        </is>
      </c>
      <c r="G61" s="7" t="inlineStr">
        <is>
          <t>계산함</t>
        </is>
      </c>
      <c r="H61" s="7" t="inlineStr">
        <is>
          <t>받을 때마다</t>
        </is>
      </c>
      <c r="I61" s="10" t="inlineStr"/>
      <c r="J61" s="10" t="inlineStr"/>
      <c r="K61" s="10" t="inlineStr"/>
      <c r="L61" s="10" t="inlineStr">
        <is>
          <t>암·유사암은 대상에서 제외</t>
        </is>
      </c>
      <c r="M61" s="10" t="inlineStr">
        <is>
          <t>수술비</t>
        </is>
      </c>
      <c r="N61" s="10" t="inlineStr">
        <is>
          <t>약관 대상 질병 수술 1회당</t>
        </is>
      </c>
      <c r="O61" s="10" t="inlineStr">
        <is>
          <t>특정질환 수술비 — 약관 KCD 목록으로 판정</t>
        </is>
      </c>
      <c r="P61" s="7" t="n">
        <v>25</v>
      </c>
      <c r="Q61" s="10" t="inlineStr"/>
      <c r="R61" s="10" t="inlineStr">
        <is>
          <t>32대질병관혈수술비(연간1회한)
32대질병관혈수술비(연간1회한)[5대질병관혈수술비]
32대질병관혈수술비(연간1회한)[9대질병관혈수술비]
32대질병관혈수술비(연간1회한)[14대질병관혈수술비]
32대질병관혈수술비(연간1회한)[4대질병관혈수술비]</t>
        </is>
      </c>
      <c r="S61" s="11" t="inlineStr"/>
      <c r="T61" s="11" t="inlineStr"/>
    </row>
    <row r="62">
      <c r="A62" s="12" t="n">
        <v>60</v>
      </c>
      <c r="B62" s="13" t="inlineStr">
        <is>
          <t>surg_injury_once</t>
        </is>
      </c>
      <c r="C62" s="14" t="inlineStr">
        <is>
          <t>수술비</t>
        </is>
      </c>
      <c r="D62" s="13" t="inlineStr">
        <is>
          <t>중대한특정상해수술비|화상수술비</t>
        </is>
      </c>
      <c r="E62" s="15" t="inlineStr"/>
      <c r="F62" s="15" t="inlineStr">
        <is>
          <t>특약 마스터(db.json)에 실린 약관 KCD 목록과 대조</t>
        </is>
      </c>
      <c r="G62" s="12" t="inlineStr">
        <is>
          <t>계산함</t>
        </is>
      </c>
      <c r="H62" s="12" t="inlineStr">
        <is>
          <t>최초 1회</t>
        </is>
      </c>
      <c r="I62" s="15" t="inlineStr"/>
      <c r="J62" s="15" t="inlineStr"/>
      <c r="K62" s="15" t="inlineStr"/>
      <c r="L62" s="15" t="inlineStr">
        <is>
          <t>원인 한정 : 상해만
메모 : 중대한특정상해수술비(케9·운34·치33 : 개두·개흉·개복수술 · 사고 180일 이내 · 최초 1회 후 소멸) · 신화상치료비[화상수술비](최초 1회) — 개두·개흉·개복 여부와 180일은 사례로 보지 않는다(v8.63)</t>
        </is>
      </c>
      <c r="M62" s="15" t="inlineStr">
        <is>
          <t>수술비</t>
        </is>
      </c>
      <c r="N62" s="15" t="inlineStr">
        <is>
          <t>상해 수술 · 최초 1회</t>
        </is>
      </c>
      <c r="O62" s="15" t="inlineStr">
        <is>
          <t>최초 1회 상해 수술비(중대한특정상해·화상수술)(v8.63)</t>
        </is>
      </c>
      <c r="P62" s="12" t="n">
        <v>7</v>
      </c>
      <c r="Q62" s="15" t="inlineStr"/>
      <c r="R62" s="15" t="inlineStr">
        <is>
          <t>신화상치료비[화상수술비]
신화상치료비[화상수술비]
중대한특정상해수술비
신화상치료비[화상수술비]
중대한특정상해수술비</t>
        </is>
      </c>
      <c r="S62" s="11" t="inlineStr"/>
      <c r="T62" s="11" t="inlineStr"/>
    </row>
    <row r="63">
      <c r="A63" s="7" t="n">
        <v>61</v>
      </c>
      <c r="B63" s="8" t="inlineStr">
        <is>
          <t>surg_injury_special</t>
        </is>
      </c>
      <c r="C63" s="9" t="inlineStr">
        <is>
          <t>수술비</t>
        </is>
      </c>
      <c r="D63" s="8" t="inlineStr">
        <is>
          <t>(골절.*수술비|화상수술비|외상성척추손상수술비|상해흉터복원수술비|외모특정상해수술비|중대한특정상해수술비)</t>
        </is>
      </c>
      <c r="E63" s="10" t="inlineStr"/>
      <c r="F63" s="10" t="inlineStr">
        <is>
          <t>특약 마스터(db.json)에 실린 약관 KCD 목록과 대조</t>
        </is>
      </c>
      <c r="G63" s="7" t="inlineStr">
        <is>
          <t>계산함</t>
        </is>
      </c>
      <c r="H63" s="7" t="inlineStr">
        <is>
          <t>받을 때마다</t>
        </is>
      </c>
      <c r="I63" s="10" t="inlineStr"/>
      <c r="J63" s="10" t="inlineStr"/>
      <c r="K63" s="10" t="inlineStr"/>
      <c r="L63" s="10" t="inlineStr">
        <is>
          <t>원인 한정 : 상해만</t>
        </is>
      </c>
      <c r="M63" s="10" t="inlineStr">
        <is>
          <t>수술비</t>
        </is>
      </c>
      <c r="N63" s="10" t="inlineStr">
        <is>
          <t>상해 수술 1회당</t>
        </is>
      </c>
      <c r="O63" s="10" t="inlineStr">
        <is>
          <t>상해 특정 수술비</t>
        </is>
      </c>
      <c r="P63" s="7" t="n">
        <v>15</v>
      </c>
      <c r="Q63" s="10" t="inlineStr"/>
      <c r="R63" s="10" t="inlineStr">
        <is>
          <t>골절수술비Ⅱ
골절(치아파절제외)수술비Ⅱ
골절수술비Ⅱ
5대골절수술비
골절(치아파절제외)수술비Ⅱ</t>
        </is>
      </c>
      <c r="S63" s="11" t="inlineStr"/>
      <c r="T63" s="11" t="inlineStr"/>
    </row>
    <row r="64">
      <c r="A64" s="12" t="n">
        <v>62</v>
      </c>
      <c r="B64" s="13" t="inlineStr">
        <is>
          <t>surg_basic</t>
        </is>
      </c>
      <c r="C64" s="14" t="inlineStr">
        <is>
          <t>수술비</t>
        </is>
      </c>
      <c r="D64" s="13" t="inlineStr">
        <is>
          <t>(질병|상해)수술비</t>
        </is>
      </c>
      <c r="E64" s="15" t="inlineStr"/>
      <c r="F64" s="15" t="inlineStr">
        <is>
          <t>질병코드 조건 없음 — 담보명·치료행위로만 판정</t>
        </is>
      </c>
      <c r="G64" s="12" t="inlineStr">
        <is>
          <t>계산함</t>
        </is>
      </c>
      <c r="H64" s="12" t="inlineStr">
        <is>
          <t>받을 때마다</t>
        </is>
      </c>
      <c r="I64" s="15" t="inlineStr"/>
      <c r="J64" s="15" t="inlineStr"/>
      <c r="K64" s="15" t="inlineStr"/>
      <c r="L64" s="15" t="inlineStr"/>
      <c r="M64" s="15" t="inlineStr">
        <is>
          <t>수술비</t>
        </is>
      </c>
      <c r="N64" s="15" t="inlineStr">
        <is>
          <t>수술 1회</t>
        </is>
      </c>
      <c r="O64" s="15" t="inlineStr">
        <is>
          <t>질병/상해 수술비(병원 종별·제외질병 조건은 담보명에서 자동 판별)</t>
        </is>
      </c>
      <c r="P64" s="12" t="n">
        <v>39</v>
      </c>
      <c r="Q64" s="15" t="inlineStr"/>
      <c r="R64" s="15" t="inlineStr">
        <is>
          <t>상해수술비
상해수술비(치아파절및치아탈구제외)
종합병원 상해수술비
상급종합병원 상해수술비
질병수술비</t>
        </is>
      </c>
      <c r="S64" s="11" t="inlineStr"/>
      <c r="T64" s="11" t="inlineStr"/>
    </row>
    <row r="65">
      <c r="A65" s="7" t="n">
        <v>63</v>
      </c>
      <c r="B65" s="8" t="inlineStr">
        <is>
          <t>day_icu</t>
        </is>
      </c>
      <c r="C65" s="9" t="inlineStr">
        <is>
          <t>입원·통원 일당</t>
        </is>
      </c>
      <c r="D65" s="8" t="inlineStr">
        <is>
          <t>중환자실입원일당</t>
        </is>
      </c>
      <c r="E65" s="10" t="inlineStr"/>
      <c r="F65" s="10" t="inlineStr">
        <is>
          <t>질병코드 조건 없음 — 담보명·치료행위로만 판정</t>
        </is>
      </c>
      <c r="G65" s="7" t="inlineStr">
        <is>
          <t>계산함</t>
        </is>
      </c>
      <c r="H65" s="7" t="inlineStr">
        <is>
          <t>받을 때마다 (기본값)</t>
        </is>
      </c>
      <c r="I65" s="10" t="inlineStr"/>
      <c r="J65" s="10" t="inlineStr"/>
      <c r="K65" s="10" t="inlineStr"/>
      <c r="L65" s="10" t="inlineStr">
        <is>
          <t>지급 단위 : 중환자실 1일당</t>
        </is>
      </c>
      <c r="M65" s="10" t="inlineStr">
        <is>
          <t>입원일당</t>
        </is>
      </c>
      <c r="N65" s="10" t="inlineStr"/>
      <c r="O65" s="10" t="inlineStr">
        <is>
          <t>중환자실 입원일당</t>
        </is>
      </c>
      <c r="P65" s="7" t="n">
        <v>7</v>
      </c>
      <c r="Q65" s="10" t="inlineStr"/>
      <c r="R65" s="10" t="inlineStr">
        <is>
          <t>일반상해중환자실입원일당(1일이상)
질병중환자실입원일당(1일이상)
일반상해중환자실입원일당(1일이상)
갱신형 일반상해중환자실입원일당 (1일이상)
질병중환자실입원일당(1일이상)</t>
        </is>
      </c>
      <c r="S65" s="11" t="inlineStr"/>
      <c r="T65" s="11" t="inlineStr"/>
    </row>
    <row r="66">
      <c r="A66" s="12" t="n">
        <v>64</v>
      </c>
      <c r="B66" s="13" t="inlineStr">
        <is>
          <t>day_cancer_stay</t>
        </is>
      </c>
      <c r="C66" s="14" t="inlineStr">
        <is>
          <t>입원·통원 일당</t>
        </is>
      </c>
      <c r="D66" s="13" t="inlineStr">
        <is>
          <t>암(직접치료|요양병원).*입원일당</t>
        </is>
      </c>
      <c r="E66" s="15" t="inlineStr"/>
      <c r="F66" s="15" t="inlineStr">
        <is>
          <t>암 — 유사암 제외 (약관 별표 암분류로 판정)</t>
        </is>
      </c>
      <c r="G66" s="12" t="inlineStr">
        <is>
          <t>계산함</t>
        </is>
      </c>
      <c r="H66" s="12" t="inlineStr">
        <is>
          <t>받을 때마다 (기본값)</t>
        </is>
      </c>
      <c r="I66" s="15" t="inlineStr"/>
      <c r="J66" s="15" t="inlineStr"/>
      <c r="K66" s="15" t="inlineStr"/>
      <c r="L66" s="15" t="inlineStr">
        <is>
          <t>지급 단위 : 입원 1일당</t>
        </is>
      </c>
      <c r="M66" s="15" t="inlineStr">
        <is>
          <t>입원일당</t>
        </is>
      </c>
      <c r="N66" s="15" t="inlineStr"/>
      <c r="O66" s="15" t="inlineStr">
        <is>
          <t>암 직접치료·요양병원 입원일당</t>
        </is>
      </c>
      <c r="P66" s="12" t="n">
        <v>13</v>
      </c>
      <c r="Q66" s="15" t="inlineStr"/>
      <c r="R66" s="15" t="inlineStr">
        <is>
          <t>암직접치료입원일당(Ⅱ)(요양병원제외, 1일이상)
암요양병원입원일당(Ⅱ)(1일이상 90일한도)
암직접치료입원일당(Ⅱ)(요양병원제외, 1일이상)(감액및면책기간미적용)
암요양병원입원일당(Ⅱ)(1일이상 90일한도)(감액및면책기간미적용)
암직접치료입원일당(Ⅱ)(요양병원제외, 1일이상)</t>
        </is>
      </c>
      <c r="S66" s="11" t="inlineStr"/>
      <c r="T66" s="11" t="inlineStr"/>
    </row>
    <row r="67">
      <c r="A67" s="7" t="n">
        <v>65</v>
      </c>
      <c r="B67" s="8" t="inlineStr">
        <is>
          <t>visit_cancer</t>
        </is>
      </c>
      <c r="C67" s="9" t="inlineStr">
        <is>
          <t>입원·통원 일당</t>
        </is>
      </c>
      <c r="D67" s="8" t="inlineStr">
        <is>
          <t>암직접치료통원일당</t>
        </is>
      </c>
      <c r="E67" s="10" t="inlineStr"/>
      <c r="F67" s="10" t="inlineStr">
        <is>
          <t>암 — 유사암 제외 (약관 별표 암분류로 판정)</t>
        </is>
      </c>
      <c r="G67" s="7" t="inlineStr">
        <is>
          <t>계산함</t>
        </is>
      </c>
      <c r="H67" s="7" t="inlineStr">
        <is>
          <t>받을 때마다 (기본값)</t>
        </is>
      </c>
      <c r="I67" s="10" t="inlineStr"/>
      <c r="J67" s="10" t="inlineStr"/>
      <c r="K67" s="10" t="inlineStr"/>
      <c r="L67" s="10" t="inlineStr">
        <is>
          <t>지급 단위 : 통원 1회당</t>
        </is>
      </c>
      <c r="M67" s="10" t="inlineStr">
        <is>
          <t>통원일당</t>
        </is>
      </c>
      <c r="N67" s="10" t="inlineStr"/>
      <c r="O67" s="10" t="inlineStr">
        <is>
          <t>암 직접치료 통원일당</t>
        </is>
      </c>
      <c r="P67" s="7" t="n">
        <v>6</v>
      </c>
      <c r="Q67" s="10" t="inlineStr"/>
      <c r="R67" s="10" t="inlineStr">
        <is>
          <t>암직접치료통원일당(상급종합병원)
암직접치료통원일당(상급종합병원) (감액및면책기간미적용)
암직접치료통원일당(상급종합병원)
갱신형 암직접치료통원일당 (상급종합병원)
암직접치료통원일당(상급종합병원)</t>
        </is>
      </c>
      <c r="S67" s="11" t="inlineStr"/>
      <c r="T67" s="11" t="inlineStr"/>
    </row>
    <row r="68">
      <c r="A68" s="12" t="n">
        <v>66</v>
      </c>
      <c r="B68" s="13" t="inlineStr">
        <is>
          <t>visit_dx</t>
        </is>
      </c>
      <c r="C68" s="14" t="inlineStr">
        <is>
          <t>입원·통원 일당</t>
        </is>
      </c>
      <c r="D68" s="13" t="inlineStr">
        <is>
          <t>(뇌혈관질환|허혈성심장질환).*통원일당</t>
        </is>
      </c>
      <c r="E68" s="15" t="inlineStr"/>
      <c r="F68" s="15" t="inlineStr">
        <is>
          <t>특약 마스터(db.json)에 실린 약관 KCD 목록과 대조</t>
        </is>
      </c>
      <c r="G68" s="12" t="inlineStr">
        <is>
          <t>계산함</t>
        </is>
      </c>
      <c r="H68" s="12" t="inlineStr">
        <is>
          <t>받을 때마다 (기본값)</t>
        </is>
      </c>
      <c r="I68" s="15" t="inlineStr"/>
      <c r="J68" s="15" t="inlineStr"/>
      <c r="K68" s="15" t="inlineStr"/>
      <c r="L68" s="15" t="inlineStr">
        <is>
          <t>지급 단위 : 통원 1회당</t>
        </is>
      </c>
      <c r="M68" s="15" t="inlineStr">
        <is>
          <t>통원일당</t>
        </is>
      </c>
      <c r="N68" s="15" t="inlineStr"/>
      <c r="O68" s="15" t="inlineStr">
        <is>
          <t>뇌·심장 통원일당</t>
        </is>
      </c>
      <c r="P68" s="12" t="n">
        <v>18</v>
      </c>
      <c r="Q68" s="15" t="inlineStr"/>
      <c r="R68" s="15" t="inlineStr">
        <is>
          <t>뇌혈관질환통원일당(연간30회한)
뇌혈관질환통원일당(종합병원, 연간30회한)
뇌혈관질환통원일당(상급종합병원, 연간30회한)
허혈성심장질환통원일당(연간30회한)
허혈성심장질환통원일당(종합병원, 연간30회한)</t>
        </is>
      </c>
      <c r="S68" s="11" t="inlineStr"/>
      <c r="T68" s="11" t="inlineStr"/>
    </row>
    <row r="69">
      <c r="A69" s="7" t="n">
        <v>67</v>
      </c>
      <c r="B69" s="8" t="inlineStr">
        <is>
          <t>day_dx</t>
        </is>
      </c>
      <c r="C69" s="9" t="inlineStr">
        <is>
          <t>입원·통원 일당</t>
        </is>
      </c>
      <c r="D69" s="8" t="inlineStr">
        <is>
          <t>(뇌출혈|급성심근경색증).*입원일당</t>
        </is>
      </c>
      <c r="E69" s="10" t="inlineStr"/>
      <c r="F69" s="10" t="inlineStr">
        <is>
          <t>특약 마스터(db.json)에 실린 약관 KCD 목록과 대조</t>
        </is>
      </c>
      <c r="G69" s="7" t="inlineStr">
        <is>
          <t>계산함</t>
        </is>
      </c>
      <c r="H69" s="7" t="inlineStr">
        <is>
          <t>받을 때마다 (기본값)</t>
        </is>
      </c>
      <c r="I69" s="10" t="inlineStr"/>
      <c r="J69" s="10" t="inlineStr"/>
      <c r="K69" s="10" t="inlineStr"/>
      <c r="L69" s="10" t="inlineStr">
        <is>
          <t>지급 단위 : 입원 1일당</t>
        </is>
      </c>
      <c r="M69" s="10" t="inlineStr">
        <is>
          <t>입원일당</t>
        </is>
      </c>
      <c r="N69" s="10" t="inlineStr"/>
      <c r="O69" s="10" t="inlineStr">
        <is>
          <t>뇌·심장 진단 후 입원일당</t>
        </is>
      </c>
      <c r="P69" s="7" t="n">
        <v>2</v>
      </c>
      <c r="Q69" s="10" t="inlineStr"/>
      <c r="R69" s="10" t="inlineStr">
        <is>
          <t>뇌출혈입원일당(4일이상)
급성심근경색증입원일당(4일이상)</t>
        </is>
      </c>
      <c r="S69" s="11" t="inlineStr"/>
      <c r="T69" s="11" t="inlineStr"/>
    </row>
    <row r="70">
      <c r="A70" s="12" t="n">
        <v>68</v>
      </c>
      <c r="B70" s="13" t="inlineStr">
        <is>
          <t>day_surg_stay</t>
        </is>
      </c>
      <c r="C70" s="14" t="inlineStr">
        <is>
          <t>입원·통원 일당</t>
        </is>
      </c>
      <c r="D70" s="13" t="inlineStr">
        <is>
          <t>수술입원일당</t>
        </is>
      </c>
      <c r="E70" s="15" t="inlineStr"/>
      <c r="F70" s="15" t="inlineStr">
        <is>
          <t>질병코드 조건 없음 — 담보명·치료행위로만 판정</t>
        </is>
      </c>
      <c r="G70" s="12" t="inlineStr">
        <is>
          <t>계산함</t>
        </is>
      </c>
      <c r="H70" s="12" t="inlineStr">
        <is>
          <t>받을 때마다 (기본값)</t>
        </is>
      </c>
      <c r="I70" s="15" t="inlineStr"/>
      <c r="J70" s="15" t="inlineStr"/>
      <c r="K70" s="15" t="inlineStr"/>
      <c r="L70" s="15" t="inlineStr">
        <is>
          <t>지급 단위 : 입원 1일당
같은 단계에 수술이 있어야 지급</t>
        </is>
      </c>
      <c r="M70" s="15" t="inlineStr">
        <is>
          <t>입원일당</t>
        </is>
      </c>
      <c r="N70" s="15" t="inlineStr"/>
      <c r="O70" s="15" t="inlineStr">
        <is>
          <t>수술 후 입원일당</t>
        </is>
      </c>
      <c r="P70" s="12" t="n">
        <v>9</v>
      </c>
      <c r="Q70" s="15" t="inlineStr"/>
      <c r="R70" s="15" t="inlineStr">
        <is>
          <t>일반상해수술입원일당(1일이상 20일한도)
상급병실(1인실) 종합병원 일반상해수술입원일당(1일이상 10일한도)
상급병실(1인실) 종합병원 질병수술입원일당(1일이상 10일한도)
질병수술입원일당(1일이상 20일한도)
일반상해수술입원일당(1일이상 20일한도)</t>
        </is>
      </c>
      <c r="S70" s="11" t="inlineStr"/>
      <c r="T70" s="11" t="inlineStr"/>
    </row>
    <row r="71">
      <c r="A71" s="7" t="n">
        <v>69</v>
      </c>
      <c r="B71" s="8" t="inlineStr">
        <is>
          <t>day_basic</t>
        </is>
      </c>
      <c r="C71" s="9" t="inlineStr">
        <is>
          <t>입원·통원 일당</t>
        </is>
      </c>
      <c r="D71" s="8" t="inlineStr">
        <is>
          <t>입원일당</t>
        </is>
      </c>
      <c r="E71" s="10" t="inlineStr"/>
      <c r="F71" s="10" t="inlineStr">
        <is>
          <t>질병코드 조건 없음 — 담보명·치료행위로만 판정</t>
        </is>
      </c>
      <c r="G71" s="7" t="inlineStr">
        <is>
          <t>계산함</t>
        </is>
      </c>
      <c r="H71" s="7" t="inlineStr">
        <is>
          <t>받을 때마다 (기본값)</t>
        </is>
      </c>
      <c r="I71" s="10" t="inlineStr"/>
      <c r="J71" s="10" t="inlineStr"/>
      <c r="K71" s="10" t="inlineStr"/>
      <c r="L71" s="10" t="inlineStr">
        <is>
          <t>지급 단위 : 입원 1일당</t>
        </is>
      </c>
      <c r="M71" s="10" t="inlineStr">
        <is>
          <t>입원일당</t>
        </is>
      </c>
      <c r="N71" s="10" t="inlineStr"/>
      <c r="O71" s="10" t="inlineStr">
        <is>
          <t>입원일당(병실·병원 종별·한도일수는 담보명에서 자동 판별)</t>
        </is>
      </c>
      <c r="P71" s="7" t="n">
        <v>43</v>
      </c>
      <c r="Q71" s="10" t="inlineStr"/>
      <c r="R71" s="10" t="inlineStr">
        <is>
          <t>일반상해입원일당(181일이상)(요양,정신,한방병원제외)
일반상해입원일당(1일이상)
상급종합병원 일반상해입원일당(1일이상)
종합병원 일반상해입원일당(1일이상)
상급병실(1인실) 상급종합병원 일반상해입원일당(1일이상 10일한도)</t>
        </is>
      </c>
      <c r="S71" s="11" t="inlineStr"/>
      <c r="T71" s="11" t="inlineStr"/>
    </row>
    <row r="72">
      <c r="A72" s="12" t="n">
        <v>70</v>
      </c>
      <c r="B72" s="13" t="inlineStr">
        <is>
          <t>visit_basic</t>
        </is>
      </c>
      <c r="C72" s="14" t="inlineStr">
        <is>
          <t>입원·통원 일당</t>
        </is>
      </c>
      <c r="D72" s="13" t="inlineStr">
        <is>
          <t>통원(일당|비)|입원후통원비</t>
        </is>
      </c>
      <c r="E72" s="15" t="inlineStr"/>
      <c r="F72" s="15" t="inlineStr">
        <is>
          <t>질병코드 조건 없음 — 담보명·치료행위로만 판정</t>
        </is>
      </c>
      <c r="G72" s="12" t="inlineStr">
        <is>
          <t>계산함</t>
        </is>
      </c>
      <c r="H72" s="12" t="inlineStr">
        <is>
          <t>받을 때마다 (기본값)</t>
        </is>
      </c>
      <c r="I72" s="15" t="inlineStr"/>
      <c r="J72" s="15" t="inlineStr"/>
      <c r="K72" s="15" t="inlineStr"/>
      <c r="L72" s="15" t="inlineStr">
        <is>
          <t>지급 단위 : 통원 1회당</t>
        </is>
      </c>
      <c r="M72" s="15" t="inlineStr">
        <is>
          <t>통원일당</t>
        </is>
      </c>
      <c r="N72" s="15" t="inlineStr"/>
      <c r="O72" s="15" t="inlineStr">
        <is>
          <t>통원일당</t>
        </is>
      </c>
      <c r="P72" s="12" t="n">
        <v>1</v>
      </c>
      <c r="Q72" s="15" t="inlineStr"/>
      <c r="R72" s="15" t="inlineStr">
        <is>
          <t>일반상해입원후통원비(3일이상연속입원, 4회한)</t>
        </is>
      </c>
      <c r="S72" s="11" t="inlineStr"/>
      <c r="T72" s="11" t="inlineStr"/>
    </row>
    <row r="73">
      <c r="A73" s="7" t="n">
        <v>71</v>
      </c>
      <c r="B73" s="8" t="inlineStr">
        <is>
          <t>tx_target_specific</t>
        </is>
      </c>
      <c r="C73" s="9" t="inlineStr">
        <is>
          <t>치료비 (치료행위)</t>
        </is>
      </c>
      <c r="D73" s="8" t="inlineStr">
        <is>
          <t>표적항암약물허가치료비Ⅲ.*\[특정표적항암약물허가치료\]</t>
        </is>
      </c>
      <c r="E73" s="10" t="inlineStr"/>
      <c r="F73" s="10" t="inlineStr">
        <is>
          <t>major_thy_skin</t>
        </is>
      </c>
      <c r="G73" s="7" t="inlineStr">
        <is>
          <t>계산함</t>
        </is>
      </c>
      <c r="H73" s="7" t="inlineStr">
        <is>
          <t>최초 1회</t>
        </is>
      </c>
      <c r="I73" s="10" t="inlineStr">
        <is>
          <t>표적항암약물치료  (target)</t>
        </is>
      </c>
      <c r="J73" s="10" t="inlineStr"/>
      <c r="K73" s="10" t="inlineStr"/>
      <c r="L73" s="10" t="inlineStr">
        <is>
          <t>메모 : 통184·케336 제5조② 특정표적항암제 = 표적항암제 중 특정면역항암제를 뺀 것 — 면역·카티 치료 단계에서는 지급하지 않는다(v8.63)</t>
        </is>
      </c>
      <c r="M73" s="10" t="inlineStr">
        <is>
          <t>암 치료</t>
        </is>
      </c>
      <c r="N73" s="10" t="inlineStr">
        <is>
          <t>특정표적항암약물허가치료(비급여 · 특정면역항암제 제외) · 최초 1회</t>
        </is>
      </c>
      <c r="O73" s="10" t="inlineStr">
        <is>
          <t>표적항암약물허가치료비Ⅲ [특정표적] — 면역항암 단계 제외(v8.63)</t>
        </is>
      </c>
      <c r="P73" s="7" t="n">
        <v>8</v>
      </c>
      <c r="Q73" s="10" t="inlineStr"/>
      <c r="R73" s="10" t="inlineStr">
        <is>
          <t>갱신형 표적항암약물허가치료비Ⅲ(비급여)[특정표적항암약물허가치료]
갱신형 계속받는 표적항암약물허가치료비Ⅲ(연간1회한)(비급여)[특정표적항암약물허가치료]
갱신형 표적항암약물허가치료비Ⅲ(비급여)[특정표적항암약물허가치료]
갱신형 계속받는 표적항암약물허가치료비Ⅲ(연간1회한)(비급여)[특정표적항암약물허가치료]
갱신형표적항암약물허가치료비Ⅲ(비급여)[특정표적항암약물허가치료]</t>
        </is>
      </c>
      <c r="S73" s="11" t="inlineStr"/>
      <c r="T73" s="11" t="inlineStr"/>
    </row>
    <row r="74">
      <c r="A74" s="12" t="n">
        <v>72</v>
      </c>
      <c r="B74" s="13" t="inlineStr">
        <is>
          <t>tx_target_immune_sub</t>
        </is>
      </c>
      <c r="C74" s="14" t="inlineStr">
        <is>
          <t>치료비 (치료행위)</t>
        </is>
      </c>
      <c r="D74" s="13" t="inlineStr">
        <is>
          <t>표적항암약물허가치료비Ⅲ.*\[특정면역항암약물허가치료\]</t>
        </is>
      </c>
      <c r="E74" s="15" t="inlineStr"/>
      <c r="F74" s="15" t="inlineStr">
        <is>
          <t>major_thy_skin</t>
        </is>
      </c>
      <c r="G74" s="12" t="inlineStr">
        <is>
          <t>계산함</t>
        </is>
      </c>
      <c r="H74" s="12" t="inlineStr">
        <is>
          <t>최초 1회</t>
        </is>
      </c>
      <c r="I74" s="15" t="inlineStr">
        <is>
          <t>면역항암약물치료  (immune)</t>
        </is>
      </c>
      <c r="J74" s="15" t="inlineStr"/>
      <c r="K74" s="15" t="inlineStr"/>
      <c r="L74" s="15" t="inlineStr">
        <is>
          <t>메모 : 통184·케336 제6조① 특정면역항암제 — 표적항암 단계에서는 지급하지 않는다(v8.63)</t>
        </is>
      </c>
      <c r="M74" s="15" t="inlineStr">
        <is>
          <t>암 치료</t>
        </is>
      </c>
      <c r="N74" s="15" t="inlineStr">
        <is>
          <t>특정면역항암약물허가치료(비급여 · 면역관문억제제·ADC·카티) · 최초 1회</t>
        </is>
      </c>
      <c r="O74" s="15" t="inlineStr">
        <is>
          <t>표적항암약물허가치료비Ⅲ [특정면역] — 면역항암 단계에서만(v8.63)</t>
        </is>
      </c>
      <c r="P74" s="12" t="n">
        <v>8</v>
      </c>
      <c r="Q74" s="15" t="inlineStr"/>
      <c r="R74" s="15" t="inlineStr">
        <is>
          <t>갱신형 표적항암약물허가치료비Ⅲ(비급여)[특정면역항암약물허가치료]
갱신형 계속받는 표적항암약물허가치료비Ⅲ(연간1회한)(비급여)[특정면역항암약물허가치료]
갱신형 표적항암약물허가치료비Ⅲ(비급여)[특정면역항암약물허가치료]
갱신형 계속받는 표적항암약물허가치료비Ⅲ(연간1회한)(비급여)[특정면역항암약물허가치료]
갱신형표적항암약물허가치료비Ⅲ(비급여)[특정면역항암약물허가치료]</t>
        </is>
      </c>
      <c r="S74" s="11" t="inlineStr"/>
      <c r="T74" s="11" t="inlineStr"/>
    </row>
    <row r="75">
      <c r="A75" s="7" t="n">
        <v>73</v>
      </c>
      <c r="B75" s="8" t="inlineStr">
        <is>
          <t>tx_target</t>
        </is>
      </c>
      <c r="C75" s="9" t="inlineStr">
        <is>
          <t>치료비 (치료행위)</t>
        </is>
      </c>
      <c r="D75" s="8" t="inlineStr">
        <is>
          <t>표적항암약물허가치료비</t>
        </is>
      </c>
      <c r="E75" s="10" t="inlineStr"/>
      <c r="F75" s="10" t="inlineStr">
        <is>
          <t>major_thy_skin</t>
        </is>
      </c>
      <c r="G75" s="7" t="inlineStr">
        <is>
          <t>계산함</t>
        </is>
      </c>
      <c r="H75" s="7" t="inlineStr">
        <is>
          <t>최초 1회</t>
        </is>
      </c>
      <c r="I75" s="10" t="inlineStr">
        <is>
          <t>표적항암약물치료  (target)</t>
        </is>
      </c>
      <c r="J75" s="10" t="inlineStr"/>
      <c r="K75" s="10" t="inlineStr"/>
      <c r="L75" s="10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75" s="10" t="inlineStr">
        <is>
          <t>암 치료</t>
        </is>
      </c>
      <c r="N75" s="10" t="inlineStr">
        <is>
          <t>표적항암약물허가치료 · 최초 1회(연간형·약물종수형은 담보명 표기대로)</t>
        </is>
      </c>
      <c r="O75" s="10" t="inlineStr">
        <is>
          <t>표적항암약물허가치료비</t>
        </is>
      </c>
      <c r="P75" s="7" t="n">
        <v>50</v>
      </c>
      <c r="Q75" s="10" t="inlineStr"/>
      <c r="R75" s="10" t="inlineStr">
        <is>
          <t>갱신형 표적항암약물허가치료비Ⅱ
갱신형 계속받는 표적항암약물허가치료비Ⅱ(연간1회한)
갱신형 표적항암약물허가치료비Ⅲ(비급여)
갱신형 계속받는 표적항암약물허가치료비Ⅲ(연간1회한)(비급여)
갱신형 표적항암약물허가치료비(연간 약물종류 개수별)(연간1회한)[1종이상]</t>
        </is>
      </c>
      <c r="S75" s="11" t="inlineStr"/>
      <c r="T75" s="11" t="inlineStr"/>
    </row>
    <row r="76">
      <c r="A76" s="12" t="n">
        <v>74</v>
      </c>
      <c r="B76" s="13" t="inlineStr">
        <is>
          <t>tx_immune</t>
        </is>
      </c>
      <c r="C76" s="14" t="inlineStr">
        <is>
          <t>치료비 (치료행위)</t>
        </is>
      </c>
      <c r="D76" s="13" t="inlineStr">
        <is>
          <t>면역항암약물허가치료비</t>
        </is>
      </c>
      <c r="E76" s="15" t="inlineStr"/>
      <c r="F76" s="15" t="inlineStr">
        <is>
          <t>major_thy_skin</t>
        </is>
      </c>
      <c r="G76" s="12" t="inlineStr">
        <is>
          <t>계산함</t>
        </is>
      </c>
      <c r="H76" s="12" t="inlineStr">
        <is>
          <t>최초 1회</t>
        </is>
      </c>
      <c r="I76" s="15" t="inlineStr">
        <is>
          <t>면역항암약물치료  (immune)</t>
        </is>
      </c>
      <c r="J76" s="15" t="inlineStr"/>
      <c r="K76" s="15" t="inlineStr"/>
      <c r="L76" s="15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76" s="15" t="inlineStr">
        <is>
          <t>암 치료</t>
        </is>
      </c>
      <c r="N76" s="15" t="inlineStr">
        <is>
          <t>비급여 면역항암약물허가치료 · 최초 1회</t>
        </is>
      </c>
      <c r="O76" s="15" t="inlineStr">
        <is>
          <t>특정면역항암약물허가치료비</t>
        </is>
      </c>
      <c r="P76" s="12" t="n">
        <v>10</v>
      </c>
      <c r="Q76" s="15" t="inlineStr"/>
      <c r="R76" s="15" t="inlineStr">
        <is>
          <t>갱신형 특정면역항암약물허가치료비
갱신형 계속받는 특정면역항암약물허가치료비(연간1회한)
갱신형 특정면역항암약물허가치료비 (감액및면책기간미적용)
갱신형 계속받는 특정면역항암약물허가치료비(연간1회한) (감액및면책기간미적용)
갱신형 특정면역항암약물허가치료비</t>
        </is>
      </c>
      <c r="S76" s="11" t="inlineStr"/>
      <c r="T76" s="11" t="inlineStr"/>
    </row>
    <row r="77">
      <c r="A77" s="7" t="n">
        <v>75</v>
      </c>
      <c r="B77" s="8" t="inlineStr">
        <is>
          <t>tx_hormone</t>
        </is>
      </c>
      <c r="C77" s="9" t="inlineStr">
        <is>
          <t>치료비 (치료행위)</t>
        </is>
      </c>
      <c r="D77" s="8" t="inlineStr">
        <is>
          <t>호르몬약물허가치료비</t>
        </is>
      </c>
      <c r="E77" s="10" t="inlineStr"/>
      <c r="F77" s="10" t="inlineStr">
        <is>
          <t>암 또는 유사암</t>
        </is>
      </c>
      <c r="G77" s="7" t="inlineStr">
        <is>
          <t>계산함</t>
        </is>
      </c>
      <c r="H77" s="7" t="inlineStr">
        <is>
          <t>최초 1회</t>
        </is>
      </c>
      <c r="I77" s="10" t="inlineStr">
        <is>
          <t>항암 호르몬약물치료  (hormone)</t>
        </is>
      </c>
      <c r="J77" s="10" t="inlineStr"/>
      <c r="K77" s="10" t="inlineStr"/>
      <c r="L77" s="10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77" s="10" t="inlineStr">
        <is>
          <t>암 치료</t>
        </is>
      </c>
      <c r="N77" s="10" t="inlineStr">
        <is>
          <t>항암 호르몬약물 · 최초 1회</t>
        </is>
      </c>
      <c r="O77" s="10" t="inlineStr">
        <is>
          <t>항암 호르몬약물치료비</t>
        </is>
      </c>
      <c r="P77" s="7" t="n">
        <v>40</v>
      </c>
      <c r="Q77" s="10" t="inlineStr"/>
      <c r="R77" s="10" t="inlineStr">
        <is>
          <t>특정호르몬약물허가치료비
특정항암호르몬약물허가치료비
갑상선암수술후호르몬약물허가치료비
계속받는 특정항암호르몬약물허가치료비(연간1회한)
특정호르몬약물허가치료비 (감액및면책기간미적용)</t>
        </is>
      </c>
      <c r="S77" s="11" t="inlineStr"/>
      <c r="T77" s="11" t="inlineStr"/>
    </row>
    <row r="78">
      <c r="A78" s="12" t="n">
        <v>76</v>
      </c>
      <c r="B78" s="13" t="inlineStr">
        <is>
          <t>tx_imrt</t>
        </is>
      </c>
      <c r="C78" s="14" t="inlineStr">
        <is>
          <t>치료비 (치료행위)</t>
        </is>
      </c>
      <c r="D78" s="13" t="inlineStr">
        <is>
          <t>항암세기조절방사선치료비</t>
        </is>
      </c>
      <c r="E78" s="15" t="inlineStr"/>
      <c r="F78" s="15" t="inlineStr">
        <is>
          <t>major_thy_skin</t>
        </is>
      </c>
      <c r="G78" s="12" t="inlineStr">
        <is>
          <t>계산함</t>
        </is>
      </c>
      <c r="H78" s="12" t="inlineStr">
        <is>
          <t>최초 1회</t>
        </is>
      </c>
      <c r="I78" s="15" t="inlineStr">
        <is>
          <t>세기조절방사선치료(IMRT)  (imrt)</t>
        </is>
      </c>
      <c r="J78" s="15" t="inlineStr"/>
      <c r="K78" s="15" t="inlineStr"/>
      <c r="L78" s="15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78" s="15" t="inlineStr">
        <is>
          <t>암 치료</t>
        </is>
      </c>
      <c r="N78" s="15" t="inlineStr">
        <is>
          <t>세기조절방사선치료 · 최초 1회</t>
        </is>
      </c>
      <c r="O78" s="15" t="inlineStr">
        <is>
          <t>항암세기조절방사선치료비</t>
        </is>
      </c>
      <c r="P78" s="12" t="n">
        <v>5</v>
      </c>
      <c r="Q78" s="15" t="inlineStr"/>
      <c r="R78" s="15" t="inlineStr">
        <is>
          <t>갱신형 항암세기조절방사선치료비
갱신형 항암세기조절방사선치료비 (감액및면책기간미적용)
갱신형 항암세기조절방사선치료비
갱신형항암세기조절방사선치료비
갱신형항암세기조절방사선치료비</t>
        </is>
      </c>
      <c r="S78" s="11" t="inlineStr"/>
      <c r="T78" s="11" t="inlineStr"/>
    </row>
    <row r="79">
      <c r="A79" s="7" t="n">
        <v>77</v>
      </c>
      <c r="B79" s="8" t="inlineStr">
        <is>
          <t>tx_proton</t>
        </is>
      </c>
      <c r="C79" s="9" t="inlineStr">
        <is>
          <t>치료비 (치료행위)</t>
        </is>
      </c>
      <c r="D79" s="8" t="inlineStr">
        <is>
          <t>항암양성자방사선치료비</t>
        </is>
      </c>
      <c r="E79" s="10" t="inlineStr"/>
      <c r="F79" s="10" t="inlineStr">
        <is>
          <t>major_thy_skin</t>
        </is>
      </c>
      <c r="G79" s="7" t="inlineStr">
        <is>
          <t>계산함</t>
        </is>
      </c>
      <c r="H79" s="7" t="inlineStr">
        <is>
          <t>최초 1회</t>
        </is>
      </c>
      <c r="I79" s="10" t="inlineStr">
        <is>
          <t>양성자 방사선치료  (proton)</t>
        </is>
      </c>
      <c r="J79" s="10" t="inlineStr"/>
      <c r="K79" s="10" t="inlineStr"/>
      <c r="L79" s="10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79" s="10" t="inlineStr">
        <is>
          <t>암 치료</t>
        </is>
      </c>
      <c r="N79" s="10" t="inlineStr">
        <is>
          <t>양성자방사선치료 · 최초 1회</t>
        </is>
      </c>
      <c r="O79" s="10" t="inlineStr">
        <is>
          <t>항암양성자방사선치료비</t>
        </is>
      </c>
      <c r="P79" s="7" t="n">
        <v>5</v>
      </c>
      <c r="Q79" s="10" t="inlineStr"/>
      <c r="R79" s="10" t="inlineStr">
        <is>
          <t>갱신형 항암양성자방사선치료비
갱신형 항암양성자방사선치료비 (감액및면책기간미적용)
갱신형 항암양성자방사선치료비
갱신형항암양성자방사선치료비
갱신형항암양성자방사선치료비</t>
        </is>
      </c>
      <c r="S79" s="11" t="inlineStr"/>
      <c r="T79" s="11" t="inlineStr"/>
    </row>
    <row r="80">
      <c r="A80" s="12" t="n">
        <v>78</v>
      </c>
      <c r="B80" s="13" t="inlineStr">
        <is>
          <t>tx_carbon</t>
        </is>
      </c>
      <c r="C80" s="14" t="inlineStr">
        <is>
          <t>치료비 (치료행위)</t>
        </is>
      </c>
      <c r="D80" s="13" t="inlineStr">
        <is>
          <t>항암중입자방사선치료비</t>
        </is>
      </c>
      <c r="E80" s="15" t="inlineStr"/>
      <c r="F80" s="15" t="inlineStr">
        <is>
          <t>major_thy_skin</t>
        </is>
      </c>
      <c r="G80" s="12" t="inlineStr">
        <is>
          <t>계산함</t>
        </is>
      </c>
      <c r="H80" s="12" t="inlineStr">
        <is>
          <t>최초 1회</t>
        </is>
      </c>
      <c r="I80" s="15" t="inlineStr">
        <is>
          <t>중입자 방사선치료  (carbon)</t>
        </is>
      </c>
      <c r="J80" s="15" t="inlineStr"/>
      <c r="K80" s="15" t="inlineStr"/>
      <c r="L80" s="15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80" s="15" t="inlineStr">
        <is>
          <t>암 치료</t>
        </is>
      </c>
      <c r="N80" s="15" t="inlineStr">
        <is>
          <t>중입자방사선치료 · 최초 1회</t>
        </is>
      </c>
      <c r="O80" s="15" t="inlineStr">
        <is>
          <t>항암중입자방사선치료비</t>
        </is>
      </c>
      <c r="P80" s="12" t="n">
        <v>10</v>
      </c>
      <c r="Q80" s="15" t="inlineStr"/>
      <c r="R80" s="15" t="inlineStr">
        <is>
          <t>항암중입자방사선치료비
항암중입자방사선치료비 (감액및면책기간미적용)
갱신형 항암중입자방사선치료비
갱신형 항암중입자방사선치료비 (감액및면책기간미적용)
항암중입자방사선치료비</t>
        </is>
      </c>
      <c r="S80" s="11" t="inlineStr"/>
      <c r="T80" s="11" t="inlineStr"/>
    </row>
    <row r="81">
      <c r="A81" s="7" t="n">
        <v>79</v>
      </c>
      <c r="B81" s="8" t="inlineStr">
        <is>
          <t>tx_robot</t>
        </is>
      </c>
      <c r="C81" s="9" t="inlineStr">
        <is>
          <t>치료비 (치료행위)</t>
        </is>
      </c>
      <c r="D81" s="8" t="inlineStr">
        <is>
          <t>다빈치로봇</t>
        </is>
      </c>
      <c r="E81" s="10" t="inlineStr"/>
      <c r="F81" s="10" t="inlineStr">
        <is>
          <t>마스터에 약관 KCD 목록이 있으면 대조 (없으면 조건 없이 계산하고 로그)</t>
        </is>
      </c>
      <c r="G81" s="7" t="inlineStr">
        <is>
          <t>계산함</t>
        </is>
      </c>
      <c r="H81" s="7" t="inlineStr">
        <is>
          <t>최초 1회</t>
        </is>
      </c>
      <c r="I81" s="10" t="inlineStr">
        <is>
          <t>다빈치 로봇수술  (robot)</t>
        </is>
      </c>
      <c r="J81" s="10" t="inlineStr"/>
      <c r="K81" s="10" t="inlineStr"/>
      <c r="L81" s="10" t="inlineStr"/>
      <c r="M81" s="10" t="inlineStr">
        <is>
          <t>암 치료</t>
        </is>
      </c>
      <c r="N81" s="10" t="inlineStr">
        <is>
          <t>약관 대상 암(세부보장별 : 암(특정암제외) / 특정암 C61·C73)의 다빈치로봇 암수술 · 최초 1회</t>
        </is>
      </c>
      <c r="O81" s="10" t="inlineStr">
        <is>
          <t>다빈치로봇 수술 치료비 — 설계서의 (특정암)·(암(특정암제외)) 표기는 마스터 세부보장 레코드로 매칭되어 그 KCD(codes_listed)로 판정 · 약관 제1조 「최초 1회에 한하여」(v8.61 : 종전 major_or_sim·연 1회로 특정암 줄이 모든 암에 붙었다)</t>
        </is>
      </c>
      <c r="P81" s="7" t="n">
        <v>15</v>
      </c>
      <c r="Q81" s="10" t="inlineStr"/>
      <c r="R81" s="10" t="inlineStr">
        <is>
          <t>갱신형 다빈치로봇 암수술비
갱신형 다빈치로봇 암수술비[암(특정암제외)]
갱신형 다빈치로봇 암수술비[특정암]
갱신형 다빈치로봇 암수술비(감액및면책기간미적용)
갱신형 다빈치로봇 암수술비(감액및면책기간미적용)[암(특정암제외)]</t>
        </is>
      </c>
      <c r="S81" s="11" t="inlineStr"/>
      <c r="T81" s="11" t="inlineStr"/>
    </row>
    <row r="82">
      <c r="A82" s="12" t="n">
        <v>80</v>
      </c>
      <c r="B82" s="13" t="inlineStr">
        <is>
          <t>tx_life_cancer</t>
        </is>
      </c>
      <c r="C82" s="14" t="inlineStr">
        <is>
          <t>치료비 (치료행위)</t>
        </is>
      </c>
      <c r="D82" s="13" t="inlineStr">
        <is>
          <t>통합치료생활비|통합치료생활지원비</t>
        </is>
      </c>
      <c r="E82" s="15" t="inlineStr">
        <is>
          <t>^유사암</t>
        </is>
      </c>
      <c r="F82" s="15" t="inlineStr">
        <is>
          <t>암 — 유사암 제외 (약관 별표 암분류로 판정)</t>
        </is>
      </c>
      <c r="G82" s="12" t="inlineStr">
        <is>
          <t>계산함</t>
        </is>
      </c>
      <c r="H82" s="12" t="inlineStr">
        <is>
          <t>연 1회</t>
        </is>
      </c>
      <c r="I82" s="15" t="inlineStr">
        <is>
          <t>수술  (surg)
항암 화학약물치료(급여)  (chemo)
항암 방사선치료  (rad)
표적항암약물치료  (target)
면역항암약물치료  (immune)</t>
        </is>
      </c>
      <c r="J82" s="15" t="inlineStr"/>
      <c r="K82" s="15" t="inlineStr"/>
      <c r="L82" s="15" t="inlineStr">
        <is>
          <t>치료를 2회 이상 받은 단계에서만</t>
        </is>
      </c>
      <c r="M82" s="15" t="inlineStr">
        <is>
          <t>암 치료</t>
        </is>
      </c>
      <c r="N82" s="15" t="inlineStr">
        <is>
          <t>연간 통합치료 2회 이상 · 연간 1회한</t>
        </is>
      </c>
      <c r="O82" s="15" t="inlineStr">
        <is>
          <t>암(유사암제외) 통합치료 생활비 — 연간 통합치료(수술·항암약물·항암방사선) 2회 이상</t>
        </is>
      </c>
      <c r="P82" s="12" t="n">
        <v>16</v>
      </c>
      <c r="Q82" s="15" t="inlineStr"/>
      <c r="R82" s="15" t="inlineStr">
        <is>
          <t>암 통합치료 생활비(연간 통합치료 2회이상)
암(유사암제외) 통합치료 생활비(연간 통합치료 2회이상)
특정순환계질환 통합치료 생활비
특정순환계질환 통합치료 생활비[연간 통합치료 2회이상]
특정순환계질환 통합치료 생활비[연간 통합치료 3회이상]</t>
        </is>
      </c>
      <c r="S82" s="11" t="inlineStr"/>
      <c r="T82" s="11" t="inlineStr"/>
    </row>
    <row r="83">
      <c r="A83" s="7" t="n">
        <v>81</v>
      </c>
      <c r="B83" s="8" t="inlineStr">
        <is>
          <t>tx_life_sim</t>
        </is>
      </c>
      <c r="C83" s="9" t="inlineStr">
        <is>
          <t>치료비 (치료행위)</t>
        </is>
      </c>
      <c r="D83" s="8" t="inlineStr">
        <is>
          <t>^유사암통합치료생활비</t>
        </is>
      </c>
      <c r="E83" s="10" t="inlineStr"/>
      <c r="F83" s="10" t="inlineStr">
        <is>
          <t>유사암 — 제자리암·경계성종양·갑상선암·기타피부암</t>
        </is>
      </c>
      <c r="G83" s="7" t="inlineStr">
        <is>
          <t>계산함</t>
        </is>
      </c>
      <c r="H83" s="7" t="inlineStr">
        <is>
          <t>연 1회</t>
        </is>
      </c>
      <c r="I83" s="10" t="inlineStr">
        <is>
          <t>수술  (surg)
항암 화학약물치료(급여)  (chemo)
항암 방사선치료  (rad)</t>
        </is>
      </c>
      <c r="J83" s="10" t="inlineStr"/>
      <c r="K83" s="10" t="inlineStr"/>
      <c r="L83" s="10" t="inlineStr">
        <is>
          <t>치료를 2회 이상 받은 단계에서만</t>
        </is>
      </c>
      <c r="M83" s="10" t="inlineStr">
        <is>
          <t>암 치료</t>
        </is>
      </c>
      <c r="N83" s="10" t="inlineStr">
        <is>
          <t>연간 유사암 통합치료 2회 이상 · 연간 1회한</t>
        </is>
      </c>
      <c r="O83" s="10" t="inlineStr">
        <is>
          <t>유사암 통합치료 생활비</t>
        </is>
      </c>
      <c r="P83" s="7" t="n">
        <v>2</v>
      </c>
      <c r="Q83" s="10" t="inlineStr"/>
      <c r="R83" s="10" t="inlineStr">
        <is>
          <t>유사암 통합치료 생활비(연간 통합치료 2회이상)
유사암 통합치료 생활비(연간 통합치료 2회이상)</t>
        </is>
      </c>
      <c r="S83" s="11" t="inlineStr"/>
      <c r="T83" s="11" t="inlineStr"/>
    </row>
    <row r="84">
      <c r="A84" s="12" t="n">
        <v>82</v>
      </c>
      <c r="B84" s="13" t="inlineStr">
        <is>
          <t>tx_26</t>
        </is>
      </c>
      <c r="C84" s="14" t="inlineStr">
        <is>
          <t>치료비 (치료행위)</t>
        </is>
      </c>
      <c r="D84" s="13" t="inlineStr">
        <is>
          <t>26종항암방사선및약물치료비</t>
        </is>
      </c>
      <c r="E84" s="15" t="inlineStr"/>
      <c r="F84" s="15" t="inlineStr">
        <is>
          <t>암 — 유사암 제외 (약관 별표 암분류로 판정)</t>
        </is>
      </c>
      <c r="G84" s="12" t="inlineStr">
        <is>
          <t>계산함</t>
        </is>
      </c>
      <c r="H84" s="12" t="inlineStr">
        <is>
          <t>최초 1회</t>
        </is>
      </c>
      <c r="I84" s="15" t="inlineStr">
        <is>
          <t>항암 화학약물치료(급여)  (chemo)
항암 방사선치료  (rad)</t>
        </is>
      </c>
      <c r="J84" s="15" t="inlineStr"/>
      <c r="K84" s="15" t="inlineStr"/>
      <c r="L84" s="15" t="inlineStr">
        <is>
          <t>세부급부 이름에서 치료행위·암종을 다시 읽음
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84" s="15" t="inlineStr">
        <is>
          <t>암 치료</t>
        </is>
      </c>
      <c r="N84" s="15" t="inlineStr">
        <is>
          <t>암종별 항암 치료 · 최초 1회</t>
        </is>
      </c>
      <c r="O84" s="15" t="inlineStr">
        <is>
          <t>26종 항암방사선및약물치료비 — 세부급부 [항암방사선치료비(암종)]/[항암약물치료비(암종)]의 암종을 EMB.syn 코드로 판정</t>
        </is>
      </c>
      <c r="P84" s="12" t="n">
        <v>5</v>
      </c>
      <c r="Q84" s="15" t="inlineStr"/>
      <c r="R84" s="15" t="inlineStr">
        <is>
          <t>26종 항암방사선및약물치료비 (전이포함)(유사암제외)
26종 항암방사선및약물치료비 (전이포함)(유사암제외)(감액및면책기간미 적용)
26종 항암방사선및약물치료비 (전이포함)(유사암제외)
26종항암방사선및약물치료비(전이포함)(유사암제외)
26종항암방사선및약물치료비(전이포함)(유사암제외)</t>
        </is>
      </c>
      <c r="S84" s="11" t="inlineStr"/>
      <c r="T84" s="11" t="inlineStr"/>
    </row>
    <row r="85">
      <c r="A85" s="7" t="n">
        <v>83</v>
      </c>
      <c r="B85" s="8" t="inlineStr">
        <is>
          <t>tx_chemo</t>
        </is>
      </c>
      <c r="C85" s="9" t="inlineStr">
        <is>
          <t>치료비 (치료행위)</t>
        </is>
      </c>
      <c r="D85" s="8" t="inlineStr">
        <is>
          <t>항암약물치료비</t>
        </is>
      </c>
      <c r="E85" s="10" t="inlineStr">
        <is>
          <t>표적|면역|호르몬|방사선</t>
        </is>
      </c>
      <c r="F85" s="10" t="inlineStr">
        <is>
          <t>암 또는 유사암</t>
        </is>
      </c>
      <c r="G85" s="7" t="inlineStr">
        <is>
          <t>계산함</t>
        </is>
      </c>
      <c r="H85" s="7" t="inlineStr">
        <is>
          <t>최초 1회</t>
        </is>
      </c>
      <c r="I85" s="10" t="inlineStr">
        <is>
          <t>항암 화학약물치료(급여)  (chemo)</t>
        </is>
      </c>
      <c r="J85" s="10" t="inlineStr"/>
      <c r="K85" s="10" t="inlineStr"/>
      <c r="L85" s="10" t="inlineStr"/>
      <c r="M85" s="10" t="inlineStr">
        <is>
          <t>암 치료</t>
        </is>
      </c>
      <c r="N85" s="10" t="inlineStr">
        <is>
          <t>항암약물치료 최초 1회</t>
        </is>
      </c>
      <c r="O85" s="10" t="inlineStr">
        <is>
          <t>항암약물치료비(급여 항암약물치료)</t>
        </is>
      </c>
      <c r="P85" s="7" t="n">
        <v>12</v>
      </c>
      <c r="Q85" s="10" t="inlineStr"/>
      <c r="R85" s="10" t="inlineStr">
        <is>
          <t>비급여 항암약물치료비(전액본인부담 포함, 연간1회한, 10년간)
암진단및치료비Ⅱ[항암약물치료비]
비급여 항암약물치료비(전액본인부담 포함, 연간1회한, 10년간)
암진단및치료비Ⅱ[항암약물치료비]
암치료,후유장해및진단비[항암약물치료비]</t>
        </is>
      </c>
      <c r="S85" s="11" t="inlineStr"/>
      <c r="T85" s="11" t="inlineStr"/>
    </row>
    <row r="86">
      <c r="A86" s="12" t="n">
        <v>84</v>
      </c>
      <c r="B86" s="13" t="inlineStr">
        <is>
          <t>tx_chemo_rad</t>
        </is>
      </c>
      <c r="C86" s="14" t="inlineStr">
        <is>
          <t>치료비 (치료행위)</t>
        </is>
      </c>
      <c r="D86" s="13" t="inlineStr">
        <is>
          <t>항암방사선(및)?약물치료비|26종항암방사선및약물치료비</t>
        </is>
      </c>
      <c r="E86" s="15" t="inlineStr"/>
      <c r="F86" s="15" t="inlineStr">
        <is>
          <t>암 또는 유사암</t>
        </is>
      </c>
      <c r="G86" s="12" t="inlineStr">
        <is>
          <t>계산함</t>
        </is>
      </c>
      <c r="H86" s="12" t="inlineStr">
        <is>
          <t>최초 1회</t>
        </is>
      </c>
      <c r="I86" s="15" t="inlineStr">
        <is>
          <t>항암 화학약물치료(급여)  (chemo)
항암 방사선치료  (rad)</t>
        </is>
      </c>
      <c r="J86" s="15" t="inlineStr"/>
      <c r="K86" s="15" t="inlineStr"/>
      <c r="L86" s="15" t="inlineStr"/>
      <c r="M86" s="15" t="inlineStr">
        <is>
          <t>암 치료</t>
        </is>
      </c>
      <c r="N86" s="15" t="inlineStr">
        <is>
          <t>항암방사선·약물치료 · 최초 1회</t>
        </is>
      </c>
      <c r="O86" s="15" t="inlineStr">
        <is>
          <t>항암방사선·약물치료비</t>
        </is>
      </c>
      <c r="P86" s="12" t="n">
        <v>33</v>
      </c>
      <c r="Q86" s="15" t="inlineStr"/>
      <c r="R86" s="15" t="inlineStr">
        <is>
          <t>항암방사선약물치료비
계속받는 항암방사선약물치료비(급여)(연간1회한)
기타피부암 및 갑상선암 항암방사선약물치료비
항암방사선약물치료비 (감액및면책기간미적용)
계속받는 항암방사선약물치료비(급여)(연간1회한) (감액및면책기간미적용)</t>
        </is>
      </c>
      <c r="S86" s="11" t="inlineStr"/>
      <c r="T86" s="11" t="inlineStr"/>
    </row>
    <row r="87">
      <c r="A87" s="7" t="n">
        <v>85</v>
      </c>
      <c r="B87" s="8" t="inlineStr">
        <is>
          <t>skip_recur_monthly</t>
        </is>
      </c>
      <c r="C87" s="9" t="inlineStr">
        <is>
          <t>계산 제외 (제도성·조건부)</t>
        </is>
      </c>
      <c r="D87" s="8" t="inlineStr">
        <is>
          <t>매월계속암치료비</t>
        </is>
      </c>
      <c r="E87" s="10" t="inlineStr"/>
      <c r="F87" s="10" t="inlineStr">
        <is>
          <t>질병코드 조건 없음 — 담보명·치료행위로만 판정</t>
        </is>
      </c>
      <c r="G87" s="7" t="inlineStr">
        <is>
          <t>분류만 (금액 계산 안 함)</t>
        </is>
      </c>
      <c r="H87" s="7" t="inlineStr">
        <is>
          <t>—</t>
        </is>
      </c>
      <c r="I87" s="10" t="inlineStr"/>
      <c r="J87" s="10" t="inlineStr"/>
      <c r="K87" s="10" t="inlineStr"/>
      <c r="L87" s="10" t="inlineStr">
        <is>
          <t>기록 사유 : 첫번째암 진단확정일부터 1년이 지난 뒤 계속암(기타피부암·갑상선암·전립선암 제외)으로 진단확정되면 가입금액을 매월 12회 지급하는 진단형 담보(통61 제1조) — 치료 행위와 무관하고 재진단 시점 조건이 있어 사례로 단정할 수 없어 계산 제외(v8.63)</t>
        </is>
      </c>
      <c r="M87" s="10" t="inlineStr"/>
      <c r="N87" s="10" t="inlineStr"/>
      <c r="O87" s="10" t="inlineStr">
        <is>
          <t>매월 계속암치료비 — 1년 뒤 계속암 진단 조건부(사례 계산 제외)(v8.63)</t>
        </is>
      </c>
      <c r="P87" s="7" t="n">
        <v>3</v>
      </c>
      <c r="Q87" s="10" t="inlineStr"/>
      <c r="R87" s="10" t="inlineStr">
        <is>
          <t>매월 계속암치료비
매월계속암치료비
매월계속암치료비</t>
        </is>
      </c>
      <c r="S87" s="11" t="inlineStr"/>
      <c r="T87" s="11" t="inlineStr"/>
    </row>
    <row r="88">
      <c r="A88" s="12" t="n">
        <v>86</v>
      </c>
      <c r="B88" s="13" t="inlineStr">
        <is>
          <t>tx_cancer_main_sub</t>
        </is>
      </c>
      <c r="C88" s="14" t="inlineStr">
        <is>
          <t>치료비 (치료행위)</t>
        </is>
      </c>
      <c r="D88" s="13" t="inlineStr">
        <is>
          <t>(특정소액암|특정소화기암|15대특정암|14대특정암|10대특정암|4대고액암|기타피부암및갑상선암)주요치료비</t>
        </is>
      </c>
      <c r="E88" s="15" t="inlineStr"/>
      <c r="F88" s="15" t="inlineStr">
        <is>
          <t>특약 마스터(db.json)에 실린 약관 KCD 목록과 대조</t>
        </is>
      </c>
      <c r="G88" s="12" t="inlineStr">
        <is>
          <t>계산함</t>
        </is>
      </c>
      <c r="H88" s="12" t="inlineStr">
        <is>
          <t>연 1회</t>
        </is>
      </c>
      <c r="I88" s="15" t="inlineStr">
        <is>
          <t>수술  (surg)
항암 화학약물치료(급여)  (chemo)
항암 방사선치료  (rad)</t>
        </is>
      </c>
      <c r="J88" s="15" t="inlineStr"/>
      <c r="K88" s="15" t="inlineStr"/>
      <c r="L88" s="15" t="inlineStr">
        <is>
          <t>메모 : 통합암 주요치료비의 암구분별 세부보장(통51-1~6·통52-1~6 등) — 세부보장 마스터 KCD 목록(특정소액암 10코드 등)으로 판정. 전에는 tx_cancer_main(암 전체)에 걸려 위암 수술에 특정소액암 주요치료비가 붙었다(v8.63)</t>
        </is>
      </c>
      <c r="M88" s="15" t="inlineStr">
        <is>
          <t>암 치료</t>
        </is>
      </c>
      <c r="N88" s="15" t="inlineStr">
        <is>
          <t>약관 별표 통합암 분류표의 해당 암구분 진단 후 주요치료(수술·항암약물·항암방사선) · 연간 1회</t>
        </is>
      </c>
      <c r="O88" s="15" t="inlineStr">
        <is>
          <t>통합암 주요치료비 암구분별 세부보장 — 세부보장 KCD 목록으로 판정(v8.63)</t>
        </is>
      </c>
      <c r="P88" s="12" t="n">
        <v>64</v>
      </c>
      <c r="Q88" s="15" t="inlineStr"/>
      <c r="R88" s="15" t="inlineStr">
        <is>
          <t>특정소액암 주요치료비(연간1회한, 10년간)
특정소화기암 주요치료비(연간1회한, 10년간)
15대특정암 주요치료비(연간1회한, 10년간)
10대특정암 주요치료비(연간1회한, 10년간)
4대고액암 주요치료비(연간1회한, 10년간)</t>
        </is>
      </c>
      <c r="S88" s="11" t="inlineStr"/>
      <c r="T88" s="11" t="inlineStr"/>
    </row>
    <row r="89">
      <c r="A89" s="7" t="n">
        <v>87</v>
      </c>
      <c r="B89" s="8" t="inlineStr">
        <is>
          <t>tx_cancer_main</t>
        </is>
      </c>
      <c r="C89" s="9" t="inlineStr">
        <is>
          <t>치료비 (치료행위)</t>
        </is>
      </c>
      <c r="D89" s="8" t="inlineStr">
        <is>
          <t>암(\(유사암제외\))?주요치료비</t>
        </is>
      </c>
      <c r="E89" s="10" t="inlineStr"/>
      <c r="F89" s="10" t="inlineStr">
        <is>
          <t>major_thy_skin</t>
        </is>
      </c>
      <c r="G89" s="7" t="inlineStr">
        <is>
          <t>계산함</t>
        </is>
      </c>
      <c r="H89" s="7" t="inlineStr">
        <is>
          <t>연 1회</t>
        </is>
      </c>
      <c r="I89" s="10" t="inlineStr">
        <is>
          <t>수술  (surg)
항암 화학약물치료(급여)  (chemo)
항암 방사선치료  (rad)</t>
        </is>
      </c>
      <c r="J89" s="10" t="inlineStr"/>
      <c r="K89" s="10" t="inlineStr"/>
      <c r="L89" s="10" t="inlineStr">
        <is>
          <t>메모 : 통81·또125 제5조 암주요치료 = 암(유사암제외)·기타피부암·갑상선암의 치료(제자리암·경계성종양 아님)(v8.63)</t>
        </is>
      </c>
      <c r="M89" s="10" t="inlineStr">
        <is>
          <t>암 치료</t>
        </is>
      </c>
      <c r="N89" s="10" t="inlineStr">
        <is>
          <t>암 주요치료(수술·항암·방사선) · 연간 1회</t>
        </is>
      </c>
      <c r="O89" s="10" t="inlineStr">
        <is>
          <t>암 주요치료비</t>
        </is>
      </c>
      <c r="P89" s="7" t="n">
        <v>36</v>
      </c>
      <c r="Q89" s="10" t="inlineStr"/>
      <c r="R89" s="10" t="inlineStr">
        <is>
          <t>암 주요치료비(연간1회한, 10년간)
암(유사암제외) 주요치료비(연간1회한, 10년간)
암 주요치료비(연간1회한, 10년간)(체증형)
암(유사암제외) 주요치료비(연간1회한, 10년간)(체증형)
상급종합병원,국립암센터 암 주요치료비(연간1회한, 10년간)</t>
        </is>
      </c>
      <c r="S89" s="11" t="inlineStr"/>
      <c r="T89" s="11" t="inlineStr"/>
    </row>
    <row r="90">
      <c r="A90" s="12" t="n">
        <v>88</v>
      </c>
      <c r="B90" s="13" t="inlineStr">
        <is>
          <t>tx_cancer_exam</t>
        </is>
      </c>
      <c r="C90" s="14" t="inlineStr">
        <is>
          <t>치료비 (치료행위)</t>
        </is>
      </c>
      <c r="D90" s="13" t="inlineStr">
        <is>
          <t>암(CT촬영|MRI촬영|내시경|양전자단층촬영|초음파|특정단일유전자|특정생검|특정NGS).*검사비</t>
        </is>
      </c>
      <c r="E90" s="15" t="inlineStr"/>
      <c r="F90" s="15" t="inlineStr">
        <is>
          <t>암 또는 유사암</t>
        </is>
      </c>
      <c r="G90" s="12" t="inlineStr">
        <is>
          <t>계산함</t>
        </is>
      </c>
      <c r="H90" s="12" t="inlineStr">
        <is>
          <t>연 1회</t>
        </is>
      </c>
      <c r="I90" s="15" t="inlineStr">
        <is>
          <t>CT 검사  (x_ct)
MRI 검사  (x_mri)
내시경 검사  (x_endo)
PET 검사  (x_pet)
초음파 검사  (x_us)
유전자 검사  (x_gene)
조직검사(생검)  (x_bio)
NGS 유전자패널검사  (x_ngs)</t>
        </is>
      </c>
      <c r="J90" s="15" t="inlineStr"/>
      <c r="K90" s="15" t="inlineStr"/>
      <c r="L90" s="15" t="inlineStr">
        <is>
          <t>약관이 진료행위(수가)코드를 열거한 항목은 그 목록에 있을 때만</t>
        </is>
      </c>
      <c r="M90" s="15" t="inlineStr">
        <is>
          <t>암 치료</t>
        </is>
      </c>
      <c r="N90" s="15" t="inlineStr">
        <is>
          <t>암 검사 · 연간 1회</t>
        </is>
      </c>
      <c r="O90" s="15" t="inlineStr">
        <is>
          <t>암 검사비 — 약관이 진료행위(수가)코드를 열거한 항목(특정생검조직병리·특정단일유전자)은 마스터 수가코드 목록과 대조해 목록에 있을 때만 지급한다. 내시경·MRI·CT·PET·초음파는 약관이 분류번호 구간 전체를 대상으로 하므로 치료행위 키로 판정(v8.53)</t>
        </is>
      </c>
      <c r="P90" s="12" t="n">
        <v>28</v>
      </c>
      <c r="Q90" s="15" t="inlineStr"/>
      <c r="R90" s="15" t="inlineStr">
        <is>
          <t>갱신형 암 MRI촬영검사비 (급여, 연간1회한)
갱신형 암 양전자단층촬영(PET)검사비 (급여, 연간1회한)
갱신형 암 내시경검사비 (급여, 연간1회한)
갱신형 암 특정생검조직병리검사비Ⅱ (급여,연간1회한)
갱신형 암 CT촬영검사비 (급여,연간1회한)</t>
        </is>
      </c>
      <c r="S90" s="11" t="inlineStr"/>
      <c r="T90" s="11" t="inlineStr"/>
    </row>
    <row r="91">
      <c r="A91" s="7" t="n">
        <v>89</v>
      </c>
      <c r="B91" s="8" t="inlineStr">
        <is>
          <t>tx_cancer_rehab</t>
        </is>
      </c>
      <c r="C91" s="9" t="inlineStr">
        <is>
          <t>치료비 (치료행위)</t>
        </is>
      </c>
      <c r="D91" s="8" t="inlineStr">
        <is>
          <t>암특정재활치료비</t>
        </is>
      </c>
      <c r="E91" s="10" t="inlineStr"/>
      <c r="F91" s="10" t="inlineStr">
        <is>
          <t>major_thy_skin</t>
        </is>
      </c>
      <c r="G91" s="7" t="inlineStr">
        <is>
          <t>계산함</t>
        </is>
      </c>
      <c r="H91" s="7" t="inlineStr">
        <is>
          <t>연 1회</t>
        </is>
      </c>
      <c r="I91" s="10" t="inlineStr">
        <is>
          <t>재활치료  (rehab)</t>
        </is>
      </c>
      <c r="J91" s="10" t="inlineStr"/>
      <c r="K91" s="10" t="inlineStr"/>
      <c r="L91" s="10" t="inlineStr"/>
      <c r="M91" s="10" t="inlineStr">
        <is>
          <t>암 치료</t>
        </is>
      </c>
      <c r="N91" s="10" t="inlineStr">
        <is>
          <t>암 재활치료</t>
        </is>
      </c>
      <c r="O91" s="10" t="inlineStr">
        <is>
          <t>암 재활치료비</t>
        </is>
      </c>
      <c r="P91" s="7" t="n">
        <v>2</v>
      </c>
      <c r="Q91" s="10" t="inlineStr"/>
      <c r="R91" s="10" t="inlineStr">
        <is>
          <t>암특정재활치료비(급여, 1일1회한, 연간20회한)
암특정재활치료비(급여,1일1회한,연간20회한)</t>
        </is>
      </c>
      <c r="S91" s="11" t="inlineStr"/>
      <c r="T91" s="11" t="inlineStr"/>
    </row>
    <row r="92">
      <c r="A92" s="12" t="n">
        <v>90</v>
      </c>
      <c r="B92" s="13" t="inlineStr">
        <is>
          <t>tx_cancer_pain</t>
        </is>
      </c>
      <c r="C92" s="14" t="inlineStr">
        <is>
          <t>치료비 (치료행위)</t>
        </is>
      </c>
      <c r="D92" s="13" t="inlineStr">
        <is>
          <t>암특정통증완화치료비</t>
        </is>
      </c>
      <c r="E92" s="15" t="inlineStr"/>
      <c r="F92" s="15" t="inlineStr">
        <is>
          <t>암 또는 유사암</t>
        </is>
      </c>
      <c r="G92" s="12" t="inlineStr">
        <is>
          <t>계산함</t>
        </is>
      </c>
      <c r="H92" s="12" t="inlineStr">
        <is>
          <t>연 1회</t>
        </is>
      </c>
      <c r="I92" s="15" t="inlineStr">
        <is>
          <t>통증치료(신경차단 등)  (pain)</t>
        </is>
      </c>
      <c r="J92" s="15" t="inlineStr"/>
      <c r="K92" s="15" t="inlineStr"/>
      <c r="L92" s="15" t="inlineStr"/>
      <c r="M92" s="15" t="inlineStr">
        <is>
          <t>암 치료</t>
        </is>
      </c>
      <c r="N92" s="15" t="inlineStr">
        <is>
          <t>통증완화치료 · 연간 1회</t>
        </is>
      </c>
      <c r="O92" s="15" t="inlineStr">
        <is>
          <t>암 통증완화치료비</t>
        </is>
      </c>
      <c r="P92" s="12" t="n">
        <v>2</v>
      </c>
      <c r="Q92" s="15" t="inlineStr"/>
      <c r="R92" s="15" t="inlineStr">
        <is>
          <t>암특정통증완화치료비(급여, 연간1회한)
암특정통증완화치료비(급여,연간1회한)</t>
        </is>
      </c>
      <c r="S92" s="11" t="inlineStr"/>
      <c r="T92" s="11" t="inlineStr"/>
    </row>
    <row r="93">
      <c r="A93" s="7" t="n">
        <v>91</v>
      </c>
      <c r="B93" s="8" t="inlineStr">
        <is>
          <t>tx_thromb</t>
        </is>
      </c>
      <c r="C93" s="9" t="inlineStr">
        <is>
          <t>치료비 (치료행위)</t>
        </is>
      </c>
      <c r="D93" s="8" t="inlineStr">
        <is>
          <t>혈전용해치료비</t>
        </is>
      </c>
      <c r="E93" s="10" t="inlineStr"/>
      <c r="F93" s="10" t="inlineStr">
        <is>
          <t>특약 마스터(db.json)에 실린 약관 KCD 목록과 대조</t>
        </is>
      </c>
      <c r="G93" s="7" t="inlineStr">
        <is>
          <t>계산함</t>
        </is>
      </c>
      <c r="H93" s="7" t="inlineStr">
        <is>
          <t>최초 1회</t>
        </is>
      </c>
      <c r="I93" s="10" t="inlineStr">
        <is>
          <t>혈전용해치료(약물)  (thromb)</t>
        </is>
      </c>
      <c r="J93" s="10" t="inlineStr"/>
      <c r="K93" s="10" t="inlineStr"/>
      <c r="L93" s="10" t="inlineStr">
        <is>
          <t>메모 : 약관 제1조 「최초 1회에 한하여」 — 담보명에 연간1회한·계속받는 이 있으면 연 1회(엔진 토큰). 전에는 연 1회로 계산해 GA 「반복(연 1회)」 칸에 매년 반복되는 것으로 보였다 (v8.63)</t>
        </is>
      </c>
      <c r="M93" s="10" t="inlineStr">
        <is>
          <t>치료비</t>
        </is>
      </c>
      <c r="N93" s="10" t="inlineStr">
        <is>
          <t>혈전용해치료 · 최초 1회</t>
        </is>
      </c>
      <c r="O93" s="10" t="inlineStr">
        <is>
          <t>혈전용해치료비</t>
        </is>
      </c>
      <c r="P93" s="7" t="n">
        <v>6</v>
      </c>
      <c r="Q93" s="10" t="inlineStr"/>
      <c r="R93" s="10" t="inlineStr">
        <is>
          <t>혈전용해치료비Ⅱ
혈전용해치료비Ⅱ(연간1회한)
혈전용해치료비Ⅱ(감액기간미적용)
혈전용해치료비Ⅱ(연간1회한) (감액기간미적용)
혈전용해치료비Ⅱ(연간1회한)</t>
        </is>
      </c>
      <c r="S93" s="11" t="inlineStr"/>
      <c r="T93" s="11" t="inlineStr"/>
    </row>
    <row r="94">
      <c r="A94" s="12" t="n">
        <v>92</v>
      </c>
      <c r="B94" s="13" t="inlineStr">
        <is>
          <t>tx_thrombectomy</t>
        </is>
      </c>
      <c r="C94" s="14" t="inlineStr">
        <is>
          <t>치료비 (치료행위)</t>
        </is>
      </c>
      <c r="D94" s="13" t="inlineStr">
        <is>
          <t>기계적혈전제거술.*치료비</t>
        </is>
      </c>
      <c r="E94" s="15" t="inlineStr"/>
      <c r="F94" s="15" t="inlineStr">
        <is>
          <t>특약 마스터(db.json)에 실린 약관 KCD 목록과 대조</t>
        </is>
      </c>
      <c r="G94" s="12" t="inlineStr">
        <is>
          <t>계산함</t>
        </is>
      </c>
      <c r="H94" s="12" t="inlineStr">
        <is>
          <t>연 1회</t>
        </is>
      </c>
      <c r="I94" s="15" t="inlineStr">
        <is>
          <t>기계적 혈전제거술  (thrombectomy)</t>
        </is>
      </c>
      <c r="J94" s="15" t="inlineStr"/>
      <c r="K94" s="15" t="inlineStr"/>
      <c r="L94" s="15" t="inlineStr"/>
      <c r="M94" s="15" t="inlineStr">
        <is>
          <t>치료비</t>
        </is>
      </c>
      <c r="N94" s="15" t="inlineStr">
        <is>
          <t>기계적 혈전제거술 · 연간 1회</t>
        </is>
      </c>
      <c r="O94" s="15" t="inlineStr">
        <is>
          <t>기계적혈전제거술 치료비</t>
        </is>
      </c>
      <c r="P94" s="12" t="n">
        <v>9</v>
      </c>
      <c r="Q94" s="15" t="inlineStr"/>
      <c r="R94" s="15" t="inlineStr">
        <is>
          <t>기계적혈전제거술(카테터법)치료비Ⅱ (급여, 연간1회한)
기계적혈전제거술(카테터법)치료비Ⅱ(뇌졸중)(급여, 연간1회한)
기계적혈전제거술(카테터법)치료비Ⅱ(특정심장질환)(급여, 연간1회한)
기계적혈전제거술(카테터법)치료비Ⅱ (급여, 연간1회한)(감액기간미적용)
기계적혈전제거술(카테터법)치료비Ⅱ(뇌졸중)(급여, 연간1회한)(감액기간미적용)</t>
        </is>
      </c>
      <c r="S94" s="11" t="inlineStr"/>
      <c r="T94" s="11" t="inlineStr"/>
    </row>
    <row r="95">
      <c r="A95" s="7" t="n">
        <v>93</v>
      </c>
      <c r="B95" s="8" t="inlineStr">
        <is>
          <t>tx_point2</t>
        </is>
      </c>
      <c r="C95" s="9" t="inlineStr">
        <is>
          <t>point2</t>
        </is>
      </c>
      <c r="D95" s="8" t="inlineStr">
        <is>
          <t>최대두배받는2대질환치료비</t>
        </is>
      </c>
      <c r="E95" s="10" t="inlineStr"/>
      <c r="F95" s="10" t="inlineStr">
        <is>
          <t>질병코드 조건 없음 — 담보명·치료행위로만 판정</t>
        </is>
      </c>
      <c r="G95" s="7" t="inlineStr">
        <is>
          <t>분류만 (금액 계산 안 함)</t>
        </is>
      </c>
      <c r="H95" s="7" t="inlineStr">
        <is>
          <t>—</t>
        </is>
      </c>
      <c r="I95" s="10" t="inlineStr"/>
      <c r="J95" s="10" t="inlineStr"/>
      <c r="K95" s="10" t="inlineStr"/>
      <c r="L95" s="10" t="inlineStr">
        <is>
          <t>메모 : 통106·케179 제2조 ① 지급금액표(계약일부터 1년경과시점 이후 · 1년 이내는 절반 12.5·17.5·20·50%) · 제5조 치료포인트 : 뇌혈관질환치료·허혈성심장질환치료 = 비관혈수술·혈전용해 1점 / 관혈수술 2점, 중환자실입원 = 4일이상 1점 / 8일이상 2점, 치료군별 최고점 1회를 합산(최대 4점)</t>
        </is>
      </c>
      <c r="M95" s="10" t="inlineStr">
        <is>
          <t>치료비</t>
        </is>
      </c>
      <c r="N95" s="10" t="inlineStr"/>
      <c r="O95" s="10" t="inlineStr">
        <is>
          <t>최대두배받는2대질환치료비(포인트적립형) — 치료포인트 누적 구간별 최초 1회(v8.65)</t>
        </is>
      </c>
      <c r="P95" s="7" t="n">
        <v>15</v>
      </c>
      <c r="Q95" s="10" t="inlineStr"/>
      <c r="R95" s="10" t="inlineStr">
        <is>
          <t>최대두배받는2대질환치료비(포인트적립형)
최대두배받는2대질환치료비(포인트적립형)[1점이상]
최대두배받는2대질환치료비(포인트적립형)[2점이상]
최대두배받는2대질환치료비(포인트적립형)[3점이상]
최대두배받는2대질환치료비(포인트적립형)[4점이상]</t>
        </is>
      </c>
      <c r="S95" s="11" t="inlineStr"/>
      <c r="T95" s="11" t="inlineStr"/>
    </row>
    <row r="96">
      <c r="A96" s="12" t="n">
        <v>94</v>
      </c>
      <c r="B96" s="13" t="inlineStr">
        <is>
          <t>tx_two_major</t>
        </is>
      </c>
      <c r="C96" s="14" t="inlineStr">
        <is>
          <t>치료비 (치료행위)</t>
        </is>
      </c>
      <c r="D96" s="13" t="inlineStr">
        <is>
          <t>2대질환.*(주요치료비|치료비)</t>
        </is>
      </c>
      <c r="E96" s="15" t="inlineStr"/>
      <c r="F96" s="15" t="inlineStr">
        <is>
          <t>특약 마스터(db.json)에 실린 약관 KCD 목록과 대조</t>
        </is>
      </c>
      <c r="G96" s="12" t="inlineStr">
        <is>
          <t>계산함</t>
        </is>
      </c>
      <c r="H96" s="12" t="inlineStr">
        <is>
          <t>연 1회</t>
        </is>
      </c>
      <c r="I96" s="15" t="inlineStr">
        <is>
          <t>수술  (surg)
혈전용해치료(약물)  (thromb)</t>
        </is>
      </c>
      <c r="J96" s="15" t="inlineStr"/>
      <c r="K96" s="15" t="inlineStr"/>
      <c r="L96" s="15" t="inlineStr"/>
      <c r="M96" s="15" t="inlineStr">
        <is>
          <t>치료비</t>
        </is>
      </c>
      <c r="N96" s="15" t="inlineStr">
        <is>
          <t>뇌·심장 주요치료 · 연간 1회</t>
        </is>
      </c>
      <c r="O96" s="15" t="inlineStr">
        <is>
          <t>2대질환 주요치료비</t>
        </is>
      </c>
      <c r="P96" s="12" t="n">
        <v>9</v>
      </c>
      <c r="Q96" s="15" t="inlineStr"/>
      <c r="R96" s="15" t="inlineStr">
        <is>
          <t>2대질환 주요치료비(연간1회한, 10년간)
상급종합병원 2대질환 주요치료비(연간1회한, 10년간)
상급종합병원 2대질환 주요치료비(연간1회한, 10년간)(체증형)
2대질환 주요치료비(연간1회한, 10년간)
갱신형 2대질환 주요치료비(연간1회한, 10년간)</t>
        </is>
      </c>
      <c r="S96" s="11" t="inlineStr"/>
      <c r="T96" s="11" t="inlineStr"/>
    </row>
    <row r="97">
      <c r="A97" s="7" t="n">
        <v>95</v>
      </c>
      <c r="B97" s="8" t="inlineStr">
        <is>
          <t>tx_dementia_target</t>
        </is>
      </c>
      <c r="C97" s="9" t="inlineStr">
        <is>
          <t>계산 제외 (제도성·조건부)</t>
        </is>
      </c>
      <c r="D97" s="8" t="inlineStr">
        <is>
          <t>표적치매약물허가치료비</t>
        </is>
      </c>
      <c r="E97" s="10" t="inlineStr"/>
      <c r="F97" s="10" t="inlineStr">
        <is>
          <t>질병코드 조건 없음 — 담보명·치료행위로만 판정</t>
        </is>
      </c>
      <c r="G97" s="7" t="inlineStr">
        <is>
          <t>분류만 (금액 계산 안 함)</t>
        </is>
      </c>
      <c r="H97" s="7" t="inlineStr">
        <is>
          <t>—</t>
        </is>
      </c>
      <c r="I97" s="10" t="inlineStr"/>
      <c r="J97" s="10" t="inlineStr"/>
      <c r="K97" s="10" t="inlineStr"/>
      <c r="L97" s="10" t="inlineStr">
        <is>
          <t>기록 사유 : 최경증 치매·경증 알츠하이머치매 진단 + 아밀로이드베타 적응증(PET 30 센틸로이드 이상 등) + 표적치매약물허가치료 N회 이상(7·13·19회)이 지급사유(제1조·제3조) — 사례로 단정할 수 없어 계산 제외</t>
        </is>
      </c>
      <c r="M97" s="10" t="inlineStr"/>
      <c r="N97" s="10" t="inlineStr"/>
      <c r="O97" s="10" t="inlineStr">
        <is>
          <t>표적치매약물허가치료비(통265~268) — 치매 상태·검사·치료 횟수 조건부(사례 계산 제외). 종전 tx_etc_care 가 F00·G30 진단만으로 4단(기본·7회·13회·19회)을 한꺼번에 지급 계산(v8.61)</t>
        </is>
      </c>
      <c r="P97" s="7" t="n">
        <v>8</v>
      </c>
      <c r="Q97" s="10" t="inlineStr"/>
      <c r="R97" s="10" t="inlineStr">
        <is>
          <t>갱신형 표적치매약물허가치료비 (최경증 치매,경증 알츠하이머치매)
갱신형 표적치매약물허가치료비 (최경증 치매,경증 알츠하이머치매) (7회이상)
갱신형 표적치매약물허가치료비 (최경증 치매,경증 알츠하이머치매) (13회이상)
갱신형 표적치매약물허가치료비 (최경증 치매,경증 알츠하이머치매) (19회이상)
갱신형 표적치매약물허가치료비 (최경증 치매,경증 알츠하이머치매)</t>
        </is>
      </c>
      <c r="S97" s="11" t="inlineStr"/>
      <c r="T97" s="11" t="inlineStr"/>
    </row>
    <row r="98">
      <c r="A98" s="12" t="n">
        <v>96</v>
      </c>
      <c r="B98" s="13" t="inlineStr">
        <is>
          <t>tx_hyperthyroid</t>
        </is>
      </c>
      <c r="C98" s="14" t="inlineStr">
        <is>
          <t>치료비 (치료행위)</t>
        </is>
      </c>
      <c r="D98" s="13" t="inlineStr">
        <is>
          <t>갑상선기능항진증치료비</t>
        </is>
      </c>
      <c r="E98" s="15" t="inlineStr"/>
      <c r="F98" s="15" t="inlineStr">
        <is>
          <t>특약 마스터(db.json)에 실린 약관 KCD 목록과 대조</t>
        </is>
      </c>
      <c r="G98" s="12" t="inlineStr">
        <is>
          <t>계산함</t>
        </is>
      </c>
      <c r="H98" s="12" t="inlineStr">
        <is>
          <t>최초 1회</t>
        </is>
      </c>
      <c r="I98" s="15" t="inlineStr">
        <is>
          <t>수술  (surg)
※ 이름 미정  (rai)
※ 이름 미정  (antithyroid60)</t>
        </is>
      </c>
      <c r="J98" s="15" t="inlineStr"/>
      <c r="K98" s="15" t="inlineStr"/>
      <c r="L98" s="15" t="inlineStr"/>
      <c r="M98" s="15" t="inlineStr">
        <is>
          <t>치료비</t>
        </is>
      </c>
      <c r="N98" s="15" t="inlineStr">
        <is>
          <t>갑상선기능항진증 진단 후 갑상선절제술 · 방사성요오드치료 · 60일 이상 항갑상선제 처방 중 하나 · 최초 1회</t>
        </is>
      </c>
      <c r="O98" s="15" t="inlineStr">
        <is>
          <t>갑상선기능항진증치료비(케87) — 제3조③의 세 치료(갑상선절제술 / 방사성요오드 / 항갑상선제 60일 이상 처방) 중 하나를 받아야 지급. 종전 tx_etc_care(치료행위 없음)가 E05 진단만으로 지급 계산(v8.61)</t>
        </is>
      </c>
      <c r="P98" s="12" t="n">
        <v>1</v>
      </c>
      <c r="Q98" s="15" t="inlineStr"/>
      <c r="R98" s="15" t="inlineStr">
        <is>
          <t>갑상선기능항진증치료비</t>
        </is>
      </c>
      <c r="S98" s="11" t="inlineStr"/>
      <c r="T98" s="11" t="inlineStr"/>
    </row>
    <row r="99">
      <c r="A99" s="7" t="n">
        <v>97</v>
      </c>
      <c r="B99" s="8" t="inlineStr">
        <is>
          <t>tx_cancer_adverse_drug</t>
        </is>
      </c>
      <c r="C99" s="9" t="inlineStr">
        <is>
          <t>계산 제외 (제도성·조건부)</t>
        </is>
      </c>
      <c r="D99" s="8" t="inlineStr">
        <is>
          <t>특정항암부작용약제치료비</t>
        </is>
      </c>
      <c r="E99" s="10" t="inlineStr"/>
      <c r="F99" s="10" t="inlineStr">
        <is>
          <t>질병코드 조건 없음 — 담보명·치료행위로만 판정</t>
        </is>
      </c>
      <c r="G99" s="7" t="inlineStr">
        <is>
          <t>분류만 (금액 계산 안 함)</t>
        </is>
      </c>
      <c r="H99" s="7" t="inlineStr">
        <is>
          <t>—</t>
        </is>
      </c>
      <c r="I99" s="10" t="inlineStr"/>
      <c r="J99" s="10" t="inlineStr"/>
      <c r="K99" s="10" t="inlineStr"/>
      <c r="L99" s="10" t="inlineStr">
        <is>
          <t>기록 사유 : 암 진단 후 특정암합병증및항암부작용약제(급여) 또는 특정항구토제(급여)를 투약처방 받은 때 구분별(100% / 3%)로 지급(제1조·제4조) — 사례에 약제 처방 구분이 없어 계산 제외</t>
        </is>
      </c>
      <c r="M99" s="10" t="inlineStr"/>
      <c r="N99" s="10" t="inlineStr"/>
      <c r="O99" s="10" t="inlineStr">
        <is>
          <t>특정항암부작용약제치료비(또124) — 약제 처방 조건부(사례 계산 제외). 종전 tx_etc_care 가 암 진단만으로 가입금액 전액을 지급 계산(v8.61)</t>
        </is>
      </c>
      <c r="P99" s="7" t="n">
        <v>2</v>
      </c>
      <c r="Q99" s="10" t="inlineStr"/>
      <c r="R99" s="10" t="inlineStr">
        <is>
          <t>특정항암부작용약제치료비(급여,연간1회한)
특정항암부작용약제치료비(급여,연간1회한)</t>
        </is>
      </c>
      <c r="S99" s="11" t="inlineStr"/>
      <c r="T99" s="11" t="inlineStr"/>
    </row>
    <row r="100">
      <c r="A100" s="12" t="n">
        <v>98</v>
      </c>
      <c r="B100" s="13" t="inlineStr">
        <is>
          <t>tx_arrhythmia_exam</t>
        </is>
      </c>
      <c r="C100" s="14" t="inlineStr">
        <is>
          <t>계산 제외 (제도성·조건부)</t>
        </is>
      </c>
      <c r="D100" s="13" t="inlineStr">
        <is>
          <t>부정맥질환특정검사비</t>
        </is>
      </c>
      <c r="E100" s="15" t="inlineStr"/>
      <c r="F100" s="15" t="inlineStr">
        <is>
          <t>질병코드 조건 없음 — 담보명·치료행위로만 판정</t>
        </is>
      </c>
      <c r="G100" s="12" t="inlineStr">
        <is>
          <t>분류만 (금액 계산 안 함)</t>
        </is>
      </c>
      <c r="H100" s="12" t="inlineStr">
        <is>
          <t>—</t>
        </is>
      </c>
      <c r="I100" s="15" t="inlineStr"/>
      <c r="J100" s="15" t="inlineStr"/>
      <c r="K100" s="15" t="inlineStr"/>
      <c r="L100" s="15" t="inlineStr">
        <is>
          <t>기록 사유 : 부정맥질환 진단·치료 소견으로 별표(부정맥질환특정검사(급여) 분류표)의 검사(1종·2종)를 받은 때 지급(제2조·제5조) — 마스터에 수가코드 목록이 없고 사례에 검사 구분이 없어 계산 제외</t>
        </is>
      </c>
      <c r="M100" s="15" t="inlineStr"/>
      <c r="N100" s="15" t="inlineStr"/>
      <c r="O100" s="15" t="inlineStr">
        <is>
          <t>부정맥질환특정검사비(케345) — 별표 수가코드 검사 조건부(사례 계산 제외). 종전 tx_etc_care 가 I47·I48 진단만으로 지급 계산(v8.61)</t>
        </is>
      </c>
      <c r="P100" s="12" t="n">
        <v>1</v>
      </c>
      <c r="Q100" s="15" t="inlineStr"/>
      <c r="R100" s="15" t="inlineStr">
        <is>
          <t>갱신형 부정맥질환특정검사비</t>
        </is>
      </c>
      <c r="S100" s="11" t="inlineStr"/>
      <c r="T100" s="11" t="inlineStr"/>
    </row>
    <row r="101">
      <c r="A101" s="7" t="n">
        <v>99</v>
      </c>
      <c r="B101" s="8" t="inlineStr">
        <is>
          <t>tx_hc_kcd</t>
        </is>
      </c>
      <c r="C101" s="9" t="inlineStr">
        <is>
          <t>치료비 (치료행위)</t>
        </is>
      </c>
      <c r="D101" s="8" t="inlineStr">
        <is>
          <t>(갑상선질환고주파열치료비|유방병변진공보조장치이용절제치료비|자궁근종고강도초음파집속술치료비)</t>
        </is>
      </c>
      <c r="E101" s="10" t="inlineStr"/>
      <c r="F101" s="10" t="inlineStr">
        <is>
          <t>특약 마스터(db.json)에 실린 약관 KCD 목록과 대조</t>
        </is>
      </c>
      <c r="G101" s="7" t="inlineStr">
        <is>
          <t>계산함</t>
        </is>
      </c>
      <c r="H101" s="7" t="inlineStr">
        <is>
          <t>최초 1회</t>
        </is>
      </c>
      <c r="I101" s="10" t="inlineStr"/>
      <c r="J101" s="10" t="inlineStr"/>
      <c r="K101" s="10" t="inlineStr"/>
      <c r="L101" s="10" t="inlineStr">
        <is>
          <t>약관이 진료행위(수가)코드를 열거한 항목은 그 목록에 있을 때만</t>
        </is>
      </c>
      <c r="M101" s="10" t="inlineStr">
        <is>
          <t>치료비</t>
        </is>
      </c>
      <c r="N101" s="10" t="inlineStr">
        <is>
          <t>약관 대상 질병 진단 후 약관이 정한 시술(수가코드) · 최초 1회</t>
        </is>
      </c>
      <c r="O101" s="10" t="inlineStr">
        <is>
          <t>갑상선 고주파열치료(PZ612) · 유방 진공보조절제(신의료기술 770) · 자궁근종 HIFU(RZ566) 치료비(케328) — 대상 질병(D34·E04 / D24·N60 / D25) + 그 시술의 수가코드가 사례에 있을 때만. 종전에는 갑상선 고주파열치료비가 tx_procedure(수술이면 지급)로, 나머지 둘은 tx_etc_care(진단만으로 지급)로 계산됐다(v8.61)</t>
        </is>
      </c>
      <c r="P101" s="7" t="n">
        <v>8</v>
      </c>
      <c r="Q101" s="10" t="inlineStr"/>
      <c r="R101" s="10" t="inlineStr">
        <is>
          <t>갱신형 갑상선질환 고주파열치료비(최초1회한)
갱신형 유방병변 진공보조장치이용절제치료비(최초1회한)
갱신형 자궁근종 고강도초음파집속술치료비(최초1회한)
갱신형 갑상선질환 고주파열치료비(최초1회한)
갱신형특정질환3대치료비[갑상선질환 고주파열치료비(최초1회한)]</t>
        </is>
      </c>
      <c r="S101" s="11" t="inlineStr"/>
      <c r="T101" s="11" t="inlineStr"/>
    </row>
    <row r="102">
      <c r="A102" s="12" t="n">
        <v>100</v>
      </c>
      <c r="B102" s="13" t="inlineStr">
        <is>
          <t>tx_anesth6</t>
        </is>
      </c>
      <c r="C102" s="14" t="inlineStr">
        <is>
          <t>치료비 (치료행위)</t>
        </is>
      </c>
      <c r="D102" s="13" t="inlineStr">
        <is>
          <t>전신마취치료비\(급여,6시간이상\)</t>
        </is>
      </c>
      <c r="E102" s="15" t="inlineStr"/>
      <c r="F102" s="15" t="inlineStr">
        <is>
          <t>질병코드 조건 없음 — 담보명·치료행위로만 판정</t>
        </is>
      </c>
      <c r="G102" s="12" t="inlineStr">
        <is>
          <t>계산함</t>
        </is>
      </c>
      <c r="H102" s="12" t="inlineStr">
        <is>
          <t>받을 때마다</t>
        </is>
      </c>
      <c r="I102" s="15" t="inlineStr">
        <is>
          <t>6시간 이상 전신마취 수술  (anes6)</t>
        </is>
      </c>
      <c r="J102" s="15" t="inlineStr"/>
      <c r="K102" s="15" t="inlineStr"/>
      <c r="L102" s="15" t="inlineStr"/>
      <c r="M102" s="15" t="inlineStr">
        <is>
          <t>치료비</t>
        </is>
      </c>
      <c r="N102" s="15" t="inlineStr">
        <is>
          <t>종합병원 전신마취 6시간 이상 · 치료 1회당</t>
        </is>
      </c>
      <c r="O102" s="15" t="inlineStr">
        <is>
          <t>종합병원 전신마취치료비(급여, 6시간이상) — 약관 제1조 '전신마취치료(급여)를 6시간 이상 받은 때 치료 1회당' · 제2조① 마취시간은 1회당 기준(합산 없음) · 연간 횟수 제한 없음(v8.61)</t>
        </is>
      </c>
      <c r="P102" s="12" t="n">
        <v>2</v>
      </c>
      <c r="Q102" s="15" t="inlineStr"/>
      <c r="R102" s="15" t="inlineStr">
        <is>
          <t>종합병원 전신마취치료비 (급여, 6시간이상)
종합병원 전신마취치료비 (급여, 6시간이상)</t>
        </is>
      </c>
      <c r="S102" s="11" t="inlineStr"/>
      <c r="T102" s="11" t="inlineStr"/>
    </row>
    <row r="103">
      <c r="A103" s="7" t="n">
        <v>101</v>
      </c>
      <c r="B103" s="8" t="inlineStr">
        <is>
          <t>tx_anesth4</t>
        </is>
      </c>
      <c r="C103" s="9" t="inlineStr">
        <is>
          <t>치료비 (치료행위)</t>
        </is>
      </c>
      <c r="D103" s="8" t="inlineStr">
        <is>
          <t>전신마취치료비\(급여,4시간이상\)</t>
        </is>
      </c>
      <c r="E103" s="10" t="inlineStr"/>
      <c r="F103" s="10" t="inlineStr">
        <is>
          <t>질병코드 조건 없음 — 담보명·치료행위로만 판정</t>
        </is>
      </c>
      <c r="G103" s="7" t="inlineStr">
        <is>
          <t>계산함</t>
        </is>
      </c>
      <c r="H103" s="7" t="inlineStr">
        <is>
          <t>받을 때마다</t>
        </is>
      </c>
      <c r="I103" s="10" t="inlineStr">
        <is>
          <t>4시간 이상 전신마취 수술  (anes4)</t>
        </is>
      </c>
      <c r="J103" s="10" t="inlineStr"/>
      <c r="K103" s="10" t="inlineStr"/>
      <c r="L103" s="10" t="inlineStr"/>
      <c r="M103" s="10" t="inlineStr">
        <is>
          <t>치료비</t>
        </is>
      </c>
      <c r="N103" s="10" t="inlineStr">
        <is>
          <t>종합병원 전신마취 4시간 이상 · 치료 1회당</t>
        </is>
      </c>
      <c r="O103" s="10" t="inlineStr">
        <is>
          <t>종합병원 전신마취치료비(급여, 4시간이상) — 6시간 이상이면 이 담보도 함께 지급된다(별개 특약 · 각각 제1조 충족)(v8.61)</t>
        </is>
      </c>
      <c r="P103" s="7" t="n">
        <v>2</v>
      </c>
      <c r="Q103" s="10" t="inlineStr"/>
      <c r="R103" s="10" t="inlineStr">
        <is>
          <t>종합병원 전신마취치료비 (급여, 4시간이상)
종합병원 전신마취치료비 (급여, 4시간이상)</t>
        </is>
      </c>
      <c r="S103" s="11" t="inlineStr"/>
      <c r="T103" s="11" t="inlineStr"/>
    </row>
    <row r="104">
      <c r="A104" s="12" t="n">
        <v>102</v>
      </c>
      <c r="B104" s="13" t="inlineStr">
        <is>
          <t>tx_anesth</t>
        </is>
      </c>
      <c r="C104" s="14" t="inlineStr">
        <is>
          <t>치료비 (치료행위)</t>
        </is>
      </c>
      <c r="D104" s="13" t="inlineStr">
        <is>
          <t>전신마취치료비</t>
        </is>
      </c>
      <c r="E104" s="15" t="inlineStr">
        <is>
          <t>시간이상</t>
        </is>
      </c>
      <c r="F104" s="15" t="inlineStr">
        <is>
          <t>질병코드 조건 없음 — 담보명·치료행위로만 판정</t>
        </is>
      </c>
      <c r="G104" s="12" t="inlineStr">
        <is>
          <t>계산함</t>
        </is>
      </c>
      <c r="H104" s="12" t="inlineStr">
        <is>
          <t>받을 때마다</t>
        </is>
      </c>
      <c r="I104" s="15" t="inlineStr">
        <is>
          <t>종합병원 전신마취 수술  (anes)</t>
        </is>
      </c>
      <c r="J104" s="15" t="inlineStr"/>
      <c r="K104" s="15" t="inlineStr"/>
      <c r="L104" s="15" t="inlineStr"/>
      <c r="M104" s="15" t="inlineStr">
        <is>
          <t>치료비</t>
        </is>
      </c>
      <c r="N104" s="15" t="inlineStr">
        <is>
          <t>종합병원 전신마취 · 치료 1회당</t>
        </is>
      </c>
      <c r="O104" s="15" t="inlineStr">
        <is>
          <t>종합병원 전신마취치료비(급여) — 마취시간 조건 없음 · 치료 1회당 · 수가코드 L1211·L1221·L1231·L1212·L1222·L1232(제3조) · 제5조③ 면책질병은 db.json x 로 판정(v8.61 : 예전엔 acts anes6 만 보고 있어 사례가 anes6 를 주지 않아 0원이었다)</t>
        </is>
      </c>
      <c r="P104" s="12" t="n">
        <v>2</v>
      </c>
      <c r="Q104" s="15" t="inlineStr"/>
      <c r="R104" s="15" t="inlineStr">
        <is>
          <t>종합병원 전신마취치료비(급여)
종합병원 전신마취치료비(급여)</t>
        </is>
      </c>
      <c r="S104" s="11" t="inlineStr"/>
      <c r="T104" s="11" t="inlineStr"/>
    </row>
    <row r="105">
      <c r="A105" s="7" t="n">
        <v>103</v>
      </c>
      <c r="B105" s="8" t="inlineStr">
        <is>
          <t>tx_rehab</t>
        </is>
      </c>
      <c r="C105" s="9" t="inlineStr">
        <is>
          <t>치료비 (치료행위)</t>
        </is>
      </c>
      <c r="D105" s="8" t="inlineStr">
        <is>
          <t>재활치료비</t>
        </is>
      </c>
      <c r="E105" s="10" t="inlineStr"/>
      <c r="F105" s="10" t="inlineStr">
        <is>
          <t>질병코드 조건 없음 — 담보명·치료행위로만 판정</t>
        </is>
      </c>
      <c r="G105" s="7" t="inlineStr">
        <is>
          <t>계산함</t>
        </is>
      </c>
      <c r="H105" s="7" t="inlineStr">
        <is>
          <t>받을 때마다</t>
        </is>
      </c>
      <c r="I105" s="10" t="inlineStr">
        <is>
          <t>재활치료  (rehab)</t>
        </is>
      </c>
      <c r="J105" s="10" t="inlineStr"/>
      <c r="K105" s="10" t="inlineStr"/>
      <c r="L105" s="10" t="inlineStr"/>
      <c r="M105" s="10" t="inlineStr">
        <is>
          <t>치료비</t>
        </is>
      </c>
      <c r="N105" s="10" t="inlineStr">
        <is>
          <t>재활치료</t>
        </is>
      </c>
      <c r="O105" s="10" t="inlineStr">
        <is>
          <t>재활치료비</t>
        </is>
      </c>
      <c r="P105" s="7" t="n">
        <v>1</v>
      </c>
      <c r="Q105" s="10" t="inlineStr"/>
      <c r="R105" s="10" t="inlineStr">
        <is>
          <t>상해재활치료비 (급여,1일1회한,연간15회한)</t>
        </is>
      </c>
      <c r="S105" s="11" t="inlineStr"/>
      <c r="T105" s="11" t="inlineStr"/>
    </row>
    <row r="106">
      <c r="A106" s="12" t="n">
        <v>104</v>
      </c>
      <c r="B106" s="13" t="inlineStr">
        <is>
          <t>tx_exam</t>
        </is>
      </c>
      <c r="C106" s="14" t="inlineStr">
        <is>
          <t>치료비 (치료행위)</t>
        </is>
      </c>
      <c r="D106" s="13" t="inlineStr">
        <is>
          <t>(MRI|CT|PET|양전자단층촬영|초음파|내시경|NGS유전자|생검).*(검사비|촬영검사비)</t>
        </is>
      </c>
      <c r="E106" s="15" t="inlineStr"/>
      <c r="F106" s="15" t="inlineStr">
        <is>
          <t>마스터에 약관 KCD 목록이 있으면 대조 (없으면 조건 없이 계산하고 로그)</t>
        </is>
      </c>
      <c r="G106" s="12" t="inlineStr">
        <is>
          <t>계산함</t>
        </is>
      </c>
      <c r="H106" s="12" t="inlineStr">
        <is>
          <t>연 1회</t>
        </is>
      </c>
      <c r="I106" s="15" t="inlineStr">
        <is>
          <t>CT 검사  (x_ct)
MRI 검사  (x_mri)
PET 검사  (x_pet)
초음파 검사  (x_us)
내시경 검사  (x_endo)
NGS 유전자패널검사  (x_ngs)
조직검사(생검)  (x_bio)</t>
        </is>
      </c>
      <c r="J106" s="15" t="inlineStr"/>
      <c r="K106" s="15" t="inlineStr"/>
      <c r="L106" s="15" t="inlineStr"/>
      <c r="M106" s="15" t="inlineStr">
        <is>
          <t>치료비</t>
        </is>
      </c>
      <c r="N106" s="15" t="inlineStr">
        <is>
          <t>검사 · 연간 1회</t>
        </is>
      </c>
      <c r="O106" s="15" t="inlineStr">
        <is>
          <t>검사비 — 약관이 대상 질병을 정해 둔 담보(3대질환 MRI촬영검사비 등)는 마스터의 약관 KCD 목록과 대조한다. 목록이 없는 담보는 질병 조건 없이 계산하고 로그를 남긴다(v8.53)</t>
        </is>
      </c>
      <c r="P106" s="12" t="n">
        <v>3</v>
      </c>
      <c r="Q106" s="15" t="inlineStr"/>
      <c r="R106" s="15" t="inlineStr">
        <is>
          <t>갱신형 3대질환 MRI촬영검사비(급여, 연간1회한)
갱신형 양전자단층촬영(PET)검사비(급여, 연간1회한)
상해MRI/CT검사비 (급여,연간1회한)</t>
        </is>
      </c>
      <c r="S106" s="11" t="inlineStr"/>
      <c r="T106" s="11" t="inlineStr"/>
    </row>
    <row r="107">
      <c r="A107" s="7" t="n">
        <v>105</v>
      </c>
      <c r="B107" s="8" t="inlineStr">
        <is>
          <t>tx_procedure</t>
        </is>
      </c>
      <c r="C107" s="9" t="inlineStr">
        <is>
          <t>치료비 (치료행위)</t>
        </is>
      </c>
      <c r="D107" s="8" t="inlineStr">
        <is>
          <t>(체외충격파쇄석술|신경차단술|고주파열치료|특정급여시술치료비|특정이물제거|창상봉합술|견봉성형술|특정비급여,신의료기술치료비|특정질환3대치료비|통합외상치료비|특정치료비)</t>
        </is>
      </c>
      <c r="E107" s="10" t="inlineStr"/>
      <c r="F107" s="10" t="inlineStr">
        <is>
          <t>특약 마스터(db.json)에 실린 약관 KCD 목록과 대조</t>
        </is>
      </c>
      <c r="G107" s="7" t="inlineStr">
        <is>
          <t>계산함</t>
        </is>
      </c>
      <c r="H107" s="7" t="inlineStr">
        <is>
          <t>연 1회</t>
        </is>
      </c>
      <c r="I107" s="10" t="inlineStr">
        <is>
          <t>수술  (surg)</t>
        </is>
      </c>
      <c r="J107" s="10" t="inlineStr"/>
      <c r="K107" s="10" t="inlineStr"/>
      <c r="L107" s="10" t="inlineStr">
        <is>
          <t>약관이 진료행위(수가)코드를 열거한 항목은 그 목록에 있을 때만</t>
        </is>
      </c>
      <c r="M107" s="10" t="inlineStr">
        <is>
          <t>치료비</t>
        </is>
      </c>
      <c r="N107" s="10" t="inlineStr">
        <is>
          <t>약관 대상 시술 · 연간 1회</t>
        </is>
      </c>
      <c r="O107" s="10" t="inlineStr">
        <is>
          <t>특정 시술·치료비</t>
        </is>
      </c>
      <c r="P107" s="7" t="n">
        <v>2</v>
      </c>
      <c r="Q107" s="10" t="inlineStr"/>
      <c r="R107" s="10" t="inlineStr">
        <is>
          <t>추간판장애(디스크질환) 신경차단술치료비(급여,연간1회한)
특정이물제거치료비Ⅰ(급여,연간1회한)</t>
        </is>
      </c>
      <c r="S107" s="11" t="inlineStr"/>
      <c r="T107" s="11" t="inlineStr"/>
    </row>
    <row r="108">
      <c r="A108" s="12" t="n">
        <v>106</v>
      </c>
      <c r="B108" s="13" t="inlineStr">
        <is>
          <t>tx_emergency</t>
        </is>
      </c>
      <c r="C108" s="14" t="inlineStr">
        <is>
          <t>치료비 (치료행위)</t>
        </is>
      </c>
      <c r="D108" s="13" t="inlineStr">
        <is>
          <t>응급실내원비</t>
        </is>
      </c>
      <c r="E108" s="15" t="inlineStr"/>
      <c r="F108" s="15" t="inlineStr">
        <is>
          <t>질병코드 조건 없음 — 담보명·치료행위로만 판정</t>
        </is>
      </c>
      <c r="G108" s="12" t="inlineStr">
        <is>
          <t>계산함</t>
        </is>
      </c>
      <c r="H108" s="12" t="inlineStr">
        <is>
          <t>받을 때마다</t>
        </is>
      </c>
      <c r="I108" s="15" t="inlineStr">
        <is>
          <t>응급실 진료  (er)</t>
        </is>
      </c>
      <c r="J108" s="15" t="inlineStr"/>
      <c r="K108" s="15" t="inlineStr"/>
      <c r="L108" s="15" t="inlineStr"/>
      <c r="M108" s="15" t="inlineStr">
        <is>
          <t>치료비</t>
        </is>
      </c>
      <c r="N108" s="15" t="inlineStr">
        <is>
          <t>응급실 내원</t>
        </is>
      </c>
      <c r="O108" s="15" t="inlineStr">
        <is>
          <t>응급실 내원비</t>
        </is>
      </c>
      <c r="P108" s="12" t="n">
        <v>5</v>
      </c>
      <c r="Q108" s="15" t="inlineStr"/>
      <c r="R108" s="15" t="inlineStr">
        <is>
          <t>응급실내원비(응급)
상해 응급실내원비(응급)
응급실내원비(응급)
응급실내원비(1-3등급)
의료기관 및 민간 구급차 이용 응급실내원비(1-3등급)</t>
        </is>
      </c>
      <c r="S108" s="11" t="inlineStr"/>
      <c r="T108" s="11" t="inlineStr"/>
    </row>
    <row r="109">
      <c r="A109" s="7" t="n">
        <v>107</v>
      </c>
      <c r="B109" s="8" t="inlineStr">
        <is>
          <t>ls_monthly</t>
        </is>
      </c>
      <c r="C109" s="9" t="inlineStr">
        <is>
          <t>생활지원금</t>
        </is>
      </c>
      <c r="D109" s="8" t="inlineStr">
        <is>
          <t>통합생활지원비</t>
        </is>
      </c>
      <c r="E109" s="10" t="inlineStr"/>
      <c r="F109" s="10" t="inlineStr">
        <is>
          <t>질병코드 조건 없음 — 담보명·치료행위로만 판정</t>
        </is>
      </c>
      <c r="G109" s="7" t="inlineStr">
        <is>
          <t>분류만 (금액 계산 안 함)</t>
        </is>
      </c>
      <c r="H109" s="7" t="inlineStr">
        <is>
          <t>—</t>
        </is>
      </c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>
        <is>
          <t>통합생활지원비 — 산정특례 등록·치료 항목마다 월 단위 지급(가입금액 = 월간 총 지급금액 한도). 정액 치료비로 오계산되지 않게 사례 계산에서 제외하고, 약관 항목표(life_support.json)를 전용 지면에 그대로 싣는다.</t>
        </is>
      </c>
      <c r="P109" s="7" t="n">
        <v>11</v>
      </c>
      <c r="Q109" s="10" t="inlineStr"/>
      <c r="R109" s="10" t="inlineStr">
        <is>
          <t>암 통합생활지원비(월간한도)
2대질환 통합생활지원비(월간한도)
암 통합생활지원비(월간한도)
2대질환 통합생활지원비(월간한도)
상해 통합생활지원비(월간한도)</t>
        </is>
      </c>
      <c r="S109" s="11" t="inlineStr"/>
      <c r="T109" s="11" t="inlineStr"/>
    </row>
    <row r="110">
      <c r="A110" s="12" t="n">
        <v>108</v>
      </c>
      <c r="B110" s="13" t="inlineStr">
        <is>
          <t>tx_aneurysm_surg</t>
        </is>
      </c>
      <c r="C110" s="14" t="inlineStr">
        <is>
          <t>치료비 (치료행위)</t>
        </is>
      </c>
      <c r="D110" s="13" t="inlineStr">
        <is>
          <t>뇌동맥류수술비</t>
        </is>
      </c>
      <c r="E110" s="15" t="inlineStr"/>
      <c r="F110" s="15" t="inlineStr">
        <is>
          <t>질병코드 조건 없음 — 담보명·치료행위로만 판정</t>
        </is>
      </c>
      <c r="G110" s="12" t="inlineStr">
        <is>
          <t>계산함</t>
        </is>
      </c>
      <c r="H110" s="12" t="inlineStr">
        <is>
          <t>연 1회</t>
        </is>
      </c>
      <c r="I110" s="15" t="inlineStr">
        <is>
          <t>수술  (surg)</t>
        </is>
      </c>
      <c r="J110" s="15" t="inlineStr"/>
      <c r="K110" s="15" t="inlineStr"/>
      <c r="L110" s="15" t="inlineStr">
        <is>
          <t>1-7종 분류표의 수술구분이 「뇌동맥류수술」일 때만</t>
        </is>
      </c>
      <c r="M110" s="15" t="inlineStr">
        <is>
          <t>수술비</t>
        </is>
      </c>
      <c r="N110" s="15" t="inlineStr">
        <is>
          <t>뇌동맥류수술(약관 별표 1-7종 수술분류표 「뇌동맥류수술」 B011~B018) · 연간 1회</t>
        </is>
      </c>
      <c r="O110" s="15" t="inlineStr">
        <is>
          <t>뇌동맥류수술비 — 약관 별표 1-7종 수술분류표의 수술구분 「뇌동맥류수술」에 드는 수술을 받은 단계에서만 지급. 대상 질병(파열되지 않은 대뇌동맥의 박리·파열되지 않은 뇌동맥류)은 이 상품 약관 별표가 있어야 코드로 가릴 수 있어, 지금은 그 병을 다루는 사례(뇌동맥류(미파열) 코일 색전술)에서만 계산한다.</t>
        </is>
      </c>
      <c r="P110" s="16" t="n">
        <v>0</v>
      </c>
      <c r="Q110" s="17" t="inlineStr">
        <is>
          <t>특약 마스터에 이 담보명이 없음 — 상품에 없는 담보이거나 이름이 달라진 것</t>
        </is>
      </c>
      <c r="R110" s="15" t="inlineStr"/>
      <c r="S110" s="11" t="inlineStr"/>
      <c r="T110" s="11" t="inlineStr"/>
    </row>
    <row r="111">
      <c r="A111" s="7" t="n">
        <v>109</v>
      </c>
      <c r="B111" s="8" t="inlineStr">
        <is>
          <t>tx_etc_care</t>
        </is>
      </c>
      <c r="C111" s="9" t="inlineStr">
        <is>
          <t>치료비 (치료행위)</t>
        </is>
      </c>
      <c r="D111" s="8" t="inlineStr">
        <is>
          <t>치료비|생활비|생활지원비|지원금|입원비|검사비|대기등록</t>
        </is>
      </c>
      <c r="E111" s="10" t="inlineStr"/>
      <c r="F111" s="10" t="inlineStr">
        <is>
          <t>특약 마스터(db.json)에 실린 약관 KCD 목록과 대조</t>
        </is>
      </c>
      <c r="G111" s="7" t="inlineStr">
        <is>
          <t>계산함</t>
        </is>
      </c>
      <c r="H111" s="7" t="inlineStr">
        <is>
          <t>연 1회</t>
        </is>
      </c>
      <c r="I111" s="10" t="inlineStr"/>
      <c r="J111" s="10" t="inlineStr"/>
      <c r="K111" s="10" t="inlineStr"/>
      <c r="L111" s="10" t="inlineStr"/>
      <c r="M111" s="10" t="inlineStr">
        <is>
          <t>치료비</t>
        </is>
      </c>
      <c r="N111" s="10" t="inlineStr">
        <is>
          <t>약관 대상 치료</t>
        </is>
      </c>
      <c r="O111" s="10" t="inlineStr">
        <is>
          <t>그 밖의 치료비 — 약관 KCD 목록이 있을 때만 판정</t>
        </is>
      </c>
      <c r="P111" s="7" t="n">
        <v>4</v>
      </c>
      <c r="Q111" s="10" t="inlineStr"/>
      <c r="R111" s="10" t="inlineStr">
        <is>
          <t>갱신형 영구치상실치료비
갱신형 치석제거(스케일링)치료비
갱신형 발치치료비
갱신형 치면열구전색술(실란트)치료비</t>
        </is>
      </c>
      <c r="S111" s="11" t="inlineStr"/>
      <c r="T111" s="11" t="inlineStr"/>
    </row>
    <row r="112">
      <c r="A112" s="12" t="n">
        <v>110</v>
      </c>
      <c r="B112" s="13" t="inlineStr">
        <is>
          <t>skip_kids_method</t>
        </is>
      </c>
      <c r="C112" s="14" t="inlineStr">
        <is>
          <t>계산 제외 (제도성·조건부)</t>
        </is>
      </c>
      <c r="D112" s="13" t="inlineStr">
        <is>
          <t>(모야모야병개두수술비|어린이개흉심장수술비|어린이심장시술비|인공와우이식수술비|여성형유방증.*수술비|보호자여성산과관련자궁적출수술비|특정화상처치비|특정관장처치비)</t>
        </is>
      </c>
      <c r="E112" s="15" t="inlineStr"/>
      <c r="F112" s="15" t="inlineStr">
        <is>
          <t>질병코드 조건 없음 — 담보명·치료행위로만 판정</t>
        </is>
      </c>
      <c r="G112" s="12" t="inlineStr">
        <is>
          <t>분류만 (금액 계산 안 함)</t>
        </is>
      </c>
      <c r="H112" s="12" t="inlineStr">
        <is>
          <t>—</t>
        </is>
      </c>
      <c r="I112" s="15" t="inlineStr"/>
      <c r="J112" s="15" t="inlineStr"/>
      <c r="K112" s="15" t="inlineStr"/>
      <c r="L112" s="15" t="inlineStr">
        <is>
          <t>기록 사유 : 수술·처치 방식(개두·개흉·인공와우 이식·자궁적출·급여 처치 수가코드 등)이나 등급 조건이 붙은 담보 — 사례의 질병코드만으로 단정할 수 없어 계산 제외(내Mom같은 어린이보험 약관 · 스마트 제안서 전용 마스터)(v8.66)</t>
        </is>
      </c>
      <c r="M112" s="15" t="inlineStr"/>
      <c r="N112" s="15" t="inlineStr"/>
      <c r="O112" s="15" t="inlineStr">
        <is>
          <t>어린이보험 방식·등급 조건부 수술·처치비 — 계산 제외(v8.66)</t>
        </is>
      </c>
      <c r="P112" s="16" t="n">
        <v>0</v>
      </c>
      <c r="Q112" s="17" t="inlineStr">
        <is>
          <t>특약 마스터에 이 담보명이 없음 — 상품에 없는 담보이거나 이름이 달라진 것</t>
        </is>
      </c>
      <c r="R112" s="15" t="inlineStr"/>
      <c r="S112" s="11" t="inlineStr"/>
      <c r="T112" s="11" t="inlineStr"/>
    </row>
    <row r="113">
      <c r="A113" s="7" t="n">
        <v>111</v>
      </c>
      <c r="B113" s="8" t="inlineStr">
        <is>
          <t>skip_kids_nonmed</t>
        </is>
      </c>
      <c r="C113" s="9" t="inlineStr">
        <is>
          <t>계산 제외 (제도성·조건부)</t>
        </is>
      </c>
      <c r="D113" s="8" t="inlineStr">
        <is>
          <t>(시력교정비|유괴납치피해일당|학업중단|저체중아.*출생|선천장해출생)</t>
        </is>
      </c>
      <c r="E113" s="10" t="inlineStr"/>
      <c r="F113" s="10" t="inlineStr">
        <is>
          <t>질병코드 조건 없음 — 담보명·치료행위로만 판정</t>
        </is>
      </c>
      <c r="G113" s="7" t="inlineStr">
        <is>
          <t>분류만 (금액 계산 안 함)</t>
        </is>
      </c>
      <c r="H113" s="7" t="inlineStr">
        <is>
          <t>—</t>
        </is>
      </c>
      <c r="I113" s="10" t="inlineStr"/>
      <c r="J113" s="10" t="inlineStr"/>
      <c r="K113" s="10" t="inlineStr"/>
      <c r="L113" s="10" t="inlineStr">
        <is>
          <t>기록 사유 : 출생 체중·선천장해·유괴·학업중단·시력교정 등 질병 치료 사례가 아닌 지급사유 — 사례 계산 대상 아님(v8.66)</t>
        </is>
      </c>
      <c r="M113" s="10" t="inlineStr"/>
      <c r="N113" s="10" t="inlineStr"/>
      <c r="O113" s="10" t="inlineStr">
        <is>
          <t>어린이보험 비질병 지급사유 — 계산 제외(v8.66)</t>
        </is>
      </c>
      <c r="P113" s="16" t="n">
        <v>0</v>
      </c>
      <c r="Q113" s="17" t="inlineStr">
        <is>
          <t>특약 마스터에 이 담보명이 없음 — 상품에 없는 담보이거나 이름이 달라진 것</t>
        </is>
      </c>
      <c r="R113" s="10" t="inlineStr"/>
      <c r="S113" s="11" t="inlineStr"/>
      <c r="T113" s="11" t="inlineStr"/>
    </row>
  </sheetData>
  <autoFilter ref="A2:T113"/>
  <dataValidations count="1">
    <dataValidation sqref="S3:S113" showDropDown="0" showInputMessage="0" showErrorMessage="0" allowBlank="1" promptTitle="검수 결과" prompt="O = 약관과 맞음 / X = 고쳐야 함 / 보류 = 확인 필요" type="list">
      <formula1>"O,X,보류"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5"/>
  <sheetViews>
    <sheetView showGridLines="0" workbookViewId="0">
      <selection activeCell="A1" sqref="A1"/>
    </sheetView>
  </sheetViews>
  <sheetFormatPr baseColWidth="8" defaultRowHeight="15"/>
  <cols>
    <col width="52" customWidth="1" min="2" max="2"/>
    <col width="14" customWidth="1" min="3" max="3"/>
    <col width="14" customWidth="1" min="4" max="4"/>
  </cols>
  <sheetData>
    <row r="2">
      <c r="B2" s="18" t="inlineStr">
        <is>
          <t>규칙표 요약</t>
        </is>
      </c>
    </row>
    <row r="3">
      <c r="B3" s="19" t="inlineStr">
        <is>
          <t>아래 숫자는 본문 시트를 세는 수식입니다 — 본문을 고치면 함께 바뀝니다. 칸이 비어 보이면 엑셀에서 파일을 열면 자동으로 계산됩니다.</t>
        </is>
      </c>
    </row>
    <row r="5">
      <c r="B5" s="20" t="inlineStr">
        <is>
          <t>보상 유형별</t>
        </is>
      </c>
    </row>
    <row r="6">
      <c r="B6" s="21" t="inlineStr">
        <is>
          <t>보상 유형</t>
        </is>
      </c>
      <c r="C6" s="21" t="inlineStr">
        <is>
          <t>규칙 줄 수</t>
        </is>
      </c>
      <c r="D6" s="21" t="inlineStr">
        <is>
          <t>적용 담보 수</t>
        </is>
      </c>
    </row>
    <row r="7">
      <c r="B7" s="22" t="inlineStr">
        <is>
          <t>진단비</t>
        </is>
      </c>
      <c r="C7" s="23">
        <f>COUNTIF('규칙 111개'!C3:C113,B7&amp;"*")</f>
        <v/>
      </c>
      <c r="D7" s="23">
        <f>SUMIF('규칙 111개'!C3:C113,B7&amp;"*",'규칙 111개'!$P$3:$P$113)</f>
        <v/>
      </c>
    </row>
    <row r="8">
      <c r="B8" s="22" t="inlineStr">
        <is>
          <t>수술비</t>
        </is>
      </c>
      <c r="C8" s="23">
        <f>COUNTIF('규칙 111개'!C3:C113,B8&amp;"*")</f>
        <v/>
      </c>
      <c r="D8" s="23">
        <f>SUMIF('규칙 111개'!C3:C113,B8&amp;"*",'규칙 111개'!$P$3:$P$113)</f>
        <v/>
      </c>
    </row>
    <row r="9">
      <c r="B9" s="22" t="inlineStr">
        <is>
          <t>입원·통원 일당</t>
        </is>
      </c>
      <c r="C9" s="23">
        <f>COUNTIF('규칙 111개'!C3:C113,B9&amp;"*")</f>
        <v/>
      </c>
      <c r="D9" s="23">
        <f>SUMIF('규칙 111개'!C3:C113,B9&amp;"*",'규칙 111개'!$P$3:$P$113)</f>
        <v/>
      </c>
    </row>
    <row r="10">
      <c r="B10" s="22" t="inlineStr">
        <is>
          <t>치료비 (치료행위)</t>
        </is>
      </c>
      <c r="C10" s="23">
        <f>COUNTIF('규칙 111개'!C3:C113,B10&amp;"*")</f>
        <v/>
      </c>
      <c r="D10" s="23">
        <f>SUMIF('규칙 111개'!C3:C113,B10&amp;"*",'규칙 111개'!$P$3:$P$113)</f>
        <v/>
      </c>
    </row>
    <row r="11">
      <c r="B11" s="22" t="inlineStr">
        <is>
          <t>간병</t>
        </is>
      </c>
      <c r="C11" s="23">
        <f>COUNTIF('규칙 111개'!C3:C113,B11&amp;"*")</f>
        <v/>
      </c>
      <c r="D11" s="23">
        <f>SUMIF('규칙 111개'!C3:C113,B11&amp;"*",'규칙 111개'!$P$3:$P$113)</f>
        <v/>
      </c>
    </row>
    <row r="12">
      <c r="B12" s="22" t="inlineStr">
        <is>
          <t>사망·후유장해</t>
        </is>
      </c>
      <c r="C12" s="23">
        <f>COUNTIF('규칙 111개'!C3:C113,B12&amp;"*")</f>
        <v/>
      </c>
      <c r="D12" s="23">
        <f>SUMIF('규칙 111개'!C3:C113,B12&amp;"*",'규칙 111개'!$P$3:$P$113)</f>
        <v/>
      </c>
    </row>
    <row r="13">
      <c r="B13" s="22" t="inlineStr">
        <is>
          <t>생활지원금</t>
        </is>
      </c>
      <c r="C13" s="23">
        <f>COUNTIF('규칙 111개'!C3:C113,B13&amp;"*")</f>
        <v/>
      </c>
      <c r="D13" s="23">
        <f>SUMIF('규칙 111개'!C3:C113,B13&amp;"*",'규칙 111개'!$P$3:$P$113)</f>
        <v/>
      </c>
    </row>
    <row r="14">
      <c r="B14" s="22" t="inlineStr">
        <is>
          <t>의료사례 비대상 (운전자·재물·법률·배상·치아)</t>
        </is>
      </c>
      <c r="C14" s="23">
        <f>COUNTIF('규칙 111개'!C3:C113,B14&amp;"*")</f>
        <v/>
      </c>
      <c r="D14" s="23">
        <f>SUMIF('규칙 111개'!C3:C113,B14&amp;"*",'규칙 111개'!$P$3:$P$113)</f>
        <v/>
      </c>
    </row>
    <row r="15">
      <c r="B15" s="22" t="inlineStr">
        <is>
          <t>계산 제외 (제도성·조건부)</t>
        </is>
      </c>
      <c r="C15" s="23">
        <f>COUNTIF('규칙 111개'!C3:C113,B15&amp;"*")</f>
        <v/>
      </c>
      <c r="D15" s="23">
        <f>SUMIF('규칙 111개'!C3:C113,B15&amp;"*",'규칙 111개'!$P$3:$P$113)</f>
        <v/>
      </c>
    </row>
    <row r="16">
      <c r="B16" s="22" t="inlineStr">
        <is>
          <t>계산 제외 + 사유 기록</t>
        </is>
      </c>
      <c r="C16" s="23">
        <f>COUNTIF('규칙 111개'!C3:C113,B16&amp;"*")</f>
        <v/>
      </c>
      <c r="D16" s="23">
        <f>SUMIF('규칙 111개'!C3:C113,B16&amp;"*",'규칙 111개'!$P$3:$P$113)</f>
        <v/>
      </c>
    </row>
    <row r="17">
      <c r="B17" s="24" t="inlineStr">
        <is>
          <t>합계</t>
        </is>
      </c>
      <c r="C17" s="25">
        <f>SUM(C7:C16)</f>
        <v/>
      </c>
      <c r="D17" s="25">
        <f>SUM(D7:D16)</f>
        <v/>
      </c>
    </row>
    <row r="19">
      <c r="B19" s="20" t="inlineStr">
        <is>
          <t>지급 횟수별</t>
        </is>
      </c>
    </row>
    <row r="20">
      <c r="B20" s="21" t="inlineStr">
        <is>
          <t>지급 횟수</t>
        </is>
      </c>
      <c r="C20" s="21" t="inlineStr">
        <is>
          <t>규칙 줄 수</t>
        </is>
      </c>
      <c r="D20" s="21" t="inlineStr">
        <is>
          <t>적용 담보 수</t>
        </is>
      </c>
    </row>
    <row r="21">
      <c r="B21" s="22" t="inlineStr">
        <is>
          <t>최초 1회</t>
        </is>
      </c>
      <c r="C21" s="23">
        <f>COUNTIF('규칙 111개'!H3:H113,B21&amp;"*")</f>
        <v/>
      </c>
      <c r="D21" s="23">
        <f>SUMIF('규칙 111개'!H3:H113,B21&amp;"*",'규칙 111개'!$P$3:$P$113)</f>
        <v/>
      </c>
    </row>
    <row r="22">
      <c r="B22" s="22" t="inlineStr">
        <is>
          <t>연 1회</t>
        </is>
      </c>
      <c r="C22" s="23">
        <f>COUNTIF('규칙 111개'!H3:H113,B22&amp;"*")</f>
        <v/>
      </c>
      <c r="D22" s="23">
        <f>SUMIF('규칙 111개'!H3:H113,B22&amp;"*",'규칙 111개'!$P$3:$P$113)</f>
        <v/>
      </c>
    </row>
    <row r="23">
      <c r="B23" s="22" t="inlineStr">
        <is>
          <t>받을 때마다</t>
        </is>
      </c>
      <c r="C23" s="23">
        <f>COUNTIF('규칙 111개'!H3:H113,B23&amp;"*")</f>
        <v/>
      </c>
      <c r="D23" s="23">
        <f>SUMIF('규칙 111개'!H3:H113,B23&amp;"*",'규칙 111개'!$P$3:$P$113)</f>
        <v/>
      </c>
    </row>
    <row r="24">
      <c r="B24" s="22" t="inlineStr">
        <is>
          <t>—</t>
        </is>
      </c>
      <c r="C24" s="23">
        <f>COUNTIF('규칙 111개'!H3:H113,B24&amp;"*")</f>
        <v/>
      </c>
      <c r="D24" s="23">
        <f>SUMIF('규칙 111개'!H3:H113,B24&amp;"*",'규칙 111개'!$P$3:$P$113)</f>
        <v/>
      </c>
    </row>
    <row r="25">
      <c r="B25" s="24" t="inlineStr">
        <is>
          <t>합계</t>
        </is>
      </c>
      <c r="C25" s="25">
        <f>SUM(C21:C24)</f>
        <v/>
      </c>
      <c r="D25" s="25">
        <f>SUM(D21:D24)</f>
        <v/>
      </c>
    </row>
    <row r="27">
      <c r="B27" s="20" t="inlineStr">
        <is>
          <t>질병코드 판정 방식별</t>
        </is>
      </c>
    </row>
    <row r="28">
      <c r="B28" s="21" t="inlineStr">
        <is>
          <t>질병코드(KCD) 판정</t>
        </is>
      </c>
      <c r="C28" s="21" t="inlineStr">
        <is>
          <t>규칙 줄 수</t>
        </is>
      </c>
      <c r="D28" s="21" t="inlineStr">
        <is>
          <t>적용 담보 수</t>
        </is>
      </c>
    </row>
    <row r="29">
      <c r="B29" s="22" t="inlineStr">
        <is>
          <t>암 — 유사암 제외 (약관 별표 암분류로 판정)</t>
        </is>
      </c>
      <c r="C29" s="23">
        <f>COUNTIF('규칙 111개'!F3:F113,B29&amp;"*")</f>
        <v/>
      </c>
      <c r="D29" s="23">
        <f>SUMIF('규칙 111개'!F3:F113,B29&amp;"*",'규칙 111개'!$P$3:$P$113)</f>
        <v/>
      </c>
    </row>
    <row r="30">
      <c r="B30" s="22" t="inlineStr">
        <is>
          <t>유사암 — 제자리암·경계성종양·갑상선암·기타피부암</t>
        </is>
      </c>
      <c r="C30" s="23">
        <f>COUNTIF('규칙 111개'!F3:F113,B30&amp;"*")</f>
        <v/>
      </c>
      <c r="D30" s="23">
        <f>SUMIF('규칙 111개'!F3:F113,B30&amp;"*",'규칙 111개'!$P$3:$P$113)</f>
        <v/>
      </c>
    </row>
    <row r="31">
      <c r="B31" s="22" t="inlineStr">
        <is>
          <t>암 또는 유사암</t>
        </is>
      </c>
      <c r="C31" s="23">
        <f>COUNTIF('규칙 111개'!F3:F113,B31&amp;"*")</f>
        <v/>
      </c>
      <c r="D31" s="23">
        <f>SUMIF('규칙 111개'!F3:F113,B31&amp;"*",'규칙 111개'!$P$3:$P$113)</f>
        <v/>
      </c>
    </row>
    <row r="32">
      <c r="B32" s="22" t="inlineStr">
        <is>
          <t>특약 마스터(db.json)에 실린 약관 KCD 목록과 대조</t>
        </is>
      </c>
      <c r="C32" s="23">
        <f>COUNTIF('규칙 111개'!F3:F113,B32&amp;"*")</f>
        <v/>
      </c>
      <c r="D32" s="23">
        <f>SUMIF('규칙 111개'!F3:F113,B32&amp;"*",'규칙 111개'!$P$3:$P$113)</f>
        <v/>
      </c>
    </row>
    <row r="33">
      <c r="B33" s="22" t="inlineStr">
        <is>
          <t>131대질병 그룹표(g131.json)와 대조</t>
        </is>
      </c>
      <c r="C33" s="23">
        <f>COUNTIF('규칙 111개'!F3:F113,B33&amp;"*")</f>
        <v/>
      </c>
      <c r="D33" s="23">
        <f>SUMIF('규칙 111개'!F3:F113,B33&amp;"*",'규칙 111개'!$P$3:$P$113)</f>
        <v/>
      </c>
    </row>
    <row r="34">
      <c r="B34" s="22" t="inlineStr">
        <is>
          <t>질병코드 그룹표(rules.json)와 대조</t>
        </is>
      </c>
      <c r="C34" s="23">
        <f>COUNTIF('규칙 111개'!F3:F113,B34&amp;"*")</f>
        <v/>
      </c>
      <c r="D34" s="23">
        <f>SUMIF('규칙 111개'!F3:F113,B34&amp;"*",'규칙 111개'!$P$3:$P$113)</f>
        <v/>
      </c>
    </row>
    <row r="35">
      <c r="B35" s="22" t="inlineStr">
        <is>
          <t>약관 별표 진료행위(수가)코드와 대조</t>
        </is>
      </c>
      <c r="C35" s="23">
        <f>COUNTIF('규칙 111개'!F3:F113,B35&amp;"*")</f>
        <v/>
      </c>
      <c r="D35" s="23">
        <f>SUMIF('규칙 111개'!F3:F113,B35&amp;"*",'규칙 111개'!$P$3:$P$113)</f>
        <v/>
      </c>
    </row>
    <row r="36">
      <c r="B36" s="22" t="inlineStr">
        <is>
          <t>질병코드 조건 없음 — 담보명·치료행위로만 판정</t>
        </is>
      </c>
      <c r="C36" s="23">
        <f>COUNTIF('규칙 111개'!F3:F113,B36&amp;"*")</f>
        <v/>
      </c>
      <c r="D36" s="23">
        <f>SUMIF('규칙 111개'!F3:F113,B36&amp;"*",'규칙 111개'!$P$3:$P$113)</f>
        <v/>
      </c>
    </row>
    <row r="37">
      <c r="B37" s="24" t="inlineStr">
        <is>
          <t>합계</t>
        </is>
      </c>
      <c r="C37" s="25">
        <f>SUM(C29:C36)</f>
        <v/>
      </c>
      <c r="D37" s="25">
        <f>SUM(D29:D36)</f>
        <v/>
      </c>
    </row>
    <row r="39">
      <c r="B39" s="20" t="inlineStr">
        <is>
          <t>마스터 대조</t>
        </is>
      </c>
    </row>
    <row r="40">
      <c r="B40" s="22" t="inlineStr">
        <is>
          <t>특약 마스터 담보 수 (db.json ver2611)</t>
        </is>
      </c>
      <c r="C40" s="23" t="n">
        <v>1758</v>
      </c>
    </row>
    <row r="41">
      <c r="B41" s="22" t="inlineStr">
        <is>
          <t>규칙에 걸린 담보 수</t>
        </is>
      </c>
      <c r="C41" s="23" t="n">
        <v>1758</v>
      </c>
    </row>
    <row r="42">
      <c r="B42" s="22" t="inlineStr">
        <is>
          <t>어느 규칙에도 안 걸린 담보 수</t>
        </is>
      </c>
      <c r="C42" s="23" t="n">
        <v>0</v>
      </c>
    </row>
    <row r="43">
      <c r="B43" s="22" t="inlineStr">
        <is>
          <t>적용 담보가 0건인 규칙 줄 수</t>
        </is>
      </c>
      <c r="C43" s="23" t="n">
        <v>8</v>
      </c>
    </row>
    <row r="45">
      <c r="B45" s="26" t="inlineStr">
        <is>
          <t>안 걸린 담보 :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</cols>
  <sheetData>
    <row r="1" ht="30" customHeight="1">
      <c r="A1" s="5" t="inlineStr">
        <is>
          <t>약어</t>
        </is>
      </c>
      <c r="B1" s="5" t="inlineStr">
        <is>
          <t>한글 이름</t>
        </is>
      </c>
      <c r="C1" s="5" t="inlineStr">
        <is>
          <t>규칙에서 쓰는가</t>
        </is>
      </c>
    </row>
    <row r="2">
      <c r="A2" s="27" t="inlineStr">
        <is>
          <t>anes</t>
        </is>
      </c>
      <c r="B2" s="27" t="inlineStr">
        <is>
          <t>종합병원 전신마취 수술</t>
        </is>
      </c>
      <c r="C2" s="28" t="inlineStr">
        <is>
          <t>씀</t>
        </is>
      </c>
    </row>
    <row r="3">
      <c r="A3" s="27" t="inlineStr">
        <is>
          <t>anes4</t>
        </is>
      </c>
      <c r="B3" s="27" t="inlineStr">
        <is>
          <t>4시간 이상 전신마취 수술</t>
        </is>
      </c>
      <c r="C3" s="28" t="inlineStr">
        <is>
          <t>씀</t>
        </is>
      </c>
    </row>
    <row r="4">
      <c r="A4" s="27" t="inlineStr">
        <is>
          <t>anes6</t>
        </is>
      </c>
      <c r="B4" s="27" t="inlineStr">
        <is>
          <t>6시간 이상 전신마취 수술</t>
        </is>
      </c>
      <c r="C4" s="28" t="inlineStr">
        <is>
          <t>씀</t>
        </is>
      </c>
    </row>
    <row r="5">
      <c r="A5" s="27" t="inlineStr">
        <is>
          <t>carbon</t>
        </is>
      </c>
      <c r="B5" s="27" t="inlineStr">
        <is>
          <t>중입자 방사선치료</t>
        </is>
      </c>
      <c r="C5" s="28" t="inlineStr">
        <is>
          <t>씀</t>
        </is>
      </c>
    </row>
    <row r="6">
      <c r="A6" s="27" t="inlineStr">
        <is>
          <t>chemo</t>
        </is>
      </c>
      <c r="B6" s="27" t="inlineStr">
        <is>
          <t>항암 화학약물치료(급여)</t>
        </is>
      </c>
      <c r="C6" s="28" t="inlineStr">
        <is>
          <t>씀</t>
        </is>
      </c>
    </row>
    <row r="7">
      <c r="A7" s="29" t="inlineStr">
        <is>
          <t>crrt</t>
        </is>
      </c>
      <c r="B7" s="29" t="inlineStr">
        <is>
          <t>지속적 신대체요법</t>
        </is>
      </c>
      <c r="C7" s="30" t="inlineStr">
        <is>
          <t>아직 안 씀</t>
        </is>
      </c>
    </row>
    <row r="8">
      <c r="A8" s="29" t="inlineStr">
        <is>
          <t>ecmo</t>
        </is>
      </c>
      <c r="B8" s="29" t="inlineStr">
        <is>
          <t>에크모(체외막산소공급)</t>
        </is>
      </c>
      <c r="C8" s="30" t="inlineStr">
        <is>
          <t>아직 안 씀</t>
        </is>
      </c>
    </row>
    <row r="9">
      <c r="A9" s="27" t="inlineStr">
        <is>
          <t>er</t>
        </is>
      </c>
      <c r="B9" s="27" t="inlineStr">
        <is>
          <t>응급실 진료</t>
        </is>
      </c>
      <c r="C9" s="28" t="inlineStr">
        <is>
          <t>씀</t>
        </is>
      </c>
    </row>
    <row r="10">
      <c r="A10" s="27" t="inlineStr">
        <is>
          <t>hormone</t>
        </is>
      </c>
      <c r="B10" s="27" t="inlineStr">
        <is>
          <t>항암 호르몬약물치료</t>
        </is>
      </c>
      <c r="C10" s="28" t="inlineStr">
        <is>
          <t>씀</t>
        </is>
      </c>
    </row>
    <row r="11">
      <c r="A11" s="29" t="inlineStr">
        <is>
          <t>hypo</t>
        </is>
      </c>
      <c r="B11" s="29" t="inlineStr">
        <is>
          <t>저체온 치료</t>
        </is>
      </c>
      <c r="C11" s="30" t="inlineStr">
        <is>
          <t>아직 안 씀</t>
        </is>
      </c>
    </row>
    <row r="12">
      <c r="A12" s="29" t="inlineStr">
        <is>
          <t>icu</t>
        </is>
      </c>
      <c r="B12" s="29" t="inlineStr">
        <is>
          <t>중환자실 입원</t>
        </is>
      </c>
      <c r="C12" s="30" t="inlineStr">
        <is>
          <t>아직 안 씀</t>
        </is>
      </c>
    </row>
    <row r="13">
      <c r="A13" s="27" t="inlineStr">
        <is>
          <t>immune</t>
        </is>
      </c>
      <c r="B13" s="27" t="inlineStr">
        <is>
          <t>면역항암약물치료</t>
        </is>
      </c>
      <c r="C13" s="28" t="inlineStr">
        <is>
          <t>씀</t>
        </is>
      </c>
    </row>
    <row r="14">
      <c r="A14" s="27" t="inlineStr">
        <is>
          <t>imrt</t>
        </is>
      </c>
      <c r="B14" s="27" t="inlineStr">
        <is>
          <t>세기조절방사선치료(IMRT)</t>
        </is>
      </c>
      <c r="C14" s="28" t="inlineStr">
        <is>
          <t>씀</t>
        </is>
      </c>
    </row>
    <row r="15">
      <c r="A15" s="27" t="inlineStr">
        <is>
          <t>pain</t>
        </is>
      </c>
      <c r="B15" s="27" t="inlineStr">
        <is>
          <t>통증치료(신경차단 등)</t>
        </is>
      </c>
      <c r="C15" s="28" t="inlineStr">
        <is>
          <t>씀</t>
        </is>
      </c>
    </row>
    <row r="16">
      <c r="A16" s="27" t="inlineStr">
        <is>
          <t>proton</t>
        </is>
      </c>
      <c r="B16" s="27" t="inlineStr">
        <is>
          <t>양성자 방사선치료</t>
        </is>
      </c>
      <c r="C16" s="28" t="inlineStr">
        <is>
          <t>씀</t>
        </is>
      </c>
    </row>
    <row r="17">
      <c r="A17" s="27" t="inlineStr">
        <is>
          <t>rad</t>
        </is>
      </c>
      <c r="B17" s="27" t="inlineStr">
        <is>
          <t>항암 방사선치료</t>
        </is>
      </c>
      <c r="C17" s="28" t="inlineStr">
        <is>
          <t>씀</t>
        </is>
      </c>
    </row>
    <row r="18">
      <c r="A18" s="27" t="inlineStr">
        <is>
          <t>rehab</t>
        </is>
      </c>
      <c r="B18" s="27" t="inlineStr">
        <is>
          <t>재활치료</t>
        </is>
      </c>
      <c r="C18" s="28" t="inlineStr">
        <is>
          <t>씀</t>
        </is>
      </c>
    </row>
    <row r="19">
      <c r="A19" s="27" t="inlineStr">
        <is>
          <t>robot</t>
        </is>
      </c>
      <c r="B19" s="27" t="inlineStr">
        <is>
          <t>다빈치 로봇수술</t>
        </is>
      </c>
      <c r="C19" s="28" t="inlineStr">
        <is>
          <t>씀</t>
        </is>
      </c>
    </row>
    <row r="20">
      <c r="A20" s="27" t="inlineStr">
        <is>
          <t>surg</t>
        </is>
      </c>
      <c r="B20" s="27" t="inlineStr">
        <is>
          <t>수술</t>
        </is>
      </c>
      <c r="C20" s="28" t="inlineStr">
        <is>
          <t>씀</t>
        </is>
      </c>
    </row>
    <row r="21">
      <c r="A21" s="27" t="inlineStr">
        <is>
          <t>target</t>
        </is>
      </c>
      <c r="B21" s="27" t="inlineStr">
        <is>
          <t>표적항암약물치료</t>
        </is>
      </c>
      <c r="C21" s="28" t="inlineStr">
        <is>
          <t>씀</t>
        </is>
      </c>
    </row>
    <row r="22">
      <c r="A22" s="27" t="inlineStr">
        <is>
          <t>thromb</t>
        </is>
      </c>
      <c r="B22" s="27" t="inlineStr">
        <is>
          <t>혈전용해치료(약물)</t>
        </is>
      </c>
      <c r="C22" s="28" t="inlineStr">
        <is>
          <t>씀</t>
        </is>
      </c>
    </row>
    <row r="23">
      <c r="A23" s="27" t="inlineStr">
        <is>
          <t>thrombectomy</t>
        </is>
      </c>
      <c r="B23" s="27" t="inlineStr">
        <is>
          <t>기계적 혈전제거술</t>
        </is>
      </c>
      <c r="C23" s="28" t="inlineStr">
        <is>
          <t>씀</t>
        </is>
      </c>
    </row>
    <row r="24">
      <c r="A24" s="27" t="inlineStr">
        <is>
          <t>trauma_center</t>
        </is>
      </c>
      <c r="B24" s="27" t="inlineStr">
        <is>
          <t>권역외상센터 진료</t>
        </is>
      </c>
      <c r="C24" s="28" t="inlineStr">
        <is>
          <t>씀</t>
        </is>
      </c>
    </row>
    <row r="25">
      <c r="A25" s="29" t="inlineStr">
        <is>
          <t>vent</t>
        </is>
      </c>
      <c r="B25" s="29" t="inlineStr">
        <is>
          <t>인공호흡기</t>
        </is>
      </c>
      <c r="C25" s="30" t="inlineStr">
        <is>
          <t>아직 안 씀</t>
        </is>
      </c>
    </row>
    <row r="26">
      <c r="A26" s="27" t="inlineStr">
        <is>
          <t>x_bio</t>
        </is>
      </c>
      <c r="B26" s="27" t="inlineStr">
        <is>
          <t>조직검사(생검)</t>
        </is>
      </c>
      <c r="C26" s="28" t="inlineStr">
        <is>
          <t>씀</t>
        </is>
      </c>
    </row>
    <row r="27">
      <c r="A27" s="29" t="inlineStr">
        <is>
          <t>x_bm</t>
        </is>
      </c>
      <c r="B27" s="29" t="inlineStr">
        <is>
          <t>골수 검사</t>
        </is>
      </c>
      <c r="C27" s="30" t="inlineStr">
        <is>
          <t>아직 안 씀</t>
        </is>
      </c>
    </row>
    <row r="28">
      <c r="A28" s="27" t="inlineStr">
        <is>
          <t>x_ct</t>
        </is>
      </c>
      <c r="B28" s="27" t="inlineStr">
        <is>
          <t>CT 검사</t>
        </is>
      </c>
      <c r="C28" s="28" t="inlineStr">
        <is>
          <t>씀</t>
        </is>
      </c>
    </row>
    <row r="29">
      <c r="A29" s="27" t="inlineStr">
        <is>
          <t>x_endo</t>
        </is>
      </c>
      <c r="B29" s="27" t="inlineStr">
        <is>
          <t>내시경 검사</t>
        </is>
      </c>
      <c r="C29" s="28" t="inlineStr">
        <is>
          <t>씀</t>
        </is>
      </c>
    </row>
    <row r="30">
      <c r="A30" s="27" t="inlineStr">
        <is>
          <t>x_gene</t>
        </is>
      </c>
      <c r="B30" s="27" t="inlineStr">
        <is>
          <t>유전자 검사</t>
        </is>
      </c>
      <c r="C30" s="28" t="inlineStr">
        <is>
          <t>씀</t>
        </is>
      </c>
    </row>
    <row r="31">
      <c r="A31" s="27" t="inlineStr">
        <is>
          <t>x_mri</t>
        </is>
      </c>
      <c r="B31" s="27" t="inlineStr">
        <is>
          <t>MRI 검사</t>
        </is>
      </c>
      <c r="C31" s="28" t="inlineStr">
        <is>
          <t>씀</t>
        </is>
      </c>
    </row>
    <row r="32">
      <c r="A32" s="27" t="inlineStr">
        <is>
          <t>x_ngs</t>
        </is>
      </c>
      <c r="B32" s="27" t="inlineStr">
        <is>
          <t>NGS 유전자패널검사</t>
        </is>
      </c>
      <c r="C32" s="28" t="inlineStr">
        <is>
          <t>씀</t>
        </is>
      </c>
    </row>
    <row r="33">
      <c r="A33" s="27" t="inlineStr">
        <is>
          <t>x_pet</t>
        </is>
      </c>
      <c r="B33" s="27" t="inlineStr">
        <is>
          <t>PET 검사</t>
        </is>
      </c>
      <c r="C33" s="28" t="inlineStr">
        <is>
          <t>씀</t>
        </is>
      </c>
    </row>
    <row r="34">
      <c r="A34" s="29" t="inlineStr">
        <is>
          <t>x_punct</t>
        </is>
      </c>
      <c r="B34" s="29" t="inlineStr">
        <is>
          <t>천자(穿刺) 검사</t>
        </is>
      </c>
      <c r="C34" s="30" t="inlineStr">
        <is>
          <t>아직 안 씀</t>
        </is>
      </c>
    </row>
    <row r="35">
      <c r="A35" s="27" t="inlineStr">
        <is>
          <t>x_us</t>
        </is>
      </c>
      <c r="B35" s="27" t="inlineStr">
        <is>
          <t>초음파 검사</t>
        </is>
      </c>
      <c r="C35" s="28" t="inlineStr">
        <is>
          <t>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10" customWidth="1" min="3" max="3"/>
  </cols>
  <sheetData>
    <row r="1" ht="30" customHeight="1">
      <c r="A1" s="5" t="inlineStr">
        <is>
          <t>그룹 이름</t>
        </is>
      </c>
      <c r="B1" s="5" t="inlineStr">
        <is>
          <t>코드 수</t>
        </is>
      </c>
      <c r="C1" s="5" t="inlineStr">
        <is>
          <t>질병코드 (약관 별표에서 뽑은 것)</t>
        </is>
      </c>
    </row>
    <row r="2">
      <c r="A2" s="31" t="inlineStr">
        <is>
          <t>특정5대질병</t>
        </is>
      </c>
      <c r="B2" s="32" t="n">
        <v>12</v>
      </c>
      <c r="C2" s="33" t="inlineStr">
        <is>
          <t>D12, K63.5, H25, H26, H27, J30, J31, J33, J34, L72, L84, D18</t>
        </is>
      </c>
    </row>
    <row r="3">
      <c r="A3" s="31" t="inlineStr">
        <is>
          <t>특정2대질병</t>
        </is>
      </c>
      <c r="B3" s="32" t="n">
        <v>6</v>
      </c>
      <c r="C3" s="33" t="inlineStr">
        <is>
          <t>L84, H00, H10, B30, H60, H92</t>
        </is>
      </c>
    </row>
    <row r="4">
      <c r="A4" s="31" t="inlineStr">
        <is>
          <t>특정6대질병</t>
        </is>
      </c>
      <c r="B4" s="32" t="n">
        <v>17</v>
      </c>
      <c r="C4" s="33" t="inlineStr">
        <is>
          <t>D12, K63.5, H25, H26, H27, J30, J31, J33, J34, L72, L84, D18, H00, H10, B30, H60, H92</t>
        </is>
      </c>
    </row>
    <row r="5">
      <c r="A5" s="31" t="inlineStr">
        <is>
          <t>특정소액암</t>
        </is>
      </c>
      <c r="B5" s="32" t="n">
        <v>10</v>
      </c>
      <c r="C5" s="33" t="inlineStr">
        <is>
          <t>C43, C50, C53, C54, C61, C62, C65, C66, C67, D45</t>
        </is>
      </c>
    </row>
    <row r="6">
      <c r="A6" s="31" t="inlineStr">
        <is>
          <t>특정소화기암</t>
        </is>
      </c>
      <c r="B6" s="32" t="n">
        <v>7</v>
      </c>
      <c r="C6" s="33" t="inlineStr">
        <is>
          <t>C16, C18, C19, C20, C21, C22, C26</t>
        </is>
      </c>
    </row>
    <row r="7">
      <c r="A7" s="31" t="inlineStr">
        <is>
          <t>15대특정암</t>
        </is>
      </c>
      <c r="B7" s="32" t="n">
        <v>27</v>
      </c>
      <c r="C7" s="33" t="inlineStr">
        <is>
          <t>C00~C14, C30, C31, C32, C34, C38, C47, C49, C51, C52, C55, C56, C57, C58, C60, C63, C64, C68, C69, C74~C75, C76, C97, D46, D47.1, D47.3, D47.4, C77~C80</t>
        </is>
      </c>
    </row>
    <row r="8">
      <c r="A8" s="31" t="inlineStr">
        <is>
          <t>10대특정암</t>
        </is>
      </c>
      <c r="B8" s="32" t="n">
        <v>26</v>
      </c>
      <c r="C8" s="33" t="inlineStr">
        <is>
          <t>C15, C17, C33, C37, C39, C45, C46, C48, C70, C71, C72, C81, C82, C83, C84, C85, C86, C88, C90, C91, C92, C93, C94, C95, C96, D47.5</t>
        </is>
      </c>
    </row>
    <row r="9">
      <c r="A9" s="31" t="inlineStr">
        <is>
          <t>4대고액암</t>
        </is>
      </c>
      <c r="B9" s="32" t="n">
        <v>5</v>
      </c>
      <c r="C9" s="33" t="inlineStr">
        <is>
          <t>C23, C24, C25, C40, C41</t>
        </is>
      </c>
    </row>
    <row r="10">
      <c r="A10" s="31" t="inlineStr">
        <is>
          <t>특정소액암(전이포함)</t>
        </is>
      </c>
      <c r="B10" s="32" t="n">
        <v>15</v>
      </c>
      <c r="C10" s="33" t="inlineStr">
        <is>
          <t>C43, C50, C53, C54, C61, C62, C65, C66, C67, D45, C77, C79.2, C79.80, C79.88, C79.9</t>
        </is>
      </c>
    </row>
    <row r="11">
      <c r="A11" s="31" t="inlineStr">
        <is>
          <t>특정소화기암(전이포함)</t>
        </is>
      </c>
      <c r="B11" s="32" t="n">
        <v>16</v>
      </c>
      <c r="C11" s="33" t="inlineStr">
        <is>
          <t>C16, C18, C19, C20, C21, C22, C26, C78.4, C78.5, C78.6, C78.7, C78.80, C78.82, C78.88, C78.89, C79.81</t>
        </is>
      </c>
    </row>
    <row r="12">
      <c r="A12" s="31" t="inlineStr">
        <is>
          <t>14대특정암(전이포함)</t>
        </is>
      </c>
      <c r="B12" s="32" t="n">
        <v>30</v>
      </c>
      <c r="C12" s="33" t="inlineStr">
        <is>
          <t>C00~C14, C30, C31, C32, C34, C38, C47, C49, C51, C52, C55, C56, C57, C58, C60, C63, C64, C68, C69, C74~C75, C76, C97, D46, D47.1, D47.3, D47.4, C79.0, C79.1, C79.6, C80</t>
        </is>
      </c>
    </row>
    <row r="13">
      <c r="A13" s="31" t="inlineStr">
        <is>
          <t>10대특정암(전이포함)</t>
        </is>
      </c>
      <c r="B13" s="32" t="n">
        <v>34</v>
      </c>
      <c r="C13" s="33" t="inlineStr">
        <is>
          <t>C15, C17, C33, C37, C39, C45, C46, C48, C70, C71, C72, C81, C82, C83, C84, C85, C86, C88, C90, C91, C92, C93, C94, C95, C96, D47.5, C78.0, C78.1, C78.2, C78.3, C79.3, C79.4, C79.5, C79.7</t>
        </is>
      </c>
    </row>
    <row r="14">
      <c r="A14" s="31" t="inlineStr">
        <is>
          <t>4대고액암(전이포함)</t>
        </is>
      </c>
      <c r="B14" s="32" t="n">
        <v>6</v>
      </c>
      <c r="C14" s="33" t="inlineStr">
        <is>
          <t>C23, C24, C25, C40, C41, C78.81</t>
        </is>
      </c>
    </row>
    <row r="15">
      <c r="A15" s="31" t="inlineStr">
        <is>
          <t>입술,혀 및 구강암</t>
        </is>
      </c>
      <c r="B15" s="32" t="n">
        <v>7</v>
      </c>
      <c r="C15" s="33" t="inlineStr">
        <is>
          <t>C00, C01, C02, C03, C04, C05, C06</t>
        </is>
      </c>
    </row>
    <row r="16">
      <c r="A16" s="31" t="inlineStr">
        <is>
          <t>주침샘,편도,인두 및 구강기타암</t>
        </is>
      </c>
      <c r="B16" s="32" t="n">
        <v>8</v>
      </c>
      <c r="C16" s="33" t="inlineStr">
        <is>
          <t>C07, C08, C09, C10, C11, C12, C13, C14</t>
        </is>
      </c>
    </row>
    <row r="17">
      <c r="A17" s="31" t="inlineStr">
        <is>
          <t>특정소화기암Ⅱ</t>
        </is>
      </c>
      <c r="B17" s="32" t="n">
        <v>6</v>
      </c>
      <c r="C17" s="33" t="inlineStr">
        <is>
          <t>C15, C17, C21, C23, C24, C26</t>
        </is>
      </c>
    </row>
    <row r="18">
      <c r="A18" s="31" t="inlineStr">
        <is>
          <t>위암</t>
        </is>
      </c>
      <c r="B18" s="32" t="n">
        <v>1</v>
      </c>
      <c r="C18" s="33" t="inlineStr">
        <is>
          <t>C16</t>
        </is>
      </c>
    </row>
    <row r="19">
      <c r="A19" s="31" t="inlineStr">
        <is>
          <t>결장암</t>
        </is>
      </c>
      <c r="B19" s="32" t="n">
        <v>1</v>
      </c>
      <c r="C19" s="33" t="inlineStr">
        <is>
          <t>C18</t>
        </is>
      </c>
    </row>
    <row r="20">
      <c r="A20" s="31" t="inlineStr">
        <is>
          <t>직장암</t>
        </is>
      </c>
      <c r="B20" s="32" t="n">
        <v>2</v>
      </c>
      <c r="C20" s="33" t="inlineStr">
        <is>
          <t>C19, C20</t>
        </is>
      </c>
    </row>
    <row r="21">
      <c r="A21" s="31" t="inlineStr">
        <is>
          <t>간 및 간내 담관암</t>
        </is>
      </c>
      <c r="B21" s="32" t="n">
        <v>1</v>
      </c>
      <c r="C21" s="33" t="inlineStr">
        <is>
          <t>C22</t>
        </is>
      </c>
    </row>
    <row r="22">
      <c r="A22" s="31" t="inlineStr">
        <is>
          <t>췌장암</t>
        </is>
      </c>
      <c r="B22" s="32" t="n">
        <v>1</v>
      </c>
      <c r="C22" s="33" t="inlineStr">
        <is>
          <t>C25</t>
        </is>
      </c>
    </row>
    <row r="23">
      <c r="A23" s="31" t="inlineStr">
        <is>
          <t>특정호흡기 및 흉곽내기관의 암</t>
        </is>
      </c>
      <c r="B23" s="32" t="n">
        <v>6</v>
      </c>
      <c r="C23" s="33" t="inlineStr">
        <is>
          <t>C30, C31, C32, C37, C38, C39</t>
        </is>
      </c>
    </row>
    <row r="24">
      <c r="A24" s="31" t="inlineStr">
        <is>
          <t>폐암</t>
        </is>
      </c>
      <c r="B24" s="32" t="n">
        <v>2</v>
      </c>
      <c r="C24" s="33" t="inlineStr">
        <is>
          <t>C33, C34</t>
        </is>
      </c>
    </row>
    <row r="25">
      <c r="A25" s="31" t="inlineStr">
        <is>
          <t>뼈 및 관절연골암</t>
        </is>
      </c>
      <c r="B25" s="32" t="n">
        <v>2</v>
      </c>
      <c r="C25" s="33" t="inlineStr">
        <is>
          <t>C40, C41</t>
        </is>
      </c>
    </row>
    <row r="26">
      <c r="A26" s="31" t="inlineStr">
        <is>
          <t>피부의 악성흑색종</t>
        </is>
      </c>
      <c r="B26" s="32" t="n">
        <v>1</v>
      </c>
      <c r="C26" s="33" t="inlineStr">
        <is>
          <t>C43</t>
        </is>
      </c>
    </row>
    <row r="27">
      <c r="A27" s="31" t="inlineStr">
        <is>
          <t>중피성 및 연조직암</t>
        </is>
      </c>
      <c r="B27" s="32" t="n">
        <v>5</v>
      </c>
      <c r="C27" s="33" t="inlineStr">
        <is>
          <t>C45, C46, C47, C48, C49</t>
        </is>
      </c>
    </row>
    <row r="28">
      <c r="A28" s="31" t="inlineStr">
        <is>
          <t>자궁체부 및 특정여성생식기암</t>
        </is>
      </c>
      <c r="B28" s="32" t="n">
        <v>4</v>
      </c>
      <c r="C28" s="33" t="inlineStr">
        <is>
          <t>C54, C55, C57, C58</t>
        </is>
      </c>
    </row>
    <row r="29">
      <c r="A29" s="31" t="inlineStr">
        <is>
          <t>난소암</t>
        </is>
      </c>
      <c r="B29" s="32" t="n">
        <v>1</v>
      </c>
      <c r="C29" s="33" t="inlineStr">
        <is>
          <t>C56</t>
        </is>
      </c>
    </row>
    <row r="30">
      <c r="A30" s="31" t="inlineStr">
        <is>
          <t>특정남성생식기관암</t>
        </is>
      </c>
      <c r="B30" s="32" t="n">
        <v>3</v>
      </c>
      <c r="C30" s="33" t="inlineStr">
        <is>
          <t>C60, C62, C63</t>
        </is>
      </c>
    </row>
    <row r="31">
      <c r="A31" s="31" t="inlineStr">
        <is>
          <t>비뇨기관(신장,방광,요관) 암</t>
        </is>
      </c>
      <c r="B31" s="32" t="n">
        <v>5</v>
      </c>
      <c r="C31" s="33" t="inlineStr">
        <is>
          <t>C64, C65, C66, C67, C68</t>
        </is>
      </c>
    </row>
    <row r="32">
      <c r="A32" s="31" t="inlineStr">
        <is>
          <t>눈,뇌 및 중추신경계통의 기타부분의 암</t>
        </is>
      </c>
      <c r="B32" s="32" t="n">
        <v>4</v>
      </c>
      <c r="C32" s="33" t="inlineStr">
        <is>
          <t>C69, C70, C71, C72</t>
        </is>
      </c>
    </row>
    <row r="33">
      <c r="A33" s="31" t="inlineStr">
        <is>
          <t>부신 및 기타내분비선암</t>
        </is>
      </c>
      <c r="B33" s="32" t="n">
        <v>2</v>
      </c>
      <c r="C33" s="33" t="inlineStr">
        <is>
          <t>C74, C75</t>
        </is>
      </c>
    </row>
    <row r="34">
      <c r="A34" s="31" t="inlineStr">
        <is>
          <t>4대특정암</t>
        </is>
      </c>
      <c r="B34" s="32" t="n">
        <v>4</v>
      </c>
      <c r="C34" s="33" t="inlineStr">
        <is>
          <t>C76, C90, C97, D45</t>
        </is>
      </c>
    </row>
    <row r="35">
      <c r="A35" s="31" t="inlineStr">
        <is>
          <t>호지킨림프종</t>
        </is>
      </c>
      <c r="B35" s="32" t="n">
        <v>1</v>
      </c>
      <c r="C35" s="33" t="inlineStr">
        <is>
          <t>C81</t>
        </is>
      </c>
    </row>
    <row r="36">
      <c r="A36" s="31" t="inlineStr">
        <is>
          <t>특정비호지킨림프종</t>
        </is>
      </c>
      <c r="B36" s="32" t="n">
        <v>3</v>
      </c>
      <c r="C36" s="33" t="inlineStr">
        <is>
          <t>C82, C85, C96</t>
        </is>
      </c>
    </row>
    <row r="37">
      <c r="A37" s="31" t="inlineStr">
        <is>
          <t>비소포성림프종</t>
        </is>
      </c>
      <c r="B37" s="32" t="n">
        <v>1</v>
      </c>
      <c r="C37" s="33" t="inlineStr">
        <is>
          <t>C83</t>
        </is>
      </c>
    </row>
    <row r="38">
      <c r="A38" s="31" t="inlineStr">
        <is>
          <t>T/NK세포림프종</t>
        </is>
      </c>
      <c r="B38" s="32" t="n">
        <v>2</v>
      </c>
      <c r="C38" s="33" t="inlineStr">
        <is>
          <t>C84, C86</t>
        </is>
      </c>
    </row>
    <row r="39">
      <c r="A39" s="31" t="inlineStr">
        <is>
          <t>악성면역증식성질환</t>
        </is>
      </c>
      <c r="B39" s="32" t="n">
        <v>1</v>
      </c>
      <c r="C39" s="33" t="inlineStr">
        <is>
          <t>C88</t>
        </is>
      </c>
    </row>
    <row r="40">
      <c r="A40" s="31" t="inlineStr">
        <is>
          <t>골수형성이상증후군</t>
        </is>
      </c>
      <c r="B40" s="32" t="n">
        <v>1</v>
      </c>
      <c r="C40" s="33" t="inlineStr">
        <is>
          <t>D46</t>
        </is>
      </c>
    </row>
    <row r="41">
      <c r="A41" s="31" t="inlineStr">
        <is>
          <t>골수증식성질환</t>
        </is>
      </c>
      <c r="B41" s="32" t="n">
        <v>4</v>
      </c>
      <c r="C41" s="33" t="inlineStr">
        <is>
          <t>D47.1, D47.3, D47.4, D47.5</t>
        </is>
      </c>
    </row>
    <row r="42">
      <c r="A42" s="31" t="inlineStr">
        <is>
          <t>백혈병 및 전이암</t>
        </is>
      </c>
      <c r="B42" s="32" t="n">
        <v>9</v>
      </c>
      <c r="C42" s="33" t="inlineStr">
        <is>
          <t>C77, C78, C79, C80, C91, C92, C93, C94, C95</t>
        </is>
      </c>
    </row>
    <row r="43">
      <c r="A43" s="31" t="inlineStr">
        <is>
          <t>유방 및 전립선암</t>
        </is>
      </c>
      <c r="B43" s="32" t="n">
        <v>2</v>
      </c>
      <c r="C43" s="33" t="inlineStr">
        <is>
          <t>C50, C61</t>
        </is>
      </c>
    </row>
    <row r="44">
      <c r="A44" s="31" t="inlineStr">
        <is>
          <t>외음,질 및 자궁경부암</t>
        </is>
      </c>
      <c r="B44" s="32" t="n">
        <v>3</v>
      </c>
      <c r="C44" s="33" t="inlineStr">
        <is>
          <t>C51, C52, C53</t>
        </is>
      </c>
    </row>
    <row r="45">
      <c r="A45" s="31" t="inlineStr">
        <is>
          <t>특정소화기암Ⅱ(전이포함)</t>
        </is>
      </c>
      <c r="B45" s="32" t="n">
        <v>10</v>
      </c>
      <c r="C45" s="33" t="inlineStr">
        <is>
          <t>C15, C17, C21, C23, C24, C26, C78.4, C78.82, C78.88, C78.89</t>
        </is>
      </c>
    </row>
    <row r="46">
      <c r="A46" s="31" t="inlineStr">
        <is>
          <t>위암(전이포함)</t>
        </is>
      </c>
      <c r="B46" s="32" t="n">
        <v>3</v>
      </c>
      <c r="C46" s="33" t="inlineStr">
        <is>
          <t>C16, C78.6, C78.80</t>
        </is>
      </c>
    </row>
    <row r="47">
      <c r="A47" s="31" t="inlineStr">
        <is>
          <t>결장암(전이포함)</t>
        </is>
      </c>
      <c r="B47" s="32" t="n">
        <v>2</v>
      </c>
      <c r="C47" s="33" t="inlineStr">
        <is>
          <t>C18, C78.5</t>
        </is>
      </c>
    </row>
    <row r="48">
      <c r="A48" s="31" t="inlineStr">
        <is>
          <t>직장암(전이포함)</t>
        </is>
      </c>
      <c r="B48" s="32" t="n">
        <v>3</v>
      </c>
      <c r="C48" s="33" t="inlineStr">
        <is>
          <t>C19, C20, C79.81</t>
        </is>
      </c>
    </row>
    <row r="49">
      <c r="A49" s="31" t="inlineStr">
        <is>
          <t>간 및 간내 담관암(전이포함)</t>
        </is>
      </c>
      <c r="B49" s="32" t="n">
        <v>2</v>
      </c>
      <c r="C49" s="33" t="inlineStr">
        <is>
          <t>C22, C78.7</t>
        </is>
      </c>
    </row>
    <row r="50">
      <c r="A50" s="31" t="inlineStr">
        <is>
          <t>췌장암(전이포함)</t>
        </is>
      </c>
      <c r="B50" s="32" t="n">
        <v>2</v>
      </c>
      <c r="C50" s="33" t="inlineStr">
        <is>
          <t>C25, C78.81</t>
        </is>
      </c>
    </row>
    <row r="51">
      <c r="A51" s="31" t="inlineStr">
        <is>
          <t>폐암(전이포함)</t>
        </is>
      </c>
      <c r="B51" s="32" t="n">
        <v>10</v>
      </c>
      <c r="C51" s="33" t="inlineStr">
        <is>
          <t>C33, C34, C78.0, C78.1, C78.2, C78.3, C79.3, C79.4, C79.5, C79.7</t>
        </is>
      </c>
    </row>
    <row r="52">
      <c r="A52" s="31" t="inlineStr">
        <is>
          <t>난소암(전이포함)</t>
        </is>
      </c>
      <c r="B52" s="32" t="n">
        <v>2</v>
      </c>
      <c r="C52" s="33" t="inlineStr">
        <is>
          <t>C56, C79.6</t>
        </is>
      </c>
    </row>
    <row r="53">
      <c r="A53" s="31" t="inlineStr">
        <is>
          <t>비뇨기관(신장,방광,요관) 암(전이포함)</t>
        </is>
      </c>
      <c r="B53" s="32" t="n">
        <v>7</v>
      </c>
      <c r="C53" s="33" t="inlineStr">
        <is>
          <t>C64, C65, C66, C67, C68, C79.0, C79.1</t>
        </is>
      </c>
    </row>
    <row r="54">
      <c r="A54" s="31" t="inlineStr">
        <is>
          <t>백혈병</t>
        </is>
      </c>
      <c r="B54" s="32" t="n">
        <v>5</v>
      </c>
      <c r="C54" s="33" t="inlineStr">
        <is>
          <t>C91, C92, C93, C94, C95</t>
        </is>
      </c>
    </row>
    <row r="55">
      <c r="A55" s="31" t="inlineStr">
        <is>
          <t>유방 및 전립선암(전이포함)</t>
        </is>
      </c>
      <c r="B55" s="32" t="n">
        <v>8</v>
      </c>
      <c r="C55" s="33" t="inlineStr">
        <is>
          <t>C50, C61, C77, C79.2, C79.80, C79.88, C79.9, C80</t>
        </is>
      </c>
    </row>
    <row r="56">
      <c r="A56" s="31" t="inlineStr">
        <is>
          <t>6대심장질환</t>
        </is>
      </c>
      <c r="B56" s="32" t="n">
        <v>23</v>
      </c>
      <c r="C56" s="33" t="inlineStr">
        <is>
          <t>I05, I06, I07, I08, I09, I30, I31, I32, I33, I38, I40, I41, I42, I43, I47, I48, I49, I50, I39.8, I44.1, I44.2, I44.3, I46.0</t>
        </is>
      </c>
    </row>
    <row r="57">
      <c r="A57" s="31" t="inlineStr">
        <is>
          <t>6대심장질환_심장염증질환</t>
        </is>
      </c>
      <c r="B57" s="32" t="n">
        <v>7</v>
      </c>
      <c r="C57" s="33" t="inlineStr">
        <is>
          <t>I30, I31, I32, I33, I38, I40, I41</t>
        </is>
      </c>
    </row>
    <row r="58">
      <c r="A58" s="31" t="inlineStr">
        <is>
          <t>6대심장질환_심근병증</t>
        </is>
      </c>
      <c r="B58" s="32" t="n">
        <v>2</v>
      </c>
      <c r="C58" s="33" t="inlineStr">
        <is>
          <t>I42, I43</t>
        </is>
      </c>
    </row>
    <row r="59">
      <c r="A59" s="31" t="inlineStr">
        <is>
          <t>6대심장질환_부정맥</t>
        </is>
      </c>
      <c r="B59" s="32" t="n">
        <v>3</v>
      </c>
      <c r="C59" s="33" t="inlineStr">
        <is>
          <t>I47, I48, I49</t>
        </is>
      </c>
    </row>
    <row r="60">
      <c r="A60" s="31" t="inlineStr">
        <is>
          <t>6대심장질환_심부전</t>
        </is>
      </c>
      <c r="B60" s="32" t="n">
        <v>1</v>
      </c>
      <c r="C60" s="33" t="inlineStr">
        <is>
          <t>I50</t>
        </is>
      </c>
    </row>
    <row r="61">
      <c r="A61" s="31" t="inlineStr">
        <is>
          <t>6대심장질환_기타심장질환</t>
        </is>
      </c>
      <c r="B61" s="32" t="n">
        <v>5</v>
      </c>
      <c r="C61" s="33" t="inlineStr">
        <is>
          <t>I39.8, I44.1, I44.2, I44.3, I46.0</t>
        </is>
      </c>
    </row>
    <row r="62">
      <c r="A62" s="31" t="inlineStr">
        <is>
          <t>6대심장질환_만성류마티스심장질환</t>
        </is>
      </c>
      <c r="B62" s="32" t="n">
        <v>5</v>
      </c>
      <c r="C62" s="33" t="inlineStr">
        <is>
          <t>I05, I06, I07, I08, I09</t>
        </is>
      </c>
    </row>
    <row r="63">
      <c r="A63" s="31" t="inlineStr">
        <is>
          <t>16대특정암</t>
        </is>
      </c>
      <c r="B63" s="32" t="n">
        <v>34</v>
      </c>
      <c r="C63" s="33" t="inlineStr">
        <is>
          <t>C15, C25, C40, C41, C70, C71, C72, C81, C82, C83, C84, C85, C86, C88, C90, C91, C92, C93, C94, C95, C96, D47.1, D47.5, C22, C33, C34, C37, C39, C45, C46, C48, C23, C24, C17</t>
        </is>
      </c>
    </row>
    <row r="64">
      <c r="A64" s="31" t="inlineStr">
        <is>
          <t>32대질병</t>
        </is>
      </c>
      <c r="B64" s="32" t="n">
        <v>144</v>
      </c>
      <c r="C64" s="33" t="inlineStr">
        <is>
          <t>I00~I02, I05~I09, I20~I25, I26~I28, I30~I52, I60~I69, B15~B19, K70~K77, N17~N19, J85~J86, J90~J94, A15~A19, E00~E07, M00~M03, M05~M14, M15~M19, M20~M25, N40~N45, N47~N51, N70~N77, N80~N95, I41.0, A39.5, I39.8, I32.0, I52.0, B37.6, K77.0, B25.1, B58.1, J43, J44, J47, J40, J41, J42, J45, J46, K25, K26, K27, B90, A18.30, K67.3, K93.0, A18.3, A18.01, M01.1, A18.00, M49.0, A18.02, M90.0, A18.11, N33.0, A18.17, N74.0, N74.1, E05.0, H06.2, E89.0, I70, I71, J12, J13, J14, J15, J16, J17, J18, A48.1, J17.1, B01.2, B05.2, B25.0, J17.3, B58.3, K85, K86, K87, K87.1, B25.2, B26.3, D13, D14, D15, D30, D32, D33, D34, D35, N00, N01, N02, N03, N04, N05, N06, N07, N08, N10, N11, N12, N13, N14, N15, N16, N25, N26, N27, N28, N29, N30, N31, N32, N33, N37, N37.0, B37.40, N39, K55, K56, K57, K80, K81, K82, K83, G50, G51, G52, D25, D26, D27, D28, D29, M05.1, J99.0, N51.0, A59.08, N51.1, B26.0, N99, !N08.3, !N39.3, !N39.4</t>
        </is>
      </c>
    </row>
    <row r="65">
      <c r="A65" s="31" t="inlineStr">
        <is>
          <t>5대고액치료비암</t>
        </is>
      </c>
      <c r="B65" s="32" t="n">
        <v>23</v>
      </c>
      <c r="C65" s="33" t="inlineStr">
        <is>
          <t>C15, C25, C40, C41, C70, C72, C71, C81, C82, C83, C84, C85, C86, C88, C90, C91, C92, C93, C94, C95, C96, D47.1, D47.5</t>
        </is>
      </c>
    </row>
    <row r="66">
      <c r="A66" s="31" t="inlineStr">
        <is>
          <t>관절염,생식기질환</t>
        </is>
      </c>
      <c r="B66" s="32" t="n">
        <v>21</v>
      </c>
      <c r="C66" s="33" t="inlineStr">
        <is>
          <t>M00~M03, M05~M14, M15~M19, M20~M25, N40~N45, N47~N51, N70~N77, N80~N95, M05.1, J99.0, N51.0, A59.08, N51.1, B26.0, N99, !A18.01, !M01.1, !M14.2, !N74.0, !A18.17, !N74.1</t>
        </is>
      </c>
    </row>
    <row r="67">
      <c r="A67" s="31" t="inlineStr">
        <is>
          <t>급성심근경색증대상질병</t>
        </is>
      </c>
      <c r="B67" s="32" t="n">
        <v>3</v>
      </c>
      <c r="C67" s="33" t="inlineStr">
        <is>
          <t>I21, I22, I23</t>
        </is>
      </c>
    </row>
    <row r="68">
      <c r="A68" s="31" t="inlineStr">
        <is>
          <t>뇌졸중대상질병</t>
        </is>
      </c>
      <c r="B68" s="32" t="n">
        <v>6</v>
      </c>
      <c r="C68" s="33" t="inlineStr">
        <is>
          <t>I60, I61, I62, I63, I65, I66</t>
        </is>
      </c>
    </row>
    <row r="69">
      <c r="A69" s="31" t="inlineStr">
        <is>
          <t>뇌출혈</t>
        </is>
      </c>
      <c r="B69" s="32" t="n">
        <v>3</v>
      </c>
      <c r="C69" s="33" t="inlineStr">
        <is>
          <t>I60, I61, I62</t>
        </is>
      </c>
    </row>
    <row r="70">
      <c r="A70" s="31" t="inlineStr">
        <is>
          <t>악성신생물(암)</t>
        </is>
      </c>
      <c r="B70" s="32" t="n">
        <v>21</v>
      </c>
      <c r="C70" s="33" t="inlineStr">
        <is>
          <t>C00~C14, C15~C26, C30~C39, C40~C41, C43~C44, C45~C49, C50, C51~C58, C60~C63, C64~C68, C69~C72, C73~C75, C76~C80, C81~C96, C97, D45, D46, D47.1, D47.3, D47.4, D47.5</t>
        </is>
      </c>
    </row>
    <row r="71">
      <c r="A71" s="31" t="inlineStr">
        <is>
          <t>알츠하이머치매</t>
        </is>
      </c>
      <c r="B71" s="32" t="n">
        <v>2</v>
      </c>
      <c r="C71" s="33" t="inlineStr">
        <is>
          <t>F00, G30</t>
        </is>
      </c>
    </row>
    <row r="72">
      <c r="A72" s="31" t="inlineStr">
        <is>
          <t>요양성특정질병</t>
        </is>
      </c>
      <c r="B72" s="32" t="n">
        <v>22</v>
      </c>
      <c r="C72" s="33" t="inlineStr">
        <is>
          <t>F00, F01, F02, F03, I60, I61, I62, I63, I64, I65, I66, I67, I68, I69, G12, G13, G20, G21, G22, G23, G30, G35</t>
        </is>
      </c>
    </row>
    <row r="73">
      <c r="A73" s="31" t="inlineStr">
        <is>
          <t>유방암</t>
        </is>
      </c>
      <c r="B73" s="32" t="n">
        <v>1</v>
      </c>
      <c r="C73" s="33" t="inlineStr">
        <is>
          <t>C50</t>
        </is>
      </c>
    </row>
    <row r="74">
      <c r="A74" s="31" t="inlineStr">
        <is>
          <t>전이암</t>
        </is>
      </c>
      <c r="B74" s="32" t="n">
        <v>4</v>
      </c>
      <c r="C74" s="33" t="inlineStr">
        <is>
          <t>C77, C78, C79, C80</t>
        </is>
      </c>
    </row>
    <row r="75">
      <c r="A75" s="31" t="inlineStr">
        <is>
          <t>림프절전이암</t>
        </is>
      </c>
      <c r="B75" s="32" t="n">
        <v>1</v>
      </c>
      <c r="C75" s="33" t="inlineStr">
        <is>
          <t>C77</t>
        </is>
      </c>
    </row>
    <row r="76">
      <c r="A76" s="31" t="inlineStr">
        <is>
          <t>특정전이암</t>
        </is>
      </c>
      <c r="B76" s="32" t="n">
        <v>3</v>
      </c>
      <c r="C76" s="33" t="inlineStr">
        <is>
          <t>C78, C79, C80</t>
        </is>
      </c>
    </row>
    <row r="77">
      <c r="A77" s="31" t="inlineStr">
        <is>
          <t>제자리신생물</t>
        </is>
      </c>
      <c r="B77" s="32" t="n">
        <v>9</v>
      </c>
      <c r="C77" s="33" t="inlineStr">
        <is>
          <t>D00, D01, D02, D03, D04, D05, D06, D07, D09</t>
        </is>
      </c>
    </row>
    <row r="78">
      <c r="A78" s="31" t="inlineStr">
        <is>
          <t>중증질환자(심장질환) 산정특례대상</t>
        </is>
      </c>
      <c r="B78" s="32" t="n">
        <v>21</v>
      </c>
      <c r="C78" s="33" t="inlineStr">
        <is>
          <t>I05~I09, I20~I25, I30~I51, Q20~Q25, Q26.0, Q26.1, Q26.2, Q26.3, Q26.4, S25~S26, D15.1, I01, I26, I28, I70.0, I71, I79.0, I79.1, M31.4, Q26.8, Q26.9</t>
        </is>
      </c>
    </row>
    <row r="79">
      <c r="A79" s="31" t="inlineStr">
        <is>
          <t>충수염(맹장염)</t>
        </is>
      </c>
      <c r="B79" s="32" t="n">
        <v>1</v>
      </c>
      <c r="C79" s="33" t="inlineStr">
        <is>
          <t>K35~K38</t>
        </is>
      </c>
    </row>
    <row r="80">
      <c r="A80" s="31" t="inlineStr">
        <is>
          <t>특정심장질환</t>
        </is>
      </c>
      <c r="B80" s="32" t="n">
        <v>5</v>
      </c>
      <c r="C80" s="33" t="inlineStr">
        <is>
          <t>I20, I21, I22, I23, I25.2</t>
        </is>
      </c>
    </row>
    <row r="81">
      <c r="A81" s="31" t="inlineStr">
        <is>
          <t>행동양식 불명 또는 미상의 신생물</t>
        </is>
      </c>
      <c r="B81" s="32" t="n">
        <v>13</v>
      </c>
      <c r="C81" s="33" t="inlineStr">
        <is>
          <t>D37, D38, D39, D40, D41, D42, D43, D44, D47.0, D47.2, D47.7, D47.9, D48</t>
        </is>
      </c>
    </row>
    <row r="82">
      <c r="A82" s="31" t="inlineStr">
        <is>
          <t>허혈성심장질환</t>
        </is>
      </c>
      <c r="B82" s="32" t="n">
        <v>6</v>
      </c>
      <c r="C82" s="33" t="inlineStr">
        <is>
          <t>I20, I21, I22, I23, I24, I25</t>
        </is>
      </c>
    </row>
    <row r="83">
      <c r="A83" s="31" t="inlineStr">
        <is>
          <t>희귀난치성 7대질환</t>
        </is>
      </c>
      <c r="B83" s="32" t="n">
        <v>12</v>
      </c>
      <c r="C83" s="33" t="inlineStr">
        <is>
          <t>D60, D61, G12.2, G20, I42.0, I42.1, I42.2, I42.3, I42.5, I67.5, M32, N18.5</t>
        </is>
      </c>
    </row>
    <row r="84">
      <c r="A84" s="31" t="inlineStr">
        <is>
          <t>중증질환자(뇌혈관질환) 산정특례대상</t>
        </is>
      </c>
      <c r="B84" s="32" t="n">
        <v>10</v>
      </c>
      <c r="C84" s="33" t="inlineStr">
        <is>
          <t>I60~I62, I60~I67, Q28.0, Q28.1, Q28.2, Q28.3, I63, I72.0, I77.0, S06</t>
        </is>
      </c>
    </row>
    <row r="85">
      <c r="A85" s="31" t="inlineStr">
        <is>
          <t>특정순환계질환</t>
        </is>
      </c>
      <c r="B85" s="32" t="n">
        <v>52</v>
      </c>
      <c r="C85" s="33" t="inlineStr">
        <is>
          <t>I00, I01, I02, I05, I06, I07, I08, I09, I30, I31, I32, I33, I38, I40, I41, I44.1, I44.2, I44.3, I47, I48, I49, I72, I74, I77, I81, I20, I24, I25, I26, I27, I28, I42, I43, I50, I64, I65, I66, I67, I68, I69, I71, I85, I98.2, I98.3, I21, I22, I23, I46.0, I60, I61, I62, I63</t>
        </is>
      </c>
    </row>
    <row r="86">
      <c r="A86" s="31" t="inlineStr">
        <is>
          <t>특정순환계질환(주요손상및질환)</t>
        </is>
      </c>
      <c r="B86" s="32" t="n">
        <v>40</v>
      </c>
      <c r="C86" s="33" t="inlineStr">
        <is>
          <t>I10, I11, I12, I13, I15, I34, I35, I36, I37, I39, I52, I44.0, I44.4, I44.5, I44.6, I44.7, I45, I46.1, I46.9, I51, I70, I73, I78, I79, I80, I82, I83, I86, I87, I88, I89, I95, I97, I98.0, I98.1, I98.8, I99, S06, S25, S26</t>
        </is>
      </c>
    </row>
    <row r="87">
      <c r="A87" s="31" t="inlineStr">
        <is>
          <t>전신마취치료 항목면책(질병 통합치료비·질병 통합생활지원비)</t>
        </is>
      </c>
      <c r="B87" s="32" t="n">
        <v>11</v>
      </c>
      <c r="C87" s="33" t="inlineStr">
        <is>
          <t>F04~F99, N96~N98, O00~O99, Q00~Q99, E66, N39.3, N39.4, R32, K60~K62, K64, K00~K08</t>
        </is>
      </c>
    </row>
    <row r="88">
      <c r="A88" s="31" t="inlineStr">
        <is>
          <t>전신마취치료 항목면책(암전후관련 통합치료비)</t>
        </is>
      </c>
      <c r="B88" s="32" t="n">
        <v>1</v>
      </c>
      <c r="C88" s="33" t="inlineStr">
        <is>
          <t>K62.7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30" customWidth="1" min="3" max="3"/>
  </cols>
  <sheetData>
    <row r="1" ht="30" customHeight="1">
      <c r="A1" s="5" t="inlineStr">
        <is>
          <t>담보명에 이 글자가 있으면</t>
        </is>
      </c>
      <c r="B1" s="5" t="inlineStr">
        <is>
          <t>이렇게 읽는다</t>
        </is>
      </c>
      <c r="C1" s="5" t="inlineStr">
        <is>
          <t>어디에 쓰이는가</t>
        </is>
      </c>
    </row>
    <row r="2">
      <c r="A2" s="34" t="inlineStr">
        <is>
          <t>상해 · 재해</t>
        </is>
      </c>
      <c r="B2" s="33" t="inlineStr">
        <is>
          <t>원인을 상해로 본다 — 질병 사례에서는 계산하지 않는다</t>
        </is>
      </c>
      <c r="C2" s="33" t="inlineStr">
        <is>
          <t>모든 보상 유형</t>
        </is>
      </c>
    </row>
    <row r="3">
      <c r="A3" s="34" t="inlineStr">
        <is>
          <t>질병</t>
        </is>
      </c>
      <c r="B3" s="33" t="inlineStr">
        <is>
          <t>원인을 질병으로 본다 — 상해 사례에서는 계산하지 않는다</t>
        </is>
      </c>
      <c r="C3" s="33" t="inlineStr">
        <is>
          <t>모든 보상 유형</t>
        </is>
      </c>
    </row>
    <row r="4">
      <c r="A4" s="34" t="inlineStr">
        <is>
          <t>상급종합병원</t>
        </is>
      </c>
      <c r="B4" s="33" t="inlineStr">
        <is>
          <t>상급종합병원에서 받은 치료일 때만. 상급종합은 종합병원 조건도 함께 충족한다</t>
        </is>
      </c>
      <c r="C4" s="33" t="inlineStr">
        <is>
          <t>수술비 · 입원일당</t>
        </is>
      </c>
    </row>
    <row r="5">
      <c r="A5" s="34" t="inlineStr">
        <is>
          <t>종합병원</t>
        </is>
      </c>
      <c r="B5" s="33" t="inlineStr">
        <is>
          <t>종합병원 이상에서 받은 치료일 때만</t>
        </is>
      </c>
      <c r="C5" s="33" t="inlineStr">
        <is>
          <t>수술비 · 입원일당</t>
        </is>
      </c>
    </row>
    <row r="6">
      <c r="A6" s="34" t="inlineStr">
        <is>
          <t>요양병원</t>
        </is>
      </c>
      <c r="B6" s="33" t="inlineStr">
        <is>
          <t>요양병원 입원일 때만</t>
        </is>
      </c>
      <c r="C6" s="33" t="inlineStr">
        <is>
          <t>입원일당</t>
        </is>
      </c>
    </row>
    <row r="7">
      <c r="A7" s="34" t="inlineStr">
        <is>
          <t>요양병원제외</t>
        </is>
      </c>
      <c r="B7" s="33" t="inlineStr">
        <is>
          <t>요양병원 입원은 빼고 계산한다 (요양병원을 요구하는 조건이 아니다)</t>
        </is>
      </c>
      <c r="C7" s="33" t="inlineStr">
        <is>
          <t>입원일당</t>
        </is>
      </c>
    </row>
    <row r="8">
      <c r="A8" s="34" t="inlineStr">
        <is>
          <t>1인실</t>
        </is>
      </c>
      <c r="B8" s="33" t="inlineStr">
        <is>
          <t>1인실 입원일 때만 ( "2-3인실" 이 같이 있으면 적용하지 않는다 )</t>
        </is>
      </c>
      <c r="C8" s="33" t="inlineStr">
        <is>
          <t>입원일당</t>
        </is>
      </c>
    </row>
    <row r="9">
      <c r="A9" s="34" t="inlineStr">
        <is>
          <t>2-3인실</t>
        </is>
      </c>
      <c r="B9" s="33" t="inlineStr">
        <is>
          <t>2-3인실 입원일 때만</t>
        </is>
      </c>
      <c r="C9" s="33" t="inlineStr">
        <is>
          <t>입원일당</t>
        </is>
      </c>
    </row>
    <row r="10">
      <c r="A10" s="34" t="inlineStr">
        <is>
          <t>N일한도</t>
        </is>
      </c>
      <c r="B10" s="33" t="inlineStr">
        <is>
          <t>최대 N일까지만 계산한다 (예 : 180일한도)</t>
        </is>
      </c>
      <c r="C10" s="33" t="inlineStr">
        <is>
          <t>입원일당</t>
        </is>
      </c>
    </row>
    <row r="11">
      <c r="A11" s="34" t="inlineStr">
        <is>
          <t>(N일이상</t>
        </is>
      </c>
      <c r="B11" s="33" t="inlineStr">
        <is>
          <t>N일 이상 입원했을 때부터 계산하고, N일째부터 센다 (예 : (31일이상)</t>
        </is>
      </c>
      <c r="C11" s="33" t="inlineStr">
        <is>
          <t>입원일당</t>
        </is>
      </c>
    </row>
    <row r="12">
      <c r="A12" s="34" t="inlineStr">
        <is>
          <t>[상해2종] · (질병1종)</t>
        </is>
      </c>
      <c r="B12" s="33" t="inlineStr">
        <is>
          <t>수술 종(1~7종)을 담보명에서 읽는다</t>
        </is>
      </c>
      <c r="C12" s="33" t="inlineStr">
        <is>
          <t>수술비</t>
        </is>
      </c>
    </row>
    <row r="13">
      <c r="A13" s="34" t="inlineStr">
        <is>
          <t>중환자실</t>
        </is>
      </c>
      <c r="B13" s="33" t="inlineStr">
        <is>
          <t>중환자실 입원 일수로 계산한다</t>
        </is>
      </c>
      <c r="C13" s="33" t="inlineStr">
        <is>
          <t>입원일당</t>
        </is>
      </c>
    </row>
    <row r="14">
      <c r="A14" s="34" t="inlineStr">
        <is>
          <t>통원</t>
        </is>
      </c>
      <c r="B14" s="33" t="inlineStr">
        <is>
          <t>통원 횟수로 계산한다</t>
        </is>
      </c>
      <c r="C14" s="33" t="inlineStr">
        <is>
          <t>통원일당</t>
        </is>
      </c>
    </row>
    <row r="15">
      <c r="A15" s="34" t="inlineStr">
        <is>
          <t>(plus)</t>
        </is>
      </c>
      <c r="B15" s="33" t="inlineStr">
        <is>
          <t>수술을 2회 이상 받은 단계에서만 계산한다</t>
        </is>
      </c>
      <c r="C15" s="33" t="inlineStr">
        <is>
          <t>수술비</t>
        </is>
      </c>
    </row>
    <row r="16">
      <c r="A16" s="34" t="inlineStr">
        <is>
          <t>특정N대질병제외</t>
        </is>
      </c>
      <c r="B16" s="33" t="inlineStr">
        <is>
          <t>해당 질병군은 대상에서 뺀다</t>
        </is>
      </c>
      <c r="C16" s="33" t="inlineStr">
        <is>
          <t>수술비</t>
        </is>
      </c>
    </row>
    <row r="17">
      <c r="A17" s="34" t="inlineStr">
        <is>
          <t>암종 · 그룹 이름</t>
        </is>
      </c>
      <c r="B17" s="33" t="inlineStr">
        <is>
          <t>담보명에 들어 있는 그룹 이름 중 가장 긴 것으로 질병코드 그룹표를 고른다 (예 : "10대특정암(전이포함)" 이 "10대특정암" 보다 먼저)</t>
        </is>
      </c>
      <c r="C17" s="33" t="inlineStr">
        <is>
          <t>질병코드 판정</t>
        </is>
      </c>
    </row>
    <row r="18">
      <c r="A18" s="34" t="inlineStr">
        <is>
          <t>[세부급부]</t>
        </is>
      </c>
      <c r="B18" s="33" t="inlineStr">
        <is>
          <t>담보명 끝의 대괄호 안이 보상 유형을 정한다 — 부모 담보명만 보고 단정하지 않는다</t>
        </is>
      </c>
      <c r="C18" s="33" t="inlineStr">
        <is>
          <t>규칙 고르기</t>
        </is>
      </c>
    </row>
    <row r="19">
      <c r="A19" s="34" t="inlineStr">
        <is>
          <t>고지유형 꼬리표</t>
        </is>
      </c>
      <c r="B19" s="33" t="inlineStr">
        <is>
          <t>「제외 상품·꼬리표」 시트의 꼬리표는 규칙과 맞춰 보기 전에 떼어 낸다</t>
        </is>
      </c>
      <c r="C19" s="33" t="inlineStr">
        <is>
          <t>규칙 고르기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34" customWidth="1" min="3" max="3"/>
    <col width="90" customWidth="1" min="4" max="4"/>
  </cols>
  <sheetData>
    <row r="2">
      <c r="B2" s="20" t="inlineStr">
        <is>
          <t>지면을 붙이지 않는 상품 (정책으로 정한 예외)</t>
        </is>
      </c>
    </row>
    <row r="3">
      <c r="B3" s="19" t="inlineStr">
        <is>
          <t>상품명이 조건에 걸리면 계산하지 않고 원본 설계서를 그대로 돌려줍니다.</t>
        </is>
      </c>
    </row>
    <row r="5">
      <c r="B5" s="21" t="inlineStr">
        <is>
          <t>상품 이름</t>
        </is>
      </c>
      <c r="C5" s="21" t="inlineStr">
        <is>
          <t>상품명 조건</t>
        </is>
      </c>
      <c r="D5" s="21" t="inlineStr">
        <is>
          <t>왜 제외하는가</t>
        </is>
      </c>
    </row>
    <row r="6">
      <c r="B6" s="33" t="inlineStr">
        <is>
          <t>프리미엄 건강보험 · 프리미엄 간편보험</t>
        </is>
      </c>
      <c r="C6" s="33" t="inlineStr">
        <is>
          <t>프리미엄.{0,8}(건강|간편)</t>
        </is>
      </c>
      <c r="D6" s="33" t="inlineStr">
        <is>
          <t>프리미엄류는 상품 구조가 다르다 — 장기유지보너스 · 단기납 · 10년 뒤 2배 체증형 담보 · 판매 채널 한정. 특히 체증 구조가 이 생성기가 쓰는 수술 회차별 체증(25%씩)과 달라 금액을 잘못 안내할 수 있다. 차후 검토 대상으로 두고 지금은 제작하지 않는다.</t>
        </is>
      </c>
    </row>
    <row r="9">
      <c r="B9" s="20" t="inlineStr">
        <is>
          <t>담보명 뒤에서 떼어 내는 고지유형 꼬리표</t>
        </is>
      </c>
    </row>
    <row r="10">
      <c r="B10" s="19" t="inlineStr">
        <is>
          <t>설계서 담보명 뒤에 붙는 꼬리표입니다. 담보명을 규칙표와 맞춰 보기 전에 떼어 냅니다.</t>
        </is>
      </c>
    </row>
    <row r="12">
      <c r="B12" s="35" t="inlineStr">
        <is>
          <t>355입원,수술고지간편가입</t>
        </is>
      </c>
    </row>
    <row r="13">
      <c r="B13" s="35" t="inlineStr">
        <is>
          <t>통합간편가입</t>
        </is>
      </c>
    </row>
    <row r="14">
      <c r="B14" s="35" t="inlineStr">
        <is>
          <t>건강가입</t>
        </is>
      </c>
    </row>
    <row r="15">
      <c r="B15" s="35" t="inlineStr">
        <is>
          <t>355간편가입</t>
        </is>
      </c>
    </row>
    <row r="16">
      <c r="B16" s="35" t="inlineStr">
        <is>
          <t>간편가입</t>
        </is>
      </c>
    </row>
    <row r="17">
      <c r="B17" s="35" t="inlineStr">
        <is>
          <t>건강고지형</t>
        </is>
      </c>
    </row>
    <row r="18">
      <c r="B18" s="35" t="inlineStr">
        <is>
          <t>통합간편고지형</t>
        </is>
      </c>
    </row>
    <row r="19">
      <c r="B19" s="35" t="inlineStr">
        <is>
          <t>355간편고지형</t>
        </is>
      </c>
    </row>
    <row r="20">
      <c r="B20" s="35" t="inlineStr">
        <is>
          <t>일반고지형</t>
        </is>
      </c>
    </row>
    <row r="21">
      <c r="B21" s="35" t="inlineStr">
        <is>
          <t>통합간편심사형</t>
        </is>
      </c>
    </row>
    <row r="22">
      <c r="B22" s="35" t="inlineStr">
        <is>
          <t>맞춤간편가입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52" customWidth="1" min="4" max="4"/>
    <col width="26" customWidth="1" min="5" max="5"/>
    <col width="40" customWidth="1" min="6" max="6"/>
    <col width="46" customWidth="1" min="7" max="7"/>
    <col width="34" customWidth="1" min="8" max="8"/>
    <col width="40" customWidth="1" min="9" max="9"/>
  </cols>
  <sheetData>
    <row r="1">
      <c r="A1" t="inlineStr">
        <is>
          <t>심각도</t>
        </is>
      </c>
      <c r="B1" t="inlineStr">
        <is>
          <t>구분</t>
        </is>
      </c>
      <c r="C1" t="inlineStr">
        <is>
          <t>대상 그룹·규칙</t>
        </is>
      </c>
      <c r="D1" t="inlineStr">
        <is>
          <t>무엇이 잘못됐나</t>
        </is>
      </c>
      <c r="E1" t="inlineStr">
        <is>
          <t>약관 근거</t>
        </is>
      </c>
      <c r="F1" t="inlineStr">
        <is>
          <t>지금 들어 있는 코드</t>
        </is>
      </c>
      <c r="G1" t="inlineStr">
        <is>
          <t>약관대로 고치면</t>
        </is>
      </c>
      <c r="H1" t="inlineStr">
        <is>
          <t>영향받는 담보</t>
        </is>
      </c>
      <c r="I1" t="inlineStr">
        <is>
          <t>권고</t>
        </is>
      </c>
    </row>
    <row r="2">
      <c r="A2" t="inlineStr">
        <is>
          <t>높음</t>
        </is>
      </c>
      <c r="B2" t="inlineStr">
        <is>
          <t>제외 표시 오배정</t>
        </is>
      </c>
      <c r="C2" t="inlineStr">
        <is>
          <t>32대질병 · 사구체질환</t>
        </is>
      </c>
      <c r="D2" t="inlineStr">
        <is>
          <t>약관은 N00~N08 전부 대상이고 N08.3만 제외인데, 규칙표는 N00·N01·N02·N03·N04·N08 을 제외로 표시</t>
        </is>
      </c>
      <c r="E2" t="inlineStr">
        <is>
          <t>「32대질병 분류표」 p.773</t>
        </is>
      </c>
      <c r="F2" t="inlineStr">
        <is>
          <t>!N00, !N01, !N02, !N03, !N04, N05, N06, N07, !N08, !N08.3</t>
        </is>
      </c>
      <c r="G2" t="inlineStr">
        <is>
          <t>N00~N08 (N08.3만 제외)</t>
        </is>
      </c>
      <c r="H2" t="inlineStr">
        <is>
          <t>32대질병관혈수술비 3건</t>
        </is>
      </c>
      <c r="I2" t="inlineStr">
        <is>
          <t>N00~N04·N08 의 ! 를 떼고 N08.3 만 제외로 둘 것</t>
        </is>
      </c>
    </row>
    <row r="3">
      <c r="A3" t="inlineStr">
        <is>
          <t>높음</t>
        </is>
      </c>
      <c r="B3" t="inlineStr">
        <is>
          <t>제외 표시 오배정</t>
        </is>
      </c>
      <c r="C3" t="inlineStr">
        <is>
          <t>관절염,생식기질환 · 전체</t>
        </is>
      </c>
      <c r="D3" t="inlineStr">
        <is>
          <t>약관의 대상질병 12개 범위 중 8개가 제외로 표시됨. 포함/제외가 뒤바뀐 것으로 보임</t>
        </is>
      </c>
      <c r="E3" t="inlineStr">
        <is>
          <t>「관절염,생식기질환 분류표」 p.859</t>
        </is>
      </c>
      <c r="F3" t="inlineStr">
        <is>
          <t>! 붙음: M00~M03, M05~M14, J99.0, M15~M19, M20~M25, N70~N77, N80~N95, N99</t>
        </is>
      </c>
      <c r="G3" t="inlineStr">
        <is>
          <t>대상: M00~M03, M05~M14, J99.0, M15~M19, M20~M25, N40~N45, N47~N51, A59.08, B26.0, N70~N77, N80~N95, N99 / 제외: A18.01, M01.1, M14.2, A18.17, N74.0, N74.1</t>
        </is>
      </c>
      <c r="H3" t="inlineStr">
        <is>
          <t>현재 마스터에 걸리는 담보 없음 (이름에 관절염 들어간 특약 0건)</t>
        </is>
      </c>
      <c r="I3" t="inlineStr">
        <is>
          <t>M05.1·N51.0·N51.1 은 제외가 아니라 †* 짝 코드이므로 제외에서 빼야 함</t>
        </is>
      </c>
    </row>
    <row r="4">
      <c r="A4" t="inlineStr">
        <is>
          <t>높음</t>
        </is>
      </c>
      <c r="B4" t="inlineStr">
        <is>
          <t>코드 목록이 비어 있음</t>
        </is>
      </c>
      <c r="C4" t="inlineStr">
        <is>
          <t>특정2대질병</t>
        </is>
      </c>
      <c r="D4" t="inlineStr">
        <is>
          <t>그룹에 코드가 하나도 없음. 「제외」용 그룹이라 비어 있으면 제외가 작동하지 않아 보상하면 안 될 건을 보상으로 계산할 수 있음</t>
        </is>
      </c>
      <c r="E4" t="inlineStr">
        <is>
          <t>「질병수술비(특정2대질병제외)」 약관 제3조 ④항</t>
        </is>
      </c>
      <c r="F4" t="inlineStr">
        <is>
          <t>(비어 있음)</t>
        </is>
      </c>
      <c r="G4" t="inlineStr">
        <is>
          <t>L84 / H00, H10, B30, H60, H92</t>
        </is>
      </c>
      <c r="H4" t="inlineStr">
        <is>
          <t>질병수술비(특정2대질병제외) — 통합간편·케어프리 3건</t>
        </is>
      </c>
      <c r="I4" t="inlineStr">
        <is>
          <t>약관 본문 표를 그대로 채울 것 (별표가 아니라 특약 본문에 있음)</t>
        </is>
      </c>
    </row>
    <row r="5">
      <c r="A5" t="inlineStr">
        <is>
          <t>높음</t>
        </is>
      </c>
      <c r="B5" t="inlineStr">
        <is>
          <t>코드 목록이 비어 있음</t>
        </is>
      </c>
      <c r="C5" t="inlineStr">
        <is>
          <t>특정6대질병</t>
        </is>
      </c>
      <c r="D5" t="inlineStr">
        <is>
          <t>그룹에 코드가 하나도 없음. 위와 같은 이유로 제외가 작동하지 않음</t>
        </is>
      </c>
      <c r="E5" t="inlineStr">
        <is>
          <t>「질병수술비(특정6대질병제외)」 약관 제3조 ④항</t>
        </is>
      </c>
      <c r="F5" t="inlineStr">
        <is>
          <t>(비어 있음)</t>
        </is>
      </c>
      <c r="G5" t="inlineStr">
        <is>
          <t>H25, H26, H27 / J30, J31, J33, J34 / L72, L84 / D18 / H00, H10, B30, H60, H92</t>
        </is>
      </c>
      <c r="H5" t="inlineStr">
        <is>
          <t>질병수술비(특정6대질병제외) — 통합간편·케어프리 3건</t>
        </is>
      </c>
      <c r="I5" t="inlineStr">
        <is>
          <t>대장 용종·양성신생물 내시경적 절제술도 제외 대상이나 코드가 아닌 치료행위 조건이므로 따로 처리 필요</t>
        </is>
      </c>
    </row>
    <row r="6">
      <c r="A6" t="inlineStr">
        <is>
          <t>높음</t>
        </is>
      </c>
      <c r="B6" t="inlineStr">
        <is>
          <t>범위 기호 누락</t>
        </is>
      </c>
      <c r="C6" t="inlineStr">
        <is>
          <t>32대질병 · I30~I52</t>
        </is>
      </c>
      <c r="D6" t="inlineStr">
        <is>
          <t>약관은 I30~I52 범위로 적혀 있는데 규칙표에는 양 끝 I30·I52 두 개만 들어감</t>
        </is>
      </c>
      <c r="E6" t="inlineStr">
        <is>
          <t>「32대질병 분류표」 p.773</t>
        </is>
      </c>
      <c r="F6" t="inlineStr">
        <is>
          <t>I30, I52</t>
        </is>
      </c>
      <c r="G6" t="inlineStr">
        <is>
          <t>I30~I52</t>
        </is>
      </c>
      <c r="H6" t="inlineStr">
        <is>
          <t>32대질병관혈수술비(연간1회한) — 통합간편·케어프리 3건</t>
        </is>
      </c>
      <c r="I6" t="inlineStr">
        <is>
          <t>사이 21개를 채우거나 범위 표기(I30~I52)로 저장</t>
        </is>
      </c>
    </row>
    <row r="7">
      <c r="A7" t="inlineStr">
        <is>
          <t>높음</t>
        </is>
      </c>
      <c r="B7" t="inlineStr">
        <is>
          <t>범위 기호 누락</t>
        </is>
      </c>
      <c r="C7" t="inlineStr">
        <is>
          <t>32대질병 · I60~I69</t>
        </is>
      </c>
      <c r="D7" t="inlineStr">
        <is>
          <t>약관은 I60~I69 범위로 적혀 있는데 규칙표에는 양 끝 I60·I69 두 개만 들어감</t>
        </is>
      </c>
      <c r="E7" t="inlineStr">
        <is>
          <t>「32대질병 분류표」 p.773</t>
        </is>
      </c>
      <c r="F7" t="inlineStr">
        <is>
          <t>I60, I69</t>
        </is>
      </c>
      <c r="G7" t="inlineStr">
        <is>
          <t>I60~I69</t>
        </is>
      </c>
      <c r="H7" t="inlineStr">
        <is>
          <t>32대질병관혈수술비(연간1회한) — 통합간편·케어프리 3건</t>
        </is>
      </c>
      <c r="I7" t="inlineStr">
        <is>
          <t>사이 8개를 채우거나 범위 표기(I60~I69)로 저장</t>
        </is>
      </c>
    </row>
    <row r="8">
      <c r="A8" t="inlineStr">
        <is>
          <t>높음</t>
        </is>
      </c>
      <c r="B8" t="inlineStr">
        <is>
          <t>범위 기호 누락</t>
        </is>
      </c>
      <c r="C8" t="inlineStr">
        <is>
          <t>32대질병 · K70~K77</t>
        </is>
      </c>
      <c r="D8" t="inlineStr">
        <is>
          <t>약관은 K70~K77 범위로 적혀 있는데 규칙표에는 양 끝 K70·K77 두 개만 들어감</t>
        </is>
      </c>
      <c r="E8" t="inlineStr">
        <is>
          <t>「32대질병 분류표」 p.773</t>
        </is>
      </c>
      <c r="F8" t="inlineStr">
        <is>
          <t>K70, K77</t>
        </is>
      </c>
      <c r="G8" t="inlineStr">
        <is>
          <t>K70~K77</t>
        </is>
      </c>
      <c r="H8" t="inlineStr">
        <is>
          <t>32대질병관혈수술비(연간1회한) — 통합간편·케어프리 3건</t>
        </is>
      </c>
      <c r="I8" t="inlineStr">
        <is>
          <t>사이 6개를 채우거나 범위 표기(K70~K77)로 저장</t>
        </is>
      </c>
    </row>
    <row r="9">
      <c r="A9" t="inlineStr">
        <is>
          <t>높음</t>
        </is>
      </c>
      <c r="B9" t="inlineStr">
        <is>
          <t>범위 기호 누락</t>
        </is>
      </c>
      <c r="C9" t="inlineStr">
        <is>
          <t>32대질병 · E00~E07</t>
        </is>
      </c>
      <c r="D9" t="inlineStr">
        <is>
          <t>약관은 E00~E07 범위로 적혀 있는데 규칙표에는 양 끝 E00·E07 두 개만 들어감</t>
        </is>
      </c>
      <c r="E9" t="inlineStr">
        <is>
          <t>「32대질병 분류표」 p.773</t>
        </is>
      </c>
      <c r="F9" t="inlineStr">
        <is>
          <t>E00, E07</t>
        </is>
      </c>
      <c r="G9" t="inlineStr">
        <is>
          <t>E00~E07</t>
        </is>
      </c>
      <c r="H9" t="inlineStr">
        <is>
          <t>32대질병관혈수술비(연간1회한) — 통합간편·케어프리 3건</t>
        </is>
      </c>
      <c r="I9" t="inlineStr">
        <is>
          <t>사이 6개를 채우거나 범위 표기(E00~E07)로 저장</t>
        </is>
      </c>
    </row>
    <row r="10">
      <c r="A10" t="inlineStr">
        <is>
          <t>높음</t>
        </is>
      </c>
      <c r="B10" t="inlineStr">
        <is>
          <t>범위 기호 누락</t>
        </is>
      </c>
      <c r="C10" t="inlineStr">
        <is>
          <t>32대질병 · I20~I25</t>
        </is>
      </c>
      <c r="D10" t="inlineStr">
        <is>
          <t>약관은 I20~I25 범위로 적혀 있는데 규칙표에는 양 끝 I20·I25 두 개만 들어감</t>
        </is>
      </c>
      <c r="E10" t="inlineStr">
        <is>
          <t>「32대질병 분류표」 p.773</t>
        </is>
      </c>
      <c r="F10" t="inlineStr">
        <is>
          <t>I20, I25</t>
        </is>
      </c>
      <c r="G10" t="inlineStr">
        <is>
          <t>I20~I25</t>
        </is>
      </c>
      <c r="H10" t="inlineStr">
        <is>
          <t>32대질병관혈수술비(연간1회한) — 통합간편·케어프리 3건</t>
        </is>
      </c>
      <c r="I10" t="inlineStr">
        <is>
          <t>사이 4개를 채우거나 범위 표기(I20~I25)로 저장</t>
        </is>
      </c>
    </row>
    <row r="11">
      <c r="A11" t="inlineStr">
        <is>
          <t>높음</t>
        </is>
      </c>
      <c r="B11" t="inlineStr">
        <is>
          <t>범위 기호 누락</t>
        </is>
      </c>
      <c r="C11" t="inlineStr">
        <is>
          <t>32대질병 · I05~I09</t>
        </is>
      </c>
      <c r="D11" t="inlineStr">
        <is>
          <t>약관은 I05~I09 범위로 적혀 있는데 규칙표에는 양 끝 I05·I09 두 개만 들어감</t>
        </is>
      </c>
      <c r="E11" t="inlineStr">
        <is>
          <t>「32대질병 분류표」 p.773</t>
        </is>
      </c>
      <c r="F11" t="inlineStr">
        <is>
          <t>I05, I09</t>
        </is>
      </c>
      <c r="G11" t="inlineStr">
        <is>
          <t>I05~I09</t>
        </is>
      </c>
      <c r="H11" t="inlineStr">
        <is>
          <t>32대질병관혈수술비(연간1회한) — 통합간편·케어프리 3건</t>
        </is>
      </c>
      <c r="I11" t="inlineStr">
        <is>
          <t>사이 3개를 채우거나 범위 표기(I05~I09)로 저장</t>
        </is>
      </c>
    </row>
    <row r="12">
      <c r="A12" t="inlineStr">
        <is>
          <t>높음</t>
        </is>
      </c>
      <c r="B12" t="inlineStr">
        <is>
          <t>범위 기호 누락</t>
        </is>
      </c>
      <c r="C12" t="inlineStr">
        <is>
          <t>32대질병 · B15~B19</t>
        </is>
      </c>
      <c r="D12" t="inlineStr">
        <is>
          <t>약관은 B15~B19 범위로 적혀 있는데 규칙표에는 양 끝 B15·B19 두 개만 들어감</t>
        </is>
      </c>
      <c r="E12" t="inlineStr">
        <is>
          <t>「32대질병 분류표」 p.773</t>
        </is>
      </c>
      <c r="F12" t="inlineStr">
        <is>
          <t>B15, B19</t>
        </is>
      </c>
      <c r="G12" t="inlineStr">
        <is>
          <t>B15~B19</t>
        </is>
      </c>
      <c r="H12" t="inlineStr">
        <is>
          <t>32대질병관혈수술비(연간1회한) — 통합간편·케어프리 3건</t>
        </is>
      </c>
      <c r="I12" t="inlineStr">
        <is>
          <t>사이 3개를 채우거나 범위 표기(B15~B19)로 저장</t>
        </is>
      </c>
    </row>
    <row r="13">
      <c r="A13" t="inlineStr">
        <is>
          <t>높음</t>
        </is>
      </c>
      <c r="B13" t="inlineStr">
        <is>
          <t>범위 기호 누락</t>
        </is>
      </c>
      <c r="C13" t="inlineStr">
        <is>
          <t>32대질병 · A15~A19</t>
        </is>
      </c>
      <c r="D13" t="inlineStr">
        <is>
          <t>약관은 A15~A19 범위로 적혀 있는데 규칙표에는 양 끝 A15·A19 두 개만 들어감</t>
        </is>
      </c>
      <c r="E13" t="inlineStr">
        <is>
          <t>「32대질병 분류표」 p.773</t>
        </is>
      </c>
      <c r="F13" t="inlineStr">
        <is>
          <t>A15, A19</t>
        </is>
      </c>
      <c r="G13" t="inlineStr">
        <is>
          <t>A15~A19</t>
        </is>
      </c>
      <c r="H13" t="inlineStr">
        <is>
          <t>32대질병관혈수술비(연간1회한) — 통합간편·케어프리 3건</t>
        </is>
      </c>
      <c r="I13" t="inlineStr">
        <is>
          <t>사이 3개를 채우거나 범위 표기(A15~A19)로 저장</t>
        </is>
      </c>
    </row>
    <row r="14">
      <c r="A14" t="inlineStr">
        <is>
          <t>높음</t>
        </is>
      </c>
      <c r="B14" t="inlineStr">
        <is>
          <t>범위 기호 누락</t>
        </is>
      </c>
      <c r="C14" t="inlineStr">
        <is>
          <t>충수염(맹장염) · K35~K38</t>
        </is>
      </c>
      <c r="D14" t="inlineStr">
        <is>
          <t>약관은 K35~K38 범위로 적혀 있는데 규칙표에는 양 끝 K35·K38 두 개만 들어감</t>
        </is>
      </c>
      <c r="E14" t="inlineStr">
        <is>
          <t>「충수염(맹장염) 분류표」 p.800</t>
        </is>
      </c>
      <c r="F14" t="inlineStr">
        <is>
          <t>K35, K38</t>
        </is>
      </c>
      <c r="G14" t="inlineStr">
        <is>
          <t>K35~K38</t>
        </is>
      </c>
      <c r="H14" t="inlineStr">
        <is>
          <t>충수염수술비 — 통합간편·케어프리 2건</t>
        </is>
      </c>
      <c r="I14" t="inlineStr">
        <is>
          <t>사이 2개를 채우거나 범위 표기(K35~K38)로 저장</t>
        </is>
      </c>
    </row>
    <row r="15">
      <c r="A15" t="inlineStr">
        <is>
          <t>높음</t>
        </is>
      </c>
      <c r="B15" t="inlineStr">
        <is>
          <t>범위 기호 누락</t>
        </is>
      </c>
      <c r="C15" t="inlineStr">
        <is>
          <t>32대질병 · I00~I02</t>
        </is>
      </c>
      <c r="D15" t="inlineStr">
        <is>
          <t>약관은 I00~I02 범위로 적혀 있는데 규칙표에는 양 끝 I00·I02 두 개만 들어감</t>
        </is>
      </c>
      <c r="E15" t="inlineStr">
        <is>
          <t>「32대질병 분류표」 p.773</t>
        </is>
      </c>
      <c r="F15" t="inlineStr">
        <is>
          <t>I00, I02</t>
        </is>
      </c>
      <c r="G15" t="inlineStr">
        <is>
          <t>I00~I02</t>
        </is>
      </c>
      <c r="H15" t="inlineStr">
        <is>
          <t>32대질병관혈수술비(연간1회한) — 통합간편·케어프리 3건</t>
        </is>
      </c>
      <c r="I15" t="inlineStr">
        <is>
          <t>사이 1개를 채우거나 범위 표기(I00~I02)로 저장</t>
        </is>
      </c>
    </row>
    <row r="16">
      <c r="A16" t="inlineStr">
        <is>
          <t>높음</t>
        </is>
      </c>
      <c r="B16" t="inlineStr">
        <is>
          <t>범위 기호 누락</t>
        </is>
      </c>
      <c r="C16" t="inlineStr">
        <is>
          <t>32대질병 · I26~I28</t>
        </is>
      </c>
      <c r="D16" t="inlineStr">
        <is>
          <t>약관은 I26~I28 범위로 적혀 있는데 규칙표에는 양 끝 I26·I28 두 개만 들어감</t>
        </is>
      </c>
      <c r="E16" t="inlineStr">
        <is>
          <t>「32대질병 분류표」 p.773</t>
        </is>
      </c>
      <c r="F16" t="inlineStr">
        <is>
          <t>I26, I28</t>
        </is>
      </c>
      <c r="G16" t="inlineStr">
        <is>
          <t>I26~I28</t>
        </is>
      </c>
      <c r="H16" t="inlineStr">
        <is>
          <t>32대질병관혈수술비(연간1회한) — 통합간편·케어프리 3건</t>
        </is>
      </c>
      <c r="I16" t="inlineStr">
        <is>
          <t>사이 1개를 채우거나 범위 표기(I26~I28)로 저장</t>
        </is>
      </c>
    </row>
    <row r="17">
      <c r="A17" t="inlineStr">
        <is>
          <t>높음</t>
        </is>
      </c>
      <c r="B17" t="inlineStr">
        <is>
          <t>범위 기호 누락</t>
        </is>
      </c>
      <c r="C17" t="inlineStr">
        <is>
          <t>32대질병 · N17~N19</t>
        </is>
      </c>
      <c r="D17" t="inlineStr">
        <is>
          <t>약관은 N17~N19 범위로 적혀 있는데 규칙표에는 양 끝 N17·N19 두 개만 들어감</t>
        </is>
      </c>
      <c r="E17" t="inlineStr">
        <is>
          <t>「32대질병 분류표」 p.773</t>
        </is>
      </c>
      <c r="F17" t="inlineStr">
        <is>
          <t>N17, N19</t>
        </is>
      </c>
      <c r="G17" t="inlineStr">
        <is>
          <t>N17~N19</t>
        </is>
      </c>
      <c r="H17" t="inlineStr">
        <is>
          <t>32대질병관혈수술비(연간1회한) — 통합간편·케어프리 3건</t>
        </is>
      </c>
      <c r="I17" t="inlineStr">
        <is>
          <t>사이 1개를 채우거나 범위 표기(N17~N19)로 저장</t>
        </is>
      </c>
    </row>
    <row r="18">
      <c r="A18" t="inlineStr">
        <is>
          <t>낮음</t>
        </is>
      </c>
      <c r="B18" t="inlineStr">
        <is>
          <t>담보명이 안 맞음</t>
        </is>
      </c>
      <c r="C18" t="inlineStr">
        <is>
          <t>surg_arrhythmia (34번 규칙)</t>
        </is>
      </c>
      <c r="D18" t="inlineStr">
        <is>
          <t>규칙은 「부정맥질환특정수술비|부정맥특정수술비」를 찾는데, 마스터에 있는 담보는 「갱신형 부정맥질환특정검사비」(검사비)임</t>
        </is>
      </c>
      <c r="E18" t="inlineStr">
        <is>
          <t>케어프리 특약 마스터</t>
        </is>
      </c>
      <c r="F18" t="inlineStr">
        <is>
          <t>부정맥질환특정수술비|부정맥특정수술비</t>
        </is>
      </c>
      <c r="G18" t="inlineStr">
        <is>
          <t>부정맥질환특정검사비 (검사비)</t>
        </is>
      </c>
      <c r="H18" t="inlineStr">
        <is>
          <t>적용 담보 0건</t>
        </is>
      </c>
      <c r="I18" t="inlineStr">
        <is>
          <t>담보명 조건을 검사비로 고치거나, 해당 담보가 없으면 규칙을 지울 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6" customWidth="1" min="4" max="4"/>
  </cols>
  <sheetData>
    <row r="1">
      <c r="A1" t="inlineStr">
        <is>
          <t>그룹</t>
        </is>
      </c>
      <c r="B1" t="inlineStr">
        <is>
          <t>약관 범위</t>
        </is>
      </c>
      <c r="C1" t="inlineStr">
        <is>
          <t>빠진 코드</t>
        </is>
      </c>
      <c r="D1" t="inlineStr">
        <is>
          <t>코드 이름</t>
        </is>
      </c>
    </row>
    <row r="2">
      <c r="A2" t="inlineStr">
        <is>
          <t>32대질병</t>
        </is>
      </c>
      <c r="B2" t="inlineStr">
        <is>
          <t>I30~I52</t>
        </is>
      </c>
      <c r="C2" t="inlineStr">
        <is>
          <t>I31</t>
        </is>
      </c>
      <c r="D2" t="inlineStr">
        <is>
          <t>심장막의 기타 질환</t>
        </is>
      </c>
    </row>
    <row r="3">
      <c r="A3" t="inlineStr">
        <is>
          <t>32대질병</t>
        </is>
      </c>
      <c r="B3" t="inlineStr">
        <is>
          <t>I30~I52</t>
        </is>
      </c>
      <c r="C3" t="inlineStr">
        <is>
          <t>I32</t>
        </is>
      </c>
      <c r="D3" t="inlineStr">
        <is>
          <t>달리 분류된 질환에서의 심장막염</t>
        </is>
      </c>
    </row>
    <row r="4">
      <c r="A4" t="inlineStr">
        <is>
          <t>32대질병</t>
        </is>
      </c>
      <c r="B4" t="inlineStr">
        <is>
          <t>I30~I52</t>
        </is>
      </c>
      <c r="C4" t="inlineStr">
        <is>
          <t>I33</t>
        </is>
      </c>
      <c r="D4" t="inlineStr">
        <is>
          <t>급성 및 아급성 심내막염</t>
        </is>
      </c>
    </row>
    <row r="5">
      <c r="A5" t="inlineStr">
        <is>
          <t>32대질병</t>
        </is>
      </c>
      <c r="B5" t="inlineStr">
        <is>
          <t>I30~I52</t>
        </is>
      </c>
      <c r="C5" t="inlineStr">
        <is>
          <t>I34</t>
        </is>
      </c>
      <c r="D5" t="inlineStr">
        <is>
          <t>비류마티스성 승모판장애</t>
        </is>
      </c>
    </row>
    <row r="6">
      <c r="A6" t="inlineStr">
        <is>
          <t>32대질병</t>
        </is>
      </c>
      <c r="B6" t="inlineStr">
        <is>
          <t>I30~I52</t>
        </is>
      </c>
      <c r="C6" t="inlineStr">
        <is>
          <t>I35</t>
        </is>
      </c>
      <c r="D6" t="inlineStr">
        <is>
          <t>비류마티스성 대동맥판장애</t>
        </is>
      </c>
    </row>
    <row r="7">
      <c r="A7" t="inlineStr">
        <is>
          <t>32대질병</t>
        </is>
      </c>
      <c r="B7" t="inlineStr">
        <is>
          <t>I30~I52</t>
        </is>
      </c>
      <c r="C7" t="inlineStr">
        <is>
          <t>I36</t>
        </is>
      </c>
      <c r="D7" t="inlineStr">
        <is>
          <t>비류마티스성 삼첨판장애</t>
        </is>
      </c>
    </row>
    <row r="8">
      <c r="A8" t="inlineStr">
        <is>
          <t>32대질병</t>
        </is>
      </c>
      <c r="B8" t="inlineStr">
        <is>
          <t>I30~I52</t>
        </is>
      </c>
      <c r="C8" t="inlineStr">
        <is>
          <t>I37</t>
        </is>
      </c>
      <c r="D8" t="inlineStr">
        <is>
          <t>폐동맥판장애</t>
        </is>
      </c>
    </row>
    <row r="9">
      <c r="A9" t="inlineStr">
        <is>
          <t>32대질병</t>
        </is>
      </c>
      <c r="B9" t="inlineStr">
        <is>
          <t>I30~I52</t>
        </is>
      </c>
      <c r="C9" t="inlineStr">
        <is>
          <t>I38</t>
        </is>
      </c>
      <c r="D9" t="inlineStr">
        <is>
          <t>상세불명 판막의 심내막염</t>
        </is>
      </c>
    </row>
    <row r="10">
      <c r="A10" t="inlineStr">
        <is>
          <t>32대질병</t>
        </is>
      </c>
      <c r="B10" t="inlineStr">
        <is>
          <t>I30~I52</t>
        </is>
      </c>
      <c r="C10" t="inlineStr">
        <is>
          <t>I39</t>
        </is>
      </c>
      <c r="D10" t="inlineStr">
        <is>
          <t>달리 분류된 질환에서의 심내막염 및 심장판막장애</t>
        </is>
      </c>
    </row>
    <row r="11">
      <c r="A11" t="inlineStr">
        <is>
          <t>32대질병</t>
        </is>
      </c>
      <c r="B11" t="inlineStr">
        <is>
          <t>I30~I52</t>
        </is>
      </c>
      <c r="C11" t="inlineStr">
        <is>
          <t>I40</t>
        </is>
      </c>
      <c r="D11" t="inlineStr">
        <is>
          <t>급성 심근염</t>
        </is>
      </c>
    </row>
    <row r="12">
      <c r="A12" t="inlineStr">
        <is>
          <t>32대질병</t>
        </is>
      </c>
      <c r="B12" t="inlineStr">
        <is>
          <t>I30~I52</t>
        </is>
      </c>
      <c r="C12" t="inlineStr">
        <is>
          <t>I41</t>
        </is>
      </c>
      <c r="D12" t="inlineStr">
        <is>
          <t>달리 분류된 질환에서의 심근염</t>
        </is>
      </c>
    </row>
    <row r="13">
      <c r="A13" t="inlineStr">
        <is>
          <t>32대질병</t>
        </is>
      </c>
      <c r="B13" t="inlineStr">
        <is>
          <t>I30~I52</t>
        </is>
      </c>
      <c r="C13" t="inlineStr">
        <is>
          <t>I42</t>
        </is>
      </c>
      <c r="D13" t="inlineStr">
        <is>
          <t>심근병증</t>
        </is>
      </c>
    </row>
    <row r="14">
      <c r="A14" t="inlineStr">
        <is>
          <t>32대질병</t>
        </is>
      </c>
      <c r="B14" t="inlineStr">
        <is>
          <t>I30~I52</t>
        </is>
      </c>
      <c r="C14" t="inlineStr">
        <is>
          <t>I43</t>
        </is>
      </c>
      <c r="D14" t="inlineStr">
        <is>
          <t>달리 분류된 질환에서의 심근병증</t>
        </is>
      </c>
    </row>
    <row r="15">
      <c r="A15" t="inlineStr">
        <is>
          <t>32대질병</t>
        </is>
      </c>
      <c r="B15" t="inlineStr">
        <is>
          <t>I30~I52</t>
        </is>
      </c>
      <c r="C15" t="inlineStr">
        <is>
          <t>I44</t>
        </is>
      </c>
      <c r="D15" t="inlineStr">
        <is>
          <t>방실차단 및 좌각차단</t>
        </is>
      </c>
    </row>
    <row r="16">
      <c r="A16" t="inlineStr">
        <is>
          <t>32대질병</t>
        </is>
      </c>
      <c r="B16" t="inlineStr">
        <is>
          <t>I30~I52</t>
        </is>
      </c>
      <c r="C16" t="inlineStr">
        <is>
          <t>I45</t>
        </is>
      </c>
      <c r="D16" t="inlineStr">
        <is>
          <t>기타 전도장애</t>
        </is>
      </c>
    </row>
    <row r="17">
      <c r="A17" t="inlineStr">
        <is>
          <t>32대질병</t>
        </is>
      </c>
      <c r="B17" t="inlineStr">
        <is>
          <t>I30~I52</t>
        </is>
      </c>
      <c r="C17" t="inlineStr">
        <is>
          <t>I46</t>
        </is>
      </c>
    </row>
    <row r="18">
      <c r="A18" t="inlineStr">
        <is>
          <t>32대질병</t>
        </is>
      </c>
      <c r="B18" t="inlineStr">
        <is>
          <t>I30~I52</t>
        </is>
      </c>
      <c r="C18" t="inlineStr">
        <is>
          <t>I47</t>
        </is>
      </c>
      <c r="D18" t="inlineStr">
        <is>
          <t>발작성 빈맥</t>
        </is>
      </c>
    </row>
    <row r="19">
      <c r="A19" t="inlineStr">
        <is>
          <t>32대질병</t>
        </is>
      </c>
      <c r="B19" t="inlineStr">
        <is>
          <t>I30~I52</t>
        </is>
      </c>
      <c r="C19" t="inlineStr">
        <is>
          <t>I48</t>
        </is>
      </c>
      <c r="D19" t="inlineStr">
        <is>
          <t>심방세동 및 조동</t>
        </is>
      </c>
    </row>
    <row r="20">
      <c r="A20" t="inlineStr">
        <is>
          <t>32대질병</t>
        </is>
      </c>
      <c r="B20" t="inlineStr">
        <is>
          <t>I30~I52</t>
        </is>
      </c>
      <c r="C20" t="inlineStr">
        <is>
          <t>I49</t>
        </is>
      </c>
      <c r="D20" t="inlineStr">
        <is>
          <t>기타 심장부정맥</t>
        </is>
      </c>
    </row>
    <row r="21">
      <c r="A21" t="inlineStr">
        <is>
          <t>32대질병</t>
        </is>
      </c>
      <c r="B21" t="inlineStr">
        <is>
          <t>I30~I52</t>
        </is>
      </c>
      <c r="C21" t="inlineStr">
        <is>
          <t>I50</t>
        </is>
      </c>
      <c r="D21" t="inlineStr">
        <is>
          <t>심부전</t>
        </is>
      </c>
    </row>
    <row r="22">
      <c r="A22" t="inlineStr">
        <is>
          <t>32대질병</t>
        </is>
      </c>
      <c r="B22" t="inlineStr">
        <is>
          <t>I30~I52</t>
        </is>
      </c>
      <c r="C22" t="inlineStr">
        <is>
          <t>I51</t>
        </is>
      </c>
      <c r="D22" t="inlineStr">
        <is>
          <t>심장병의 불명확한 기록 및 합병증</t>
        </is>
      </c>
    </row>
    <row r="23">
      <c r="A23" t="inlineStr">
        <is>
          <t>32대질병</t>
        </is>
      </c>
      <c r="B23" t="inlineStr">
        <is>
          <t>I60~I69</t>
        </is>
      </c>
      <c r="C23" t="inlineStr">
        <is>
          <t>I61</t>
        </is>
      </c>
      <c r="D23" t="inlineStr">
        <is>
          <t>뇌내 출혈</t>
        </is>
      </c>
    </row>
    <row r="24">
      <c r="A24" t="inlineStr">
        <is>
          <t>32대질병</t>
        </is>
      </c>
      <c r="B24" t="inlineStr">
        <is>
          <t>I60~I69</t>
        </is>
      </c>
      <c r="C24" t="inlineStr">
        <is>
          <t>I62</t>
        </is>
      </c>
      <c r="D24" t="inlineStr">
        <is>
          <t>기타 비외상성 머리내 출혈</t>
        </is>
      </c>
    </row>
    <row r="25">
      <c r="A25" t="inlineStr">
        <is>
          <t>32대질병</t>
        </is>
      </c>
      <c r="B25" t="inlineStr">
        <is>
          <t>I60~I69</t>
        </is>
      </c>
      <c r="C25" t="inlineStr">
        <is>
          <t>I63</t>
        </is>
      </c>
      <c r="D25" t="inlineStr">
        <is>
          <t>뇌경색증</t>
        </is>
      </c>
    </row>
    <row r="26">
      <c r="A26" t="inlineStr">
        <is>
          <t>32대질병</t>
        </is>
      </c>
      <c r="B26" t="inlineStr">
        <is>
          <t>I60~I69</t>
        </is>
      </c>
      <c r="C26" t="inlineStr">
        <is>
          <t>I64</t>
        </is>
      </c>
      <c r="D26" t="inlineStr">
        <is>
          <t>출혈 또는 경색증으로 명시되지 않은 뇌졸중</t>
        </is>
      </c>
    </row>
    <row r="27">
      <c r="A27" t="inlineStr">
        <is>
          <t>32대질병</t>
        </is>
      </c>
      <c r="B27" t="inlineStr">
        <is>
          <t>I60~I69</t>
        </is>
      </c>
      <c r="C27" t="inlineStr">
        <is>
          <t>I65</t>
        </is>
      </c>
      <c r="D27" t="inlineStr">
        <is>
          <t>뇌경색증을 유발하지 않은 뇌전동맥의 폐쇄 및 협착</t>
        </is>
      </c>
    </row>
    <row r="28">
      <c r="A28" t="inlineStr">
        <is>
          <t>32대질병</t>
        </is>
      </c>
      <c r="B28" t="inlineStr">
        <is>
          <t>I60~I69</t>
        </is>
      </c>
      <c r="C28" t="inlineStr">
        <is>
          <t>I66</t>
        </is>
      </c>
      <c r="D28" t="inlineStr">
        <is>
          <t>뇌경색증을 유발하지 않은 대뇌동맥의 폐쇄 및 협착</t>
        </is>
      </c>
    </row>
    <row r="29">
      <c r="A29" t="inlineStr">
        <is>
          <t>32대질병</t>
        </is>
      </c>
      <c r="B29" t="inlineStr">
        <is>
          <t>I60~I69</t>
        </is>
      </c>
      <c r="C29" t="inlineStr">
        <is>
          <t>I67</t>
        </is>
      </c>
      <c r="D29" t="inlineStr">
        <is>
          <t>기타 뇌혈관질환</t>
        </is>
      </c>
    </row>
    <row r="30">
      <c r="A30" t="inlineStr">
        <is>
          <t>32대질병</t>
        </is>
      </c>
      <c r="B30" t="inlineStr">
        <is>
          <t>I60~I69</t>
        </is>
      </c>
      <c r="C30" t="inlineStr">
        <is>
          <t>I68</t>
        </is>
      </c>
      <c r="D30" t="inlineStr">
        <is>
          <t>달리 분류된 질환에서의 뇌혈관장애</t>
        </is>
      </c>
    </row>
    <row r="31">
      <c r="A31" t="inlineStr">
        <is>
          <t>32대질병</t>
        </is>
      </c>
      <c r="B31" t="inlineStr">
        <is>
          <t>K70~K77</t>
        </is>
      </c>
      <c r="C31" t="inlineStr">
        <is>
          <t>K71</t>
        </is>
      </c>
    </row>
    <row r="32">
      <c r="A32" t="inlineStr">
        <is>
          <t>32대질병</t>
        </is>
      </c>
      <c r="B32" t="inlineStr">
        <is>
          <t>K70~K77</t>
        </is>
      </c>
      <c r="C32" t="inlineStr">
        <is>
          <t>K72</t>
        </is>
      </c>
    </row>
    <row r="33">
      <c r="A33" t="inlineStr">
        <is>
          <t>32대질병</t>
        </is>
      </c>
      <c r="B33" t="inlineStr">
        <is>
          <t>K70~K77</t>
        </is>
      </c>
      <c r="C33" t="inlineStr">
        <is>
          <t>K73</t>
        </is>
      </c>
    </row>
    <row r="34">
      <c r="A34" t="inlineStr">
        <is>
          <t>32대질병</t>
        </is>
      </c>
      <c r="B34" t="inlineStr">
        <is>
          <t>K70~K77</t>
        </is>
      </c>
      <c r="C34" t="inlineStr">
        <is>
          <t>K74</t>
        </is>
      </c>
      <c r="D34" t="inlineStr">
        <is>
          <t>간의 섬유증 및 경변증</t>
        </is>
      </c>
    </row>
    <row r="35">
      <c r="A35" t="inlineStr">
        <is>
          <t>32대질병</t>
        </is>
      </c>
      <c r="B35" t="inlineStr">
        <is>
          <t>K70~K77</t>
        </is>
      </c>
      <c r="C35" t="inlineStr">
        <is>
          <t>K75</t>
        </is>
      </c>
    </row>
    <row r="36">
      <c r="A36" t="inlineStr">
        <is>
          <t>32대질병</t>
        </is>
      </c>
      <c r="B36" t="inlineStr">
        <is>
          <t>K70~K77</t>
        </is>
      </c>
      <c r="C36" t="inlineStr">
        <is>
          <t>K76</t>
        </is>
      </c>
    </row>
    <row r="37">
      <c r="A37" t="inlineStr">
        <is>
          <t>32대질병</t>
        </is>
      </c>
      <c r="B37" t="inlineStr">
        <is>
          <t>E00~E07</t>
        </is>
      </c>
      <c r="C37" t="inlineStr">
        <is>
          <t>E01</t>
        </is>
      </c>
    </row>
    <row r="38">
      <c r="A38" t="inlineStr">
        <is>
          <t>32대질병</t>
        </is>
      </c>
      <c r="B38" t="inlineStr">
        <is>
          <t>E00~E07</t>
        </is>
      </c>
      <c r="C38" t="inlineStr">
        <is>
          <t>E02</t>
        </is>
      </c>
      <c r="D38" t="inlineStr">
        <is>
          <t>무증상 요오드결핍성 갑상선기능저하증</t>
        </is>
      </c>
    </row>
    <row r="39">
      <c r="A39" t="inlineStr">
        <is>
          <t>32대질병</t>
        </is>
      </c>
      <c r="B39" t="inlineStr">
        <is>
          <t>E00~E07</t>
        </is>
      </c>
      <c r="C39" t="inlineStr">
        <is>
          <t>E03</t>
        </is>
      </c>
    </row>
    <row r="40">
      <c r="A40" t="inlineStr">
        <is>
          <t>32대질병</t>
        </is>
      </c>
      <c r="B40" t="inlineStr">
        <is>
          <t>E00~E07</t>
        </is>
      </c>
      <c r="C40" t="inlineStr">
        <is>
          <t>E04</t>
        </is>
      </c>
      <c r="D40" t="inlineStr">
        <is>
          <t>기타 비독성 고이터</t>
        </is>
      </c>
    </row>
    <row r="41">
      <c r="A41" t="inlineStr">
        <is>
          <t>32대질병</t>
        </is>
      </c>
      <c r="B41" t="inlineStr">
        <is>
          <t>E00~E07</t>
        </is>
      </c>
      <c r="C41" t="inlineStr">
        <is>
          <t>E05</t>
        </is>
      </c>
      <c r="D41" t="inlineStr">
        <is>
          <t>갑상선독증[갑상선기능항진증]</t>
        </is>
      </c>
    </row>
    <row r="42">
      <c r="A42" t="inlineStr">
        <is>
          <t>32대질병</t>
        </is>
      </c>
      <c r="B42" t="inlineStr">
        <is>
          <t>E00~E07</t>
        </is>
      </c>
      <c r="C42" t="inlineStr">
        <is>
          <t>E06</t>
        </is>
      </c>
    </row>
    <row r="43">
      <c r="A43" t="inlineStr">
        <is>
          <t>32대질병</t>
        </is>
      </c>
      <c r="B43" t="inlineStr">
        <is>
          <t>I20~I25</t>
        </is>
      </c>
      <c r="C43" t="inlineStr">
        <is>
          <t>I21</t>
        </is>
      </c>
      <c r="D43" t="inlineStr">
        <is>
          <t>급성 심근경색증</t>
        </is>
      </c>
    </row>
    <row r="44">
      <c r="A44" t="inlineStr">
        <is>
          <t>32대질병</t>
        </is>
      </c>
      <c r="B44" t="inlineStr">
        <is>
          <t>I20~I25</t>
        </is>
      </c>
      <c r="C44" t="inlineStr">
        <is>
          <t>I22</t>
        </is>
      </c>
      <c r="D44" t="inlineStr">
        <is>
          <t>후속심근경색증</t>
        </is>
      </c>
    </row>
    <row r="45">
      <c r="A45" t="inlineStr">
        <is>
          <t>32대질병</t>
        </is>
      </c>
      <c r="B45" t="inlineStr">
        <is>
          <t>I20~I25</t>
        </is>
      </c>
      <c r="C45" t="inlineStr">
        <is>
          <t>I23</t>
        </is>
      </c>
      <c r="D45" t="inlineStr">
        <is>
          <t>급성 심근경색증 후 특정 현존 합병증</t>
        </is>
      </c>
    </row>
    <row r="46">
      <c r="A46" t="inlineStr">
        <is>
          <t>32대질병</t>
        </is>
      </c>
      <c r="B46" t="inlineStr">
        <is>
          <t>I20~I25</t>
        </is>
      </c>
      <c r="C46" t="inlineStr">
        <is>
          <t>I24</t>
        </is>
      </c>
      <c r="D46" t="inlineStr">
        <is>
          <t>기타 급성 허혈심장질환</t>
        </is>
      </c>
    </row>
    <row r="47">
      <c r="A47" t="inlineStr">
        <is>
          <t>32대질병</t>
        </is>
      </c>
      <c r="B47" t="inlineStr">
        <is>
          <t>I05~I09</t>
        </is>
      </c>
      <c r="C47" t="inlineStr">
        <is>
          <t>I06</t>
        </is>
      </c>
      <c r="D47" t="inlineStr">
        <is>
          <t>류마티스성 대동맥판질환</t>
        </is>
      </c>
    </row>
    <row r="48">
      <c r="A48" t="inlineStr">
        <is>
          <t>32대질병</t>
        </is>
      </c>
      <c r="B48" t="inlineStr">
        <is>
          <t>I05~I09</t>
        </is>
      </c>
      <c r="C48" t="inlineStr">
        <is>
          <t>I07</t>
        </is>
      </c>
      <c r="D48" t="inlineStr">
        <is>
          <t>류마티스성 삼첨판질환</t>
        </is>
      </c>
    </row>
    <row r="49">
      <c r="A49" t="inlineStr">
        <is>
          <t>32대질병</t>
        </is>
      </c>
      <c r="B49" t="inlineStr">
        <is>
          <t>I05~I09</t>
        </is>
      </c>
      <c r="C49" t="inlineStr">
        <is>
          <t>I08</t>
        </is>
      </c>
      <c r="D49" t="inlineStr">
        <is>
          <t>다발판막질환</t>
        </is>
      </c>
    </row>
    <row r="50">
      <c r="A50" t="inlineStr">
        <is>
          <t>32대질병</t>
        </is>
      </c>
      <c r="B50" t="inlineStr">
        <is>
          <t>B15~B19</t>
        </is>
      </c>
      <c r="C50" t="inlineStr">
        <is>
          <t>B16</t>
        </is>
      </c>
      <c r="D50" t="inlineStr">
        <is>
          <t>급성 B형간염</t>
        </is>
      </c>
    </row>
    <row r="51">
      <c r="A51" t="inlineStr">
        <is>
          <t>32대질병</t>
        </is>
      </c>
      <c r="B51" t="inlineStr">
        <is>
          <t>B15~B19</t>
        </is>
      </c>
      <c r="C51" t="inlineStr">
        <is>
          <t>B17</t>
        </is>
      </c>
    </row>
    <row r="52">
      <c r="A52" t="inlineStr">
        <is>
          <t>32대질병</t>
        </is>
      </c>
      <c r="B52" t="inlineStr">
        <is>
          <t>B15~B19</t>
        </is>
      </c>
      <c r="C52" t="inlineStr">
        <is>
          <t>B18</t>
        </is>
      </c>
    </row>
    <row r="53">
      <c r="A53" t="inlineStr">
        <is>
          <t>32대질병</t>
        </is>
      </c>
      <c r="B53" t="inlineStr">
        <is>
          <t>A15~A19</t>
        </is>
      </c>
      <c r="C53" t="inlineStr">
        <is>
          <t>A16</t>
        </is>
      </c>
      <c r="D53" t="inlineStr">
        <is>
          <t>세균학적으로나 조직학적으로 확인되지 않은 호흡기결핵</t>
        </is>
      </c>
    </row>
    <row r="54">
      <c r="A54" t="inlineStr">
        <is>
          <t>32대질병</t>
        </is>
      </c>
      <c r="B54" t="inlineStr">
        <is>
          <t>A15~A19</t>
        </is>
      </c>
      <c r="C54" t="inlineStr">
        <is>
          <t>A17</t>
        </is>
      </c>
      <c r="D54" t="inlineStr">
        <is>
          <t>신경계통의 결핵</t>
        </is>
      </c>
    </row>
    <row r="55">
      <c r="A55" t="inlineStr">
        <is>
          <t>32대질병</t>
        </is>
      </c>
      <c r="B55" t="inlineStr">
        <is>
          <t>A15~A19</t>
        </is>
      </c>
      <c r="C55" t="inlineStr">
        <is>
          <t>A18</t>
        </is>
      </c>
      <c r="D55" t="inlineStr">
        <is>
          <t>기타 기관의 결핵</t>
        </is>
      </c>
    </row>
    <row r="56">
      <c r="A56" t="inlineStr">
        <is>
          <t>충수염(맹장염)</t>
        </is>
      </c>
      <c r="B56" t="inlineStr">
        <is>
          <t>K35~K38</t>
        </is>
      </c>
      <c r="C56" t="inlineStr">
        <is>
          <t>K36</t>
        </is>
      </c>
    </row>
    <row r="57">
      <c r="A57" t="inlineStr">
        <is>
          <t>충수염(맹장염)</t>
        </is>
      </c>
      <c r="B57" t="inlineStr">
        <is>
          <t>K35~K38</t>
        </is>
      </c>
      <c r="C57" t="inlineStr">
        <is>
          <t>K37</t>
        </is>
      </c>
    </row>
    <row r="58">
      <c r="A58" t="inlineStr">
        <is>
          <t>32대질병</t>
        </is>
      </c>
      <c r="B58" t="inlineStr">
        <is>
          <t>I00~I02</t>
        </is>
      </c>
      <c r="C58" t="inlineStr">
        <is>
          <t>I01</t>
        </is>
      </c>
      <c r="D58" t="inlineStr">
        <is>
          <t>심장 침범이 있는 류마티스열</t>
        </is>
      </c>
    </row>
    <row r="59">
      <c r="A59" t="inlineStr">
        <is>
          <t>32대질병</t>
        </is>
      </c>
      <c r="B59" t="inlineStr">
        <is>
          <t>I26~I28</t>
        </is>
      </c>
      <c r="C59" t="inlineStr">
        <is>
          <t>I27</t>
        </is>
      </c>
      <c r="D59" t="inlineStr">
        <is>
          <t>기타 폐성 심장질환</t>
        </is>
      </c>
    </row>
    <row r="60">
      <c r="A60" t="inlineStr">
        <is>
          <t>32대질병</t>
        </is>
      </c>
      <c r="B60" t="inlineStr">
        <is>
          <t>N17~N19</t>
        </is>
      </c>
      <c r="C60" t="inlineStr">
        <is>
          <t>N18</t>
        </is>
      </c>
      <c r="D60" t="inlineStr">
        <is>
          <t>만성 콩팥병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약관 분류표와 코드가 정확히 일치한 그룹</t>
        </is>
      </c>
    </row>
    <row r="2">
      <c r="A2" t="inlineStr">
        <is>
          <t>아래 그룹은 코드 하나까지 약관과 같았습니다.</t>
        </is>
      </c>
    </row>
    <row r="4">
      <c r="A4" t="inlineStr">
        <is>
          <t>· 6대심장질환</t>
        </is>
      </c>
    </row>
    <row r="5">
      <c r="A5" t="inlineStr">
        <is>
          <t>· 16대특정암</t>
        </is>
      </c>
    </row>
    <row r="6">
      <c r="A6" t="inlineStr">
        <is>
          <t>· 5대고액치료비암</t>
        </is>
      </c>
    </row>
    <row r="7">
      <c r="A7" t="inlineStr">
        <is>
          <t>· 급성심근경색증대상질병</t>
        </is>
      </c>
    </row>
    <row r="8">
      <c r="A8" t="inlineStr">
        <is>
          <t>· 뇌졸중대상질병</t>
        </is>
      </c>
    </row>
    <row r="9">
      <c r="A9" t="inlineStr">
        <is>
          <t>· 뇌출혈</t>
        </is>
      </c>
    </row>
    <row r="10">
      <c r="A10" t="inlineStr">
        <is>
          <t>· 악성신생물(암)</t>
        </is>
      </c>
    </row>
    <row r="11">
      <c r="A11" t="inlineStr">
        <is>
          <t>· 알츠하이머치매</t>
        </is>
      </c>
    </row>
    <row r="12">
      <c r="A12" t="inlineStr">
        <is>
          <t>· 요양성특정질병</t>
        </is>
      </c>
    </row>
    <row r="13">
      <c r="A13" t="inlineStr">
        <is>
          <t>· 유방암</t>
        </is>
      </c>
    </row>
    <row r="14">
      <c r="A14" t="inlineStr">
        <is>
          <t>· 전이암</t>
        </is>
      </c>
    </row>
    <row r="15">
      <c r="A15" t="inlineStr">
        <is>
          <t>· 제자리신생물</t>
        </is>
      </c>
    </row>
    <row r="16">
      <c r="A16" t="inlineStr">
        <is>
          <t>· 중증질환자(심장질환) 산정특례대상</t>
        </is>
      </c>
    </row>
    <row r="17">
      <c r="A17" t="inlineStr">
        <is>
          <t>· 특정심장질환</t>
        </is>
      </c>
    </row>
    <row r="18">
      <c r="A18" t="inlineStr">
        <is>
          <t>· 행동양식 불명 또는 미상의 신생물</t>
        </is>
      </c>
    </row>
    <row r="19">
      <c r="A19" t="inlineStr">
        <is>
          <t>· 허혈성심장질환</t>
        </is>
      </c>
    </row>
    <row r="20">
      <c r="A20" t="inlineStr">
        <is>
          <t>· 희귀난치성 7대질환</t>
        </is>
      </c>
    </row>
    <row r="21">
      <c r="A21" t="inlineStr">
        <is>
          <t>· 특정소액암</t>
        </is>
      </c>
    </row>
    <row r="22">
      <c r="A22" t="inlineStr">
        <is>
          <t>· 특정소화기암</t>
        </is>
      </c>
    </row>
    <row r="23">
      <c r="A23" t="inlineStr">
        <is>
          <t>· 15대특정암</t>
        </is>
      </c>
    </row>
    <row r="24">
      <c r="A24" t="inlineStr">
        <is>
          <t>· 10대특정암</t>
        </is>
      </c>
    </row>
    <row r="25">
      <c r="A25" t="inlineStr">
        <is>
          <t>· 4대고액암</t>
        </is>
      </c>
    </row>
    <row r="27">
      <c r="A27" t="inlineStr">
        <is>
          <t>· 15대특정암 / 14대특정암(전이포함) 의 이름 차이도 약관 그대로입니다 (오기 아님)</t>
        </is>
      </c>
    </row>
    <row r="28">
      <c r="A28" t="inlineStr">
        <is>
          <t>· 제자리신생물에 D08 이 없는 것, 암 그룹에 C35·C36·C87·C89 가 없는 것은 KCD 에 그 번호가 없기 때문입니다 (정상)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0" customWidth="1" min="3" max="3"/>
    <col width="56" customWidth="1" min="4" max="4"/>
    <col width="40" customWidth="1" min="5" max="5"/>
    <col width="30" customWidth="1" min="6" max="6"/>
    <col width="40" customWidth="1" min="7" max="7"/>
    <col width="40" customWidth="1" min="8" max="8"/>
  </cols>
  <sheetData>
    <row r="1">
      <c r="A1" t="inlineStr">
        <is>
          <t>심각도</t>
        </is>
      </c>
      <c r="B1" t="inlineStr">
        <is>
          <t>규칙</t>
        </is>
      </c>
      <c r="C1" t="inlineStr">
        <is>
          <t>대상 담보</t>
        </is>
      </c>
      <c r="D1" t="inlineStr">
        <is>
          <t>무엇이 잘못됐나</t>
        </is>
      </c>
      <c r="E1" t="inlineStr">
        <is>
          <t>약관 근거</t>
        </is>
      </c>
      <c r="F1" t="inlineStr">
        <is>
          <t>지금 판정 방식</t>
        </is>
      </c>
      <c r="G1" t="inlineStr">
        <is>
          <t>약관대로 하면</t>
        </is>
      </c>
      <c r="H1" t="inlineStr">
        <is>
          <t>권고</t>
        </is>
      </c>
    </row>
    <row r="2">
      <c r="A2" t="inlineStr">
        <is>
          <t>높음</t>
        </is>
      </c>
      <c r="B2" t="inlineStr">
        <is>
          <t>[63] tx_cancer_exam</t>
        </is>
      </c>
      <c r="C2" t="inlineStr">
        <is>
          <t>갱신형 암 특정생검조직병리검사비Ⅱ (통합간편·케어프리 2건)</t>
        </is>
      </c>
      <c r="D2" t="inlineStr">
        <is>
          <t>약관이 진료행위코드를 낱낱이 적어 둔 항목인데, 규칙은 「조직검사를 받았는가」만 보고 지급으로 계산한다. 내시경 겸자생검·림프절 생검·피부 생검처럼 목록에 없는 검사도 지급으로 잡힌다</t>
        </is>
      </c>
      <c r="E2" t="inlineStr">
        <is>
          <t>제4조 — 침생검(심부) C8511·C8512·C8513·C8514 … 진료행위코드 열거</t>
        </is>
      </c>
      <c r="F2" t="inlineStr">
        <is>
          <t>치료행위 키(x_bio)만 대조</t>
        </is>
      </c>
      <c r="G2" t="inlineStr">
        <is>
          <t>열거된 진료행위코드와 대조 (목록에 있을 때만 지급)</t>
        </is>
      </c>
      <c r="H2" t="inlineStr">
        <is>
          <t>규칙 2(tx_hc)가 이미 「약관 별표 진료행위(수가)코드와 대조」를 하고 있다. 생검만 떼어 같은 방식으로 옮기면 된다</t>
        </is>
      </c>
    </row>
    <row r="3">
      <c r="A3" t="inlineStr">
        <is>
          <t>높음</t>
        </is>
      </c>
      <c r="B3" t="inlineStr">
        <is>
          <t>[71] tx_exam</t>
        </is>
      </c>
      <c r="C3" t="inlineStr">
        <is>
          <t>갱신형 3대질환 MRI촬영검사비 (케어프리)</t>
        </is>
      </c>
      <c r="D3" t="inlineStr">
        <is>
          <t>약관은 3대질환(암·유사암·뇌혈관질환·허혈성심장질환)일 때만 지급하는데, 규칙에 질병코드 조건이 없어 어떤 질병에도 MRI만 찍었으면 지급으로 계산된다</t>
        </is>
      </c>
      <c r="E3" t="inlineStr">
        <is>
          <t>제3조 — 「3대질환」이라 함은 암(유사암제외)·유사암·뇌혈관질환·허혈성심장질환 / 특약 마스터 보장코드 59개</t>
        </is>
      </c>
      <c r="F3" t="inlineStr">
        <is>
          <t>질병코드 조건 없음</t>
        </is>
      </c>
      <c r="G3" t="inlineStr">
        <is>
          <t>특약 마스터의 보장코드 59개와 대조</t>
        </is>
      </c>
      <c r="H3" t="inlineStr">
        <is>
          <t>규칙 76(tx_etc_care)처럼 「특약 마스터에 실린 약관 KCD 목록과 대조」로 바꾸면 된다</t>
        </is>
      </c>
    </row>
    <row r="4">
      <c r="A4" t="inlineStr">
        <is>
          <t>참고</t>
        </is>
      </c>
      <c r="B4" t="inlineStr">
        <is>
          <t>[63] tx_cancer_exam</t>
        </is>
      </c>
      <c r="C4" t="inlineStr">
        <is>
          <t>갱신형 암 내시경검사비 · MRI · CT · PET · 초음파</t>
        </is>
      </c>
      <c r="D4" t="inlineStr">
        <is>
          <t>이쪽은 문제 없음. 약관이 「제2부 제2장 검사료의 제4절 내시경」처럼 분류번호 구간 전체를 대상으로 해서, 치료행위 키만 봐도 결과가 같다</t>
        </is>
      </c>
      <c r="E4" t="inlineStr">
        <is>
          <t>제4조 — 급여 「제2부 제2장 검사료의 제4절 내시경」 분류번호 및 코드</t>
        </is>
      </c>
      <c r="F4" t="inlineStr">
        <is>
          <t>치료행위 키(x_endo 등)</t>
        </is>
      </c>
      <c r="G4" t="inlineStr">
        <is>
          <t>그대로 두면 됨</t>
        </is>
      </c>
      <c r="H4" t="inlineStr">
        <is>
          <t>같은 규칙 안이라도 생검만 판정 방식이 달라야 한다</t>
        </is>
      </c>
    </row>
    <row r="5">
      <c r="A5" t="inlineStr">
        <is>
          <t>참고</t>
        </is>
      </c>
      <c r="B5" t="inlineStr">
        <is>
          <t>[17] itc_unknown</t>
        </is>
      </c>
      <c r="C5" t="inlineStr">
        <is>
          <t>통합치료비 46담보</t>
        </is>
      </c>
      <c r="D5" t="inlineStr">
        <is>
          <t>이번에 통합치료비 시뮬레이터에서 고친 문제(특정내시경·특정생검 수가코드)가 이 모듈에는 없다. 통합치료비를 아예 계산에서 빼고 사유만 기록하고 있기 때문</t>
        </is>
      </c>
      <c r="E5" t="inlineStr">
        <is>
          <t>규칙 메모 — v8.3 에서 정액 치료비로 흘러가 오계산되던 것을 계산 제외+로그로 바꿈</t>
        </is>
      </c>
      <c r="F5" t="inlineStr">
        <is>
          <t>분류만 (금액 계산 안 함)</t>
        </is>
      </c>
      <c r="G5" t="inlineStr">
        <is>
          <t>현재 방식이 안전함</t>
        </is>
      </c>
      <c r="H5" t="inlineStr">
        <is>
          <t>나중에 통합치료비 금액을 계산하게 되면, 항목마다 수가코드 목록이 다르다는 점을 먼저 반영해야 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2026-10-02T21:26:45Z</dcterms:created>
  <dcterms:modified xmlns:dcterms="http://purl.org/dc/terms/" xmlns:xsi="http://www.w3.org/2001/XMLSchema-instance" xsi:type="dcterms:W3CDTF">2026-10-02T21:26:45Z</dcterms:modified>
</cp:coreProperties>
</file>